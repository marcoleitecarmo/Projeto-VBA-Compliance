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EstaPastaDeTrabalho" hidePivotFieldList="1" defaultThemeVersion="202300"/>
  <mc:AlternateContent xmlns:mc="http://schemas.openxmlformats.org/markup-compatibility/2006">
    <mc:Choice Requires="x15">
      <x15ac:absPath xmlns:x15ac="http://schemas.microsoft.com/office/spreadsheetml/2010/11/ac" url="D:\Documentos\Pasta Excel\"/>
    </mc:Choice>
  </mc:AlternateContent>
  <xr:revisionPtr revIDLastSave="0" documentId="13_ncr:1_{ABCEE174-1F50-42FC-8EB6-2D04A06A3FFE}" xr6:coauthVersionLast="47" xr6:coauthVersionMax="47" xr10:uidLastSave="{00000000-0000-0000-0000-000000000000}"/>
  <bookViews>
    <workbookView xWindow="-108" yWindow="-108" windowWidth="23256" windowHeight="12456" tabRatio="722" xr2:uid="{315F813B-3BD5-435B-8AEB-4947F64DCABC}"/>
  </bookViews>
  <sheets>
    <sheet name="Home" sheetId="2" r:id="rId1"/>
    <sheet name="Planilha1" sheetId="10" r:id="rId2"/>
    <sheet name="ContractsAndDocuments" sheetId="3" r:id="rId3"/>
    <sheet name="Contract" sheetId="5" r:id="rId4"/>
    <sheet name="Advisory" sheetId="6" r:id="rId5"/>
    <sheet name="Administrative" sheetId="8" r:id="rId6"/>
    <sheet name="LegalActivity" sheetId="9" r:id="rId7"/>
    <sheet name="ComplianceProgram" sheetId="7" r:id="rId8"/>
    <sheet name="FonteDados" sheetId="1" r:id="rId9"/>
  </sheets>
  <functionGroups builtInGroupCount="19"/>
  <definedNames>
    <definedName name="_xlnm._FilterDatabase" localSheetId="7" hidden="1">ComplianceProgram!$C$1:$AN$876</definedName>
    <definedName name="_xlnm._FilterDatabase" localSheetId="3" hidden="1">Contract!$A$1:$P$5</definedName>
    <definedName name="_xlnm._FilterDatabase" localSheetId="2" hidden="1">ContractsAndDocuments!$B$1:$AK$471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17" i="10" l="1"/>
  <c r="R3" i="6"/>
  <c r="J12" i="7"/>
  <c r="J11" i="7"/>
  <c r="J10" i="7"/>
  <c r="J9" i="7"/>
  <c r="J8" i="7"/>
  <c r="J7" i="7"/>
  <c r="J6" i="7"/>
  <c r="AI5" i="7"/>
  <c r="J5" i="7"/>
  <c r="AI4" i="7"/>
  <c r="J4" i="7"/>
  <c r="AI3" i="7"/>
  <c r="J3" i="7"/>
  <c r="T403" i="3"/>
  <c r="T409"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4" i="3"/>
  <c r="T405" i="3"/>
  <c r="T406" i="3"/>
  <c r="T407" i="3"/>
  <c r="T408"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2" i="3"/>
  <c r="AF3" i="3"/>
  <c r="AG3" i="3" s="1"/>
  <c r="AF4" i="3"/>
  <c r="AG4" i="3" s="1"/>
  <c r="AF5" i="3"/>
  <c r="AG5" i="3" s="1"/>
  <c r="AF6" i="3"/>
  <c r="AG6" i="3" s="1"/>
  <c r="AF7" i="3"/>
  <c r="AG7" i="3" s="1"/>
  <c r="AF8" i="3"/>
  <c r="AG8" i="3" s="1"/>
  <c r="AF9" i="3"/>
  <c r="AG9" i="3" s="1"/>
  <c r="AF10" i="3"/>
  <c r="AG10" i="3" s="1"/>
  <c r="AF11" i="3"/>
  <c r="AG11" i="3" s="1"/>
  <c r="AF12" i="3"/>
  <c r="AG12" i="3" s="1"/>
  <c r="AF13" i="3"/>
  <c r="AG13" i="3" s="1"/>
  <c r="AF14" i="3"/>
  <c r="AG14" i="3" s="1"/>
  <c r="AF15" i="3"/>
  <c r="AG15" i="3" s="1"/>
  <c r="AF16" i="3"/>
  <c r="AG16" i="3" s="1"/>
  <c r="AF17" i="3"/>
  <c r="AG17" i="3" s="1"/>
  <c r="AF18" i="3"/>
  <c r="AG18" i="3" s="1"/>
  <c r="AF19" i="3"/>
  <c r="AG19" i="3" s="1"/>
  <c r="AF20" i="3"/>
  <c r="AG20" i="3" s="1"/>
  <c r="AF21" i="3"/>
  <c r="AG21" i="3" s="1"/>
  <c r="AF22" i="3"/>
  <c r="AG22" i="3" s="1"/>
  <c r="AF23" i="3"/>
  <c r="AG23" i="3" s="1"/>
  <c r="AF24" i="3"/>
  <c r="AG24" i="3" s="1"/>
  <c r="AF25" i="3"/>
  <c r="AG25" i="3" s="1"/>
  <c r="AF26" i="3"/>
  <c r="AG26" i="3" s="1"/>
  <c r="AF27" i="3"/>
  <c r="AG27" i="3" s="1"/>
  <c r="AF28" i="3"/>
  <c r="AG28" i="3" s="1"/>
  <c r="AF29" i="3"/>
  <c r="AG29" i="3" s="1"/>
  <c r="AF30" i="3"/>
  <c r="AG30" i="3" s="1"/>
  <c r="AF31" i="3"/>
  <c r="AG31" i="3" s="1"/>
  <c r="AF32" i="3"/>
  <c r="AG32" i="3" s="1"/>
  <c r="AF33" i="3"/>
  <c r="AG33" i="3" s="1"/>
  <c r="AF34" i="3"/>
  <c r="AG34" i="3" s="1"/>
  <c r="AF35" i="3"/>
  <c r="AG35" i="3" s="1"/>
  <c r="AF36" i="3"/>
  <c r="AG36" i="3" s="1"/>
  <c r="AF37" i="3"/>
  <c r="AG37" i="3" s="1"/>
  <c r="AF38" i="3"/>
  <c r="AG38" i="3" s="1"/>
  <c r="AF39" i="3"/>
  <c r="AG39" i="3" s="1"/>
  <c r="AF40" i="3"/>
  <c r="AG40" i="3" s="1"/>
  <c r="AF41" i="3"/>
  <c r="AG41" i="3" s="1"/>
  <c r="AF42" i="3"/>
  <c r="AG42" i="3" s="1"/>
  <c r="AF43" i="3"/>
  <c r="AG43" i="3" s="1"/>
  <c r="AF44" i="3"/>
  <c r="AG44" i="3" s="1"/>
  <c r="AF45" i="3"/>
  <c r="AG45" i="3" s="1"/>
  <c r="AF46" i="3"/>
  <c r="AG46" i="3" s="1"/>
  <c r="AF47" i="3"/>
  <c r="AG47" i="3" s="1"/>
  <c r="AF48" i="3"/>
  <c r="AG48" i="3" s="1"/>
  <c r="AF49" i="3"/>
  <c r="AG49" i="3" s="1"/>
  <c r="AF50" i="3"/>
  <c r="AG50" i="3" s="1"/>
  <c r="AF51" i="3"/>
  <c r="AG51" i="3" s="1"/>
  <c r="AF52" i="3"/>
  <c r="AG52" i="3" s="1"/>
  <c r="AF53" i="3"/>
  <c r="AG53" i="3" s="1"/>
  <c r="AF54" i="3"/>
  <c r="AG54" i="3" s="1"/>
  <c r="AF55" i="3"/>
  <c r="AG55" i="3" s="1"/>
  <c r="AF56" i="3"/>
  <c r="AG56" i="3" s="1"/>
  <c r="AF57" i="3"/>
  <c r="AG57" i="3" s="1"/>
  <c r="AF58" i="3"/>
  <c r="AG58" i="3" s="1"/>
  <c r="AF59" i="3"/>
  <c r="AG59" i="3" s="1"/>
  <c r="AF60" i="3"/>
  <c r="AG60" i="3" s="1"/>
  <c r="AF61" i="3"/>
  <c r="AG61" i="3" s="1"/>
  <c r="AF62" i="3"/>
  <c r="AG62" i="3" s="1"/>
  <c r="AF63" i="3"/>
  <c r="AG63" i="3" s="1"/>
  <c r="AF64" i="3"/>
  <c r="AG64" i="3" s="1"/>
  <c r="AF65" i="3"/>
  <c r="AG65" i="3" s="1"/>
  <c r="AF66" i="3"/>
  <c r="AG66" i="3" s="1"/>
  <c r="AF67" i="3"/>
  <c r="AG67" i="3" s="1"/>
  <c r="AF68" i="3"/>
  <c r="AG68" i="3" s="1"/>
  <c r="AF69" i="3"/>
  <c r="AG69" i="3" s="1"/>
  <c r="AF70" i="3"/>
  <c r="AG70" i="3" s="1"/>
  <c r="AF71" i="3"/>
  <c r="AG71" i="3" s="1"/>
  <c r="AF72" i="3"/>
  <c r="AG72" i="3" s="1"/>
  <c r="AF73" i="3"/>
  <c r="AG73" i="3" s="1"/>
  <c r="AF74" i="3"/>
  <c r="AG74" i="3" s="1"/>
  <c r="AF75" i="3"/>
  <c r="AG75" i="3" s="1"/>
  <c r="AF76" i="3"/>
  <c r="AG76" i="3" s="1"/>
  <c r="AF77" i="3"/>
  <c r="AG77" i="3" s="1"/>
  <c r="AF78" i="3"/>
  <c r="AG78" i="3" s="1"/>
  <c r="AF79" i="3"/>
  <c r="AG79" i="3" s="1"/>
  <c r="AF80" i="3"/>
  <c r="AG80" i="3" s="1"/>
  <c r="AF81" i="3"/>
  <c r="AG81" i="3" s="1"/>
  <c r="AF82" i="3"/>
  <c r="AG82" i="3" s="1"/>
  <c r="AF83" i="3"/>
  <c r="AG83" i="3" s="1"/>
  <c r="AF84" i="3"/>
  <c r="AG84" i="3" s="1"/>
  <c r="AF85" i="3"/>
  <c r="AG85" i="3" s="1"/>
  <c r="AF86" i="3"/>
  <c r="AG86" i="3" s="1"/>
  <c r="AF87" i="3"/>
  <c r="AG87" i="3" s="1"/>
  <c r="AF88" i="3"/>
  <c r="AG88" i="3" s="1"/>
  <c r="AF89" i="3"/>
  <c r="AG89" i="3" s="1"/>
  <c r="AF90" i="3"/>
  <c r="AG90" i="3" s="1"/>
  <c r="AF91" i="3"/>
  <c r="AG91" i="3" s="1"/>
  <c r="AF92" i="3"/>
  <c r="AG92" i="3" s="1"/>
  <c r="AF93" i="3"/>
  <c r="AG93" i="3" s="1"/>
  <c r="AF94" i="3"/>
  <c r="AG94" i="3" s="1"/>
  <c r="AF95" i="3"/>
  <c r="AG95" i="3" s="1"/>
  <c r="AF96" i="3"/>
  <c r="AG96" i="3" s="1"/>
  <c r="AF97" i="3"/>
  <c r="AG97" i="3" s="1"/>
  <c r="AF98" i="3"/>
  <c r="AG98" i="3" s="1"/>
  <c r="AF99" i="3"/>
  <c r="AG99" i="3" s="1"/>
  <c r="AF100" i="3"/>
  <c r="AG100" i="3" s="1"/>
  <c r="AF101" i="3"/>
  <c r="AG101" i="3" s="1"/>
  <c r="AF102" i="3"/>
  <c r="AG102" i="3" s="1"/>
  <c r="AF103" i="3"/>
  <c r="AG103" i="3" s="1"/>
  <c r="AF104" i="3"/>
  <c r="AG104" i="3" s="1"/>
  <c r="AF105" i="3"/>
  <c r="AG105" i="3" s="1"/>
  <c r="AF106" i="3"/>
  <c r="AG106" i="3" s="1"/>
  <c r="AF107" i="3"/>
  <c r="AG107" i="3" s="1"/>
  <c r="AF108" i="3"/>
  <c r="AG108" i="3" s="1"/>
  <c r="AF109" i="3"/>
  <c r="AG109" i="3" s="1"/>
  <c r="AF110" i="3"/>
  <c r="AG110" i="3" s="1"/>
  <c r="AF111" i="3"/>
  <c r="AG111" i="3" s="1"/>
  <c r="AF112" i="3"/>
  <c r="AG112" i="3" s="1"/>
  <c r="AF113" i="3"/>
  <c r="AG113" i="3" s="1"/>
  <c r="AF114" i="3"/>
  <c r="AG114" i="3" s="1"/>
  <c r="AF115" i="3"/>
  <c r="AG115" i="3" s="1"/>
  <c r="AF116" i="3"/>
  <c r="AG116" i="3" s="1"/>
  <c r="AF117" i="3"/>
  <c r="AG117" i="3" s="1"/>
  <c r="AF118" i="3"/>
  <c r="AG118" i="3" s="1"/>
  <c r="AF119" i="3"/>
  <c r="AG119" i="3" s="1"/>
  <c r="AF120" i="3"/>
  <c r="AG120" i="3" s="1"/>
  <c r="AF121" i="3"/>
  <c r="AG121" i="3" s="1"/>
  <c r="AF122" i="3"/>
  <c r="AG122" i="3" s="1"/>
  <c r="AF123" i="3"/>
  <c r="AG123" i="3" s="1"/>
  <c r="AF124" i="3"/>
  <c r="AG124" i="3" s="1"/>
  <c r="AF125" i="3"/>
  <c r="AG125" i="3" s="1"/>
  <c r="AF126" i="3"/>
  <c r="AG126" i="3" s="1"/>
  <c r="AF127" i="3"/>
  <c r="AG127" i="3" s="1"/>
  <c r="AF128" i="3"/>
  <c r="AG128" i="3" s="1"/>
  <c r="AF129" i="3"/>
  <c r="AG129" i="3" s="1"/>
  <c r="AF130" i="3"/>
  <c r="AG130" i="3" s="1"/>
  <c r="AF131" i="3"/>
  <c r="AG131" i="3" s="1"/>
  <c r="AF132" i="3"/>
  <c r="AG132" i="3" s="1"/>
  <c r="AF133" i="3"/>
  <c r="AG133" i="3" s="1"/>
  <c r="AF134" i="3"/>
  <c r="AG134" i="3" s="1"/>
  <c r="AF135" i="3"/>
  <c r="AG135" i="3" s="1"/>
  <c r="AF136" i="3"/>
  <c r="AG136" i="3" s="1"/>
  <c r="AF137" i="3"/>
  <c r="AG137" i="3" s="1"/>
  <c r="AF138" i="3"/>
  <c r="AG138" i="3" s="1"/>
  <c r="AF139" i="3"/>
  <c r="AG139" i="3" s="1"/>
  <c r="AF140" i="3"/>
  <c r="AG140" i="3" s="1"/>
  <c r="AF141" i="3"/>
  <c r="AG141" i="3" s="1"/>
  <c r="AF142" i="3"/>
  <c r="AG142" i="3" s="1"/>
  <c r="AF143" i="3"/>
  <c r="AG143" i="3" s="1"/>
  <c r="AF144" i="3"/>
  <c r="AG144" i="3" s="1"/>
  <c r="AF145" i="3"/>
  <c r="AG145" i="3" s="1"/>
  <c r="AF146" i="3"/>
  <c r="AG146" i="3" s="1"/>
  <c r="AF147" i="3"/>
  <c r="AG147" i="3" s="1"/>
  <c r="AF148" i="3"/>
  <c r="AG148" i="3" s="1"/>
  <c r="AF149" i="3"/>
  <c r="AG149" i="3" s="1"/>
  <c r="AF150" i="3"/>
  <c r="AG150" i="3" s="1"/>
  <c r="AF151" i="3"/>
  <c r="AG151" i="3" s="1"/>
  <c r="AF152" i="3"/>
  <c r="AG152" i="3" s="1"/>
  <c r="AF153" i="3"/>
  <c r="AG153" i="3" s="1"/>
  <c r="AF154" i="3"/>
  <c r="AG154" i="3" s="1"/>
  <c r="AF155" i="3"/>
  <c r="AG155" i="3" s="1"/>
  <c r="AF156" i="3"/>
  <c r="AG156" i="3" s="1"/>
  <c r="AF157" i="3"/>
  <c r="AG157" i="3" s="1"/>
  <c r="AF158" i="3"/>
  <c r="AG158" i="3" s="1"/>
  <c r="AF159" i="3"/>
  <c r="AG159" i="3" s="1"/>
  <c r="AF160" i="3"/>
  <c r="AG160" i="3" s="1"/>
  <c r="AF161" i="3"/>
  <c r="AG161" i="3" s="1"/>
  <c r="AF162" i="3"/>
  <c r="AG162" i="3" s="1"/>
  <c r="AF163" i="3"/>
  <c r="AG163" i="3" s="1"/>
  <c r="AF164" i="3"/>
  <c r="AG164" i="3" s="1"/>
  <c r="AF165" i="3"/>
  <c r="AG165" i="3" s="1"/>
  <c r="AF166" i="3"/>
  <c r="AG166" i="3" s="1"/>
  <c r="AF167" i="3"/>
  <c r="AG167" i="3" s="1"/>
  <c r="AF168" i="3"/>
  <c r="AG168" i="3" s="1"/>
  <c r="AF169" i="3"/>
  <c r="AG169" i="3" s="1"/>
  <c r="AF170" i="3"/>
  <c r="AG170" i="3" s="1"/>
  <c r="AF171" i="3"/>
  <c r="AG171" i="3" s="1"/>
  <c r="AF172" i="3"/>
  <c r="AG172" i="3" s="1"/>
  <c r="AF173" i="3"/>
  <c r="AG173" i="3" s="1"/>
  <c r="AF174" i="3"/>
  <c r="AG174" i="3" s="1"/>
  <c r="AF175" i="3"/>
  <c r="AG175" i="3" s="1"/>
  <c r="AF176" i="3"/>
  <c r="AG176" i="3" s="1"/>
  <c r="AF177" i="3"/>
  <c r="AG177" i="3" s="1"/>
  <c r="AF178" i="3"/>
  <c r="AG178" i="3" s="1"/>
  <c r="AF179" i="3"/>
  <c r="AG179" i="3" s="1"/>
  <c r="AF180" i="3"/>
  <c r="AG180" i="3" s="1"/>
  <c r="AF181" i="3"/>
  <c r="AG181" i="3" s="1"/>
  <c r="AF182" i="3"/>
  <c r="AG182" i="3" s="1"/>
  <c r="AF183" i="3"/>
  <c r="AG183" i="3" s="1"/>
  <c r="AF184" i="3"/>
  <c r="AG184" i="3" s="1"/>
  <c r="AF185" i="3"/>
  <c r="AG185" i="3" s="1"/>
  <c r="AF186" i="3"/>
  <c r="AG186" i="3" s="1"/>
  <c r="AF187" i="3"/>
  <c r="AG187" i="3" s="1"/>
  <c r="AF188" i="3"/>
  <c r="AG188" i="3" s="1"/>
  <c r="AF189" i="3"/>
  <c r="AG189" i="3" s="1"/>
  <c r="AF190" i="3"/>
  <c r="AG190" i="3" s="1"/>
  <c r="AF191" i="3"/>
  <c r="AG191" i="3" s="1"/>
  <c r="AF192" i="3"/>
  <c r="AG192" i="3" s="1"/>
  <c r="AF193" i="3"/>
  <c r="AG193" i="3" s="1"/>
  <c r="AF194" i="3"/>
  <c r="AG194" i="3" s="1"/>
  <c r="AF195" i="3"/>
  <c r="AG195" i="3" s="1"/>
  <c r="AF196" i="3"/>
  <c r="AG196" i="3" s="1"/>
  <c r="AF197" i="3"/>
  <c r="AG197" i="3" s="1"/>
  <c r="AF198" i="3"/>
  <c r="AG198" i="3" s="1"/>
  <c r="AF199" i="3"/>
  <c r="AG199" i="3" s="1"/>
  <c r="AF200" i="3"/>
  <c r="AG200" i="3" s="1"/>
  <c r="AF201" i="3"/>
  <c r="AG201" i="3" s="1"/>
  <c r="AF202" i="3"/>
  <c r="AG202" i="3" s="1"/>
  <c r="AF203" i="3"/>
  <c r="AG203" i="3" s="1"/>
  <c r="AF204" i="3"/>
  <c r="AG204" i="3" s="1"/>
  <c r="AF205" i="3"/>
  <c r="AG205" i="3" s="1"/>
  <c r="AF206" i="3"/>
  <c r="AG206" i="3" s="1"/>
  <c r="AF207" i="3"/>
  <c r="AG207" i="3" s="1"/>
  <c r="AF208" i="3"/>
  <c r="AG208" i="3" s="1"/>
  <c r="AF209" i="3"/>
  <c r="AG209" i="3" s="1"/>
  <c r="AF210" i="3"/>
  <c r="AG210" i="3" s="1"/>
  <c r="AF211" i="3"/>
  <c r="AG211" i="3" s="1"/>
  <c r="AF212" i="3"/>
  <c r="AG212" i="3" s="1"/>
  <c r="AF213" i="3"/>
  <c r="AG213" i="3" s="1"/>
  <c r="AF214" i="3"/>
  <c r="AG214" i="3" s="1"/>
  <c r="AF215" i="3"/>
  <c r="AG215" i="3" s="1"/>
  <c r="AF216" i="3"/>
  <c r="AG216" i="3" s="1"/>
  <c r="AF217" i="3"/>
  <c r="AG217" i="3" s="1"/>
  <c r="AF218" i="3"/>
  <c r="AG218" i="3" s="1"/>
  <c r="AF219" i="3"/>
  <c r="AG219" i="3" s="1"/>
  <c r="AF220" i="3"/>
  <c r="AG220" i="3" s="1"/>
  <c r="AF221" i="3"/>
  <c r="AG221" i="3" s="1"/>
  <c r="AF222" i="3"/>
  <c r="AG222" i="3" s="1"/>
  <c r="AF223" i="3"/>
  <c r="AG223" i="3" s="1"/>
  <c r="AF224" i="3"/>
  <c r="AG224" i="3" s="1"/>
  <c r="AF225" i="3"/>
  <c r="AG225" i="3" s="1"/>
  <c r="AF226" i="3"/>
  <c r="AG226" i="3" s="1"/>
  <c r="AF227" i="3"/>
  <c r="AG227" i="3" s="1"/>
  <c r="AF228" i="3"/>
  <c r="AG228" i="3" s="1"/>
  <c r="AF229" i="3"/>
  <c r="AG229" i="3" s="1"/>
  <c r="AF230" i="3"/>
  <c r="AG230" i="3" s="1"/>
  <c r="AF231" i="3"/>
  <c r="AG231" i="3" s="1"/>
  <c r="AF232" i="3"/>
  <c r="AG232" i="3" s="1"/>
  <c r="AF233" i="3"/>
  <c r="AG233" i="3" s="1"/>
  <c r="AF234" i="3"/>
  <c r="AG234" i="3" s="1"/>
  <c r="AF235" i="3"/>
  <c r="AG235" i="3" s="1"/>
  <c r="AF236" i="3"/>
  <c r="AG236" i="3" s="1"/>
  <c r="AF237" i="3"/>
  <c r="AG237" i="3" s="1"/>
  <c r="AF238" i="3"/>
  <c r="AG238" i="3" s="1"/>
  <c r="AF239" i="3"/>
  <c r="AG239" i="3" s="1"/>
  <c r="AF240" i="3"/>
  <c r="AG240" i="3" s="1"/>
  <c r="AF241" i="3"/>
  <c r="AG241" i="3" s="1"/>
  <c r="AF242" i="3"/>
  <c r="AG242" i="3" s="1"/>
  <c r="AF243" i="3"/>
  <c r="AG243" i="3" s="1"/>
  <c r="AF244" i="3"/>
  <c r="AG244" i="3" s="1"/>
  <c r="AF245" i="3"/>
  <c r="AG245" i="3" s="1"/>
  <c r="AF246" i="3"/>
  <c r="AG246" i="3" s="1"/>
  <c r="AF247" i="3"/>
  <c r="AG247" i="3" s="1"/>
  <c r="AF248" i="3"/>
  <c r="AG248" i="3" s="1"/>
  <c r="AF249" i="3"/>
  <c r="AG249" i="3" s="1"/>
  <c r="AF250" i="3"/>
  <c r="AG250" i="3" s="1"/>
  <c r="AF251" i="3"/>
  <c r="AG251" i="3" s="1"/>
  <c r="AF252" i="3"/>
  <c r="AG252" i="3" s="1"/>
  <c r="AF253" i="3"/>
  <c r="AG253" i="3" s="1"/>
  <c r="AF254" i="3"/>
  <c r="AG254" i="3" s="1"/>
  <c r="AF255" i="3"/>
  <c r="AG255" i="3" s="1"/>
  <c r="AF256" i="3"/>
  <c r="AG256" i="3" s="1"/>
  <c r="AF257" i="3"/>
  <c r="AG257" i="3" s="1"/>
  <c r="AF258" i="3"/>
  <c r="AG258" i="3" s="1"/>
  <c r="AF259" i="3"/>
  <c r="AG259" i="3" s="1"/>
  <c r="AF260" i="3"/>
  <c r="AG260" i="3" s="1"/>
  <c r="AF261" i="3"/>
  <c r="AG261" i="3" s="1"/>
  <c r="AF262" i="3"/>
  <c r="AG262" i="3" s="1"/>
  <c r="AF263" i="3"/>
  <c r="AG263" i="3" s="1"/>
  <c r="AF264" i="3"/>
  <c r="AG264" i="3" s="1"/>
  <c r="AF265" i="3"/>
  <c r="AG265" i="3" s="1"/>
  <c r="AF266" i="3"/>
  <c r="AG266" i="3" s="1"/>
  <c r="AF267" i="3"/>
  <c r="AG267" i="3" s="1"/>
  <c r="AF268" i="3"/>
  <c r="AG268" i="3" s="1"/>
  <c r="AF269" i="3"/>
  <c r="AG269" i="3" s="1"/>
  <c r="AF270" i="3"/>
  <c r="AG270" i="3" s="1"/>
  <c r="AF271" i="3"/>
  <c r="AG271" i="3" s="1"/>
  <c r="AF272" i="3"/>
  <c r="AG272" i="3" s="1"/>
  <c r="AF273" i="3"/>
  <c r="AG273" i="3" s="1"/>
  <c r="AF274" i="3"/>
  <c r="AG274" i="3" s="1"/>
  <c r="AF275" i="3"/>
  <c r="AG275" i="3" s="1"/>
  <c r="AF276" i="3"/>
  <c r="AG276" i="3" s="1"/>
  <c r="AF277" i="3"/>
  <c r="AG277" i="3" s="1"/>
  <c r="AF278" i="3"/>
  <c r="AG278" i="3" s="1"/>
  <c r="AF279" i="3"/>
  <c r="AG279" i="3" s="1"/>
  <c r="AF280" i="3"/>
  <c r="AG280" i="3" s="1"/>
  <c r="AF281" i="3"/>
  <c r="AG281" i="3" s="1"/>
  <c r="AF282" i="3"/>
  <c r="AG282" i="3" s="1"/>
  <c r="AF283" i="3"/>
  <c r="AG283" i="3" s="1"/>
  <c r="AF284" i="3"/>
  <c r="AG284" i="3" s="1"/>
  <c r="AF285" i="3"/>
  <c r="AG285" i="3" s="1"/>
  <c r="AF286" i="3"/>
  <c r="AG286" i="3" s="1"/>
  <c r="AF287" i="3"/>
  <c r="AG287" i="3" s="1"/>
  <c r="AF288" i="3"/>
  <c r="AG288" i="3" s="1"/>
  <c r="AF289" i="3"/>
  <c r="AG289" i="3" s="1"/>
  <c r="AF290" i="3"/>
  <c r="AG290" i="3" s="1"/>
  <c r="AF291" i="3"/>
  <c r="AG291" i="3" s="1"/>
  <c r="AF292" i="3"/>
  <c r="AG292" i="3" s="1"/>
  <c r="AF293" i="3"/>
  <c r="AG293" i="3" s="1"/>
  <c r="AF294" i="3"/>
  <c r="AG294" i="3" s="1"/>
  <c r="AF295" i="3"/>
  <c r="AG295" i="3" s="1"/>
  <c r="AF296" i="3"/>
  <c r="AG296" i="3" s="1"/>
  <c r="AF297" i="3"/>
  <c r="AG297" i="3" s="1"/>
  <c r="AF298" i="3"/>
  <c r="AG298" i="3" s="1"/>
  <c r="AF299" i="3"/>
  <c r="AG299" i="3" s="1"/>
  <c r="AF300" i="3"/>
  <c r="AG300" i="3" s="1"/>
  <c r="AF301" i="3"/>
  <c r="AG301" i="3" s="1"/>
  <c r="AF302" i="3"/>
  <c r="AG302" i="3" s="1"/>
  <c r="AF303" i="3"/>
  <c r="AG303" i="3" s="1"/>
  <c r="AF304" i="3"/>
  <c r="AG304" i="3" s="1"/>
  <c r="AF305" i="3"/>
  <c r="AG305" i="3" s="1"/>
  <c r="AF306" i="3"/>
  <c r="AG306" i="3" s="1"/>
  <c r="AF307" i="3"/>
  <c r="AG307" i="3" s="1"/>
  <c r="AF308" i="3"/>
  <c r="AG308" i="3" s="1"/>
  <c r="AF309" i="3"/>
  <c r="AG309" i="3" s="1"/>
  <c r="AF310" i="3"/>
  <c r="AG310" i="3" s="1"/>
  <c r="AF311" i="3"/>
  <c r="AG311" i="3" s="1"/>
  <c r="AF312" i="3"/>
  <c r="AG312" i="3" s="1"/>
  <c r="AF313" i="3"/>
  <c r="AG313" i="3" s="1"/>
  <c r="AF314" i="3"/>
  <c r="AG314" i="3" s="1"/>
  <c r="AF315" i="3"/>
  <c r="AG315" i="3" s="1"/>
  <c r="AF316" i="3"/>
  <c r="AG316" i="3" s="1"/>
  <c r="AF317" i="3"/>
  <c r="AG317" i="3" s="1"/>
  <c r="AF318" i="3"/>
  <c r="AG318" i="3" s="1"/>
  <c r="AF319" i="3"/>
  <c r="AG319" i="3" s="1"/>
  <c r="AF320" i="3"/>
  <c r="AG320" i="3" s="1"/>
  <c r="AF321" i="3"/>
  <c r="AG321" i="3" s="1"/>
  <c r="AF322" i="3"/>
  <c r="AG322" i="3" s="1"/>
  <c r="AF323" i="3"/>
  <c r="AG323" i="3" s="1"/>
  <c r="AF324" i="3"/>
  <c r="AG324" i="3" s="1"/>
  <c r="AF325" i="3"/>
  <c r="AG325" i="3" s="1"/>
  <c r="AF326" i="3"/>
  <c r="AG326" i="3" s="1"/>
  <c r="AF327" i="3"/>
  <c r="AG327" i="3" s="1"/>
  <c r="AF328" i="3"/>
  <c r="AG328" i="3" s="1"/>
  <c r="AF329" i="3"/>
  <c r="AG329" i="3" s="1"/>
  <c r="AF330" i="3"/>
  <c r="AG330" i="3" s="1"/>
  <c r="AF331" i="3"/>
  <c r="AG331" i="3" s="1"/>
  <c r="AF332" i="3"/>
  <c r="AG332" i="3" s="1"/>
  <c r="AF333" i="3"/>
  <c r="AG333" i="3" s="1"/>
  <c r="AF334" i="3"/>
  <c r="AG334" i="3" s="1"/>
  <c r="AF335" i="3"/>
  <c r="AG335" i="3" s="1"/>
  <c r="AF336" i="3"/>
  <c r="AG336" i="3" s="1"/>
  <c r="AF337" i="3"/>
  <c r="AG337" i="3" s="1"/>
  <c r="AF338" i="3"/>
  <c r="AG338" i="3" s="1"/>
  <c r="AF339" i="3"/>
  <c r="AG339" i="3" s="1"/>
  <c r="AF340" i="3"/>
  <c r="AG340" i="3" s="1"/>
  <c r="AF341" i="3"/>
  <c r="AG341" i="3" s="1"/>
  <c r="AF342" i="3"/>
  <c r="AG342" i="3" s="1"/>
  <c r="AF343" i="3"/>
  <c r="AG343" i="3" s="1"/>
  <c r="AF344" i="3"/>
  <c r="AG344" i="3" s="1"/>
  <c r="AF345" i="3"/>
  <c r="AG345" i="3" s="1"/>
  <c r="AF346" i="3"/>
  <c r="AG346" i="3" s="1"/>
  <c r="AF347" i="3"/>
  <c r="AG347" i="3" s="1"/>
  <c r="AF348" i="3"/>
  <c r="AG348" i="3" s="1"/>
  <c r="AF349" i="3"/>
  <c r="AG349" i="3" s="1"/>
  <c r="AF350" i="3"/>
  <c r="AG350" i="3" s="1"/>
  <c r="AF351" i="3"/>
  <c r="AG351" i="3" s="1"/>
  <c r="AF352" i="3"/>
  <c r="AG352" i="3" s="1"/>
  <c r="AF353" i="3"/>
  <c r="AG353" i="3" s="1"/>
  <c r="AF354" i="3"/>
  <c r="AG354" i="3" s="1"/>
  <c r="AF355" i="3"/>
  <c r="AG355" i="3" s="1"/>
  <c r="AF356" i="3"/>
  <c r="AG356" i="3" s="1"/>
  <c r="AF357" i="3"/>
  <c r="AG357" i="3" s="1"/>
  <c r="AF358" i="3"/>
  <c r="AG358" i="3" s="1"/>
  <c r="AF359" i="3"/>
  <c r="AG359" i="3" s="1"/>
  <c r="AF360" i="3"/>
  <c r="AG360" i="3" s="1"/>
  <c r="AF361" i="3"/>
  <c r="AG361" i="3" s="1"/>
  <c r="AF362" i="3"/>
  <c r="AG362" i="3" s="1"/>
  <c r="AF363" i="3"/>
  <c r="AG363" i="3" s="1"/>
  <c r="AF364" i="3"/>
  <c r="AG364" i="3" s="1"/>
  <c r="AF365" i="3"/>
  <c r="AG365" i="3" s="1"/>
  <c r="AF366" i="3"/>
  <c r="AG366" i="3" s="1"/>
  <c r="AF367" i="3"/>
  <c r="AG367" i="3" s="1"/>
  <c r="AF368" i="3"/>
  <c r="AG368" i="3" s="1"/>
  <c r="AF369" i="3"/>
  <c r="AG369" i="3" s="1"/>
  <c r="AF370" i="3"/>
  <c r="AG370" i="3" s="1"/>
  <c r="AF371" i="3"/>
  <c r="AG371" i="3" s="1"/>
  <c r="AF372" i="3"/>
  <c r="AG372" i="3" s="1"/>
  <c r="AF373" i="3"/>
  <c r="AG373" i="3" s="1"/>
  <c r="AF374" i="3"/>
  <c r="AG374" i="3" s="1"/>
  <c r="AF375" i="3"/>
  <c r="AG375" i="3" s="1"/>
  <c r="AF376" i="3"/>
  <c r="AG376" i="3" s="1"/>
  <c r="AF377" i="3"/>
  <c r="AG377" i="3" s="1"/>
  <c r="AF378" i="3"/>
  <c r="AG378" i="3" s="1"/>
  <c r="AF379" i="3"/>
  <c r="AG379" i="3" s="1"/>
  <c r="AF380" i="3"/>
  <c r="AG380" i="3" s="1"/>
  <c r="AF381" i="3"/>
  <c r="AG381" i="3" s="1"/>
  <c r="AF382" i="3"/>
  <c r="AG382" i="3" s="1"/>
  <c r="AF383" i="3"/>
  <c r="AG383" i="3" s="1"/>
  <c r="AF384" i="3"/>
  <c r="AG384" i="3" s="1"/>
  <c r="AF385" i="3"/>
  <c r="AG385" i="3" s="1"/>
  <c r="AF386" i="3"/>
  <c r="AG386" i="3" s="1"/>
  <c r="AF387" i="3"/>
  <c r="AG387" i="3" s="1"/>
  <c r="AF388" i="3"/>
  <c r="AG388" i="3" s="1"/>
  <c r="AF389" i="3"/>
  <c r="AG389" i="3" s="1"/>
  <c r="AF390" i="3"/>
  <c r="AG390" i="3" s="1"/>
  <c r="AF391" i="3"/>
  <c r="AG391" i="3" s="1"/>
  <c r="AF392" i="3"/>
  <c r="AG392" i="3" s="1"/>
  <c r="AF393" i="3"/>
  <c r="AG393" i="3" s="1"/>
  <c r="AF394" i="3"/>
  <c r="AG394" i="3" s="1"/>
  <c r="AF395" i="3"/>
  <c r="AG395" i="3" s="1"/>
  <c r="AF396" i="3"/>
  <c r="AG396" i="3" s="1"/>
  <c r="AF397" i="3"/>
  <c r="AG397" i="3" s="1"/>
  <c r="AF398" i="3"/>
  <c r="AG398" i="3" s="1"/>
  <c r="AF399" i="3"/>
  <c r="AG399" i="3" s="1"/>
  <c r="AF400" i="3"/>
  <c r="AG400" i="3" s="1"/>
  <c r="AF401" i="3"/>
  <c r="AG401" i="3" s="1"/>
  <c r="AF402" i="3"/>
  <c r="AG402" i="3" s="1"/>
  <c r="AF403" i="3"/>
  <c r="AG403" i="3" s="1"/>
  <c r="AF404" i="3"/>
  <c r="AG404" i="3" s="1"/>
  <c r="AF405" i="3"/>
  <c r="AG405" i="3" s="1"/>
  <c r="AF406" i="3"/>
  <c r="AG406" i="3" s="1"/>
  <c r="AF407" i="3"/>
  <c r="AG407" i="3" s="1"/>
  <c r="AF408" i="3"/>
  <c r="AG408" i="3" s="1"/>
  <c r="AF409" i="3"/>
  <c r="AG409" i="3" s="1"/>
  <c r="AF410" i="3"/>
  <c r="AG410" i="3" s="1"/>
  <c r="AF411" i="3"/>
  <c r="AG411" i="3" s="1"/>
  <c r="AF412" i="3"/>
  <c r="AG412" i="3" s="1"/>
  <c r="AF413" i="3"/>
  <c r="AG413" i="3" s="1"/>
  <c r="AF414" i="3"/>
  <c r="AG414" i="3" s="1"/>
  <c r="AF415" i="3"/>
  <c r="AG415" i="3" s="1"/>
  <c r="AF416" i="3"/>
  <c r="AG416" i="3" s="1"/>
  <c r="AF417" i="3"/>
  <c r="AG417" i="3" s="1"/>
  <c r="AF418" i="3"/>
  <c r="AG418" i="3" s="1"/>
  <c r="AF419" i="3"/>
  <c r="AG419" i="3" s="1"/>
  <c r="AF420" i="3"/>
  <c r="AG420" i="3" s="1"/>
  <c r="AF421" i="3"/>
  <c r="AG421" i="3" s="1"/>
  <c r="AF422" i="3"/>
  <c r="AG422" i="3" s="1"/>
  <c r="AF423" i="3"/>
  <c r="AG423" i="3" s="1"/>
  <c r="AF424" i="3"/>
  <c r="AG424" i="3" s="1"/>
  <c r="AF425" i="3"/>
  <c r="AG425" i="3" s="1"/>
  <c r="AF426" i="3"/>
  <c r="AG426" i="3" s="1"/>
  <c r="AF427" i="3"/>
  <c r="AG427" i="3" s="1"/>
  <c r="AF428" i="3"/>
  <c r="AG428" i="3" s="1"/>
  <c r="AF429" i="3"/>
  <c r="AG429" i="3" s="1"/>
  <c r="AF430" i="3"/>
  <c r="AG430" i="3" s="1"/>
  <c r="AF431" i="3"/>
  <c r="AG431" i="3" s="1"/>
  <c r="AF432" i="3"/>
  <c r="AG432" i="3" s="1"/>
  <c r="AF433" i="3"/>
  <c r="AG433" i="3" s="1"/>
  <c r="AF434" i="3"/>
  <c r="AG434" i="3" s="1"/>
  <c r="AF435" i="3"/>
  <c r="AG435" i="3" s="1"/>
  <c r="AF436" i="3"/>
  <c r="AG436" i="3" s="1"/>
  <c r="AF437" i="3"/>
  <c r="AG437" i="3" s="1"/>
  <c r="AF438" i="3"/>
  <c r="AG438" i="3" s="1"/>
  <c r="AF439" i="3"/>
  <c r="AG439" i="3" s="1"/>
  <c r="AF440" i="3"/>
  <c r="AG440" i="3" s="1"/>
  <c r="AF441" i="3"/>
  <c r="AG441" i="3" s="1"/>
  <c r="AF442" i="3"/>
  <c r="AG442" i="3" s="1"/>
  <c r="AF443" i="3"/>
  <c r="AG443" i="3" s="1"/>
  <c r="AF444" i="3"/>
  <c r="AG444" i="3" s="1"/>
  <c r="AF445" i="3"/>
  <c r="AG445" i="3" s="1"/>
  <c r="AF446" i="3"/>
  <c r="AG446" i="3" s="1"/>
  <c r="AF447" i="3"/>
  <c r="AG447" i="3" s="1"/>
  <c r="AF448" i="3"/>
  <c r="AG448" i="3" s="1"/>
  <c r="AF449" i="3"/>
  <c r="AG449" i="3" s="1"/>
  <c r="AF450" i="3"/>
  <c r="AG450" i="3" s="1"/>
  <c r="AF451" i="3"/>
  <c r="AG451" i="3" s="1"/>
  <c r="AF452" i="3"/>
  <c r="AG452" i="3" s="1"/>
  <c r="AF453" i="3"/>
  <c r="AG453" i="3" s="1"/>
  <c r="AF454" i="3"/>
  <c r="AG454" i="3" s="1"/>
  <c r="AF455" i="3"/>
  <c r="AG455" i="3" s="1"/>
  <c r="AF456" i="3"/>
  <c r="AG456" i="3" s="1"/>
  <c r="AF457" i="3"/>
  <c r="AG457" i="3" s="1"/>
  <c r="AF458" i="3"/>
  <c r="AG458" i="3" s="1"/>
  <c r="AF459" i="3"/>
  <c r="AG459" i="3" s="1"/>
  <c r="AF460" i="3"/>
  <c r="AG460" i="3" s="1"/>
  <c r="AF461" i="3"/>
  <c r="AG461" i="3" s="1"/>
  <c r="AF462" i="3"/>
  <c r="AG462" i="3" s="1"/>
  <c r="AF463" i="3"/>
  <c r="AG463" i="3" s="1"/>
  <c r="AF464" i="3"/>
  <c r="AG464" i="3" s="1"/>
  <c r="AF465" i="3"/>
  <c r="AG465" i="3" s="1"/>
  <c r="AF466" i="3"/>
  <c r="AG466" i="3" s="1"/>
  <c r="AF467" i="3"/>
  <c r="AG467" i="3" s="1"/>
  <c r="AF468" i="3"/>
  <c r="AG468" i="3" s="1"/>
  <c r="AF469" i="3"/>
  <c r="AG469" i="3" s="1"/>
  <c r="AF470" i="3"/>
  <c r="AG470" i="3" s="1"/>
  <c r="AF471" i="3"/>
  <c r="AG471" i="3" s="1"/>
  <c r="AF2" i="3"/>
  <c r="AG2" i="3" s="1"/>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2" i="3"/>
</calcChain>
</file>

<file path=xl/sharedStrings.xml><?xml version="1.0" encoding="utf-8"?>
<sst xmlns="http://schemas.openxmlformats.org/spreadsheetml/2006/main" count="5898" uniqueCount="1166">
  <si>
    <t>Type</t>
  </si>
  <si>
    <t>Contract</t>
  </si>
  <si>
    <t>Advisory</t>
  </si>
  <si>
    <t>Responsible</t>
  </si>
  <si>
    <t>Ana Marta</t>
  </si>
  <si>
    <t>Paulo Fernando</t>
  </si>
  <si>
    <t>Julio Pereira</t>
  </si>
  <si>
    <t>Object</t>
  </si>
  <si>
    <t>Contry</t>
  </si>
  <si>
    <t>Brasil</t>
  </si>
  <si>
    <t>Chile</t>
  </si>
  <si>
    <t>Argentina</t>
  </si>
  <si>
    <t>USA</t>
  </si>
  <si>
    <t>Contract Risk X Value</t>
  </si>
  <si>
    <t xml:space="preserve"> Activite</t>
  </si>
  <si>
    <t>Legal Advice</t>
  </si>
  <si>
    <t xml:space="preserve">with Intellectual hour </t>
  </si>
  <si>
    <t>Valor/Hora</t>
  </si>
  <si>
    <t>Requested Area</t>
  </si>
  <si>
    <t>Contract or advisory name</t>
  </si>
  <si>
    <t>Third-party name</t>
  </si>
  <si>
    <r>
      <t xml:space="preserve">Type 
</t>
    </r>
    <r>
      <rPr>
        <sz val="11"/>
        <color theme="1"/>
        <rFont val="Aptos Narrow"/>
        <family val="2"/>
        <scheme val="minor"/>
      </rPr>
      <t>B2E = 1
B2B = 2
B2G = 3</t>
    </r>
  </si>
  <si>
    <r>
      <t xml:space="preserve">Object
</t>
    </r>
    <r>
      <rPr>
        <sz val="11"/>
        <color theme="1"/>
        <rFont val="Aptos Narrow"/>
        <family val="2"/>
        <scheme val="minor"/>
      </rPr>
      <t>Private Partnes = 1
Law Firm = 2
Sales/ Government = 3</t>
    </r>
  </si>
  <si>
    <t>Country</t>
  </si>
  <si>
    <t>Subsidiary</t>
  </si>
  <si>
    <t xml:space="preserve">Project Value / Contract Value in local currency </t>
  </si>
  <si>
    <t>Contract Risk x Value
Until 50.000 BRL = 1
Above 50.999 BRL until 100.000 BRL = 2
Above 10.999 = 3</t>
  </si>
  <si>
    <t>Contract period (months)</t>
  </si>
  <si>
    <t>Request Data</t>
  </si>
  <si>
    <t>Inicial Data</t>
  </si>
  <si>
    <t>SLA  (5 working days)</t>
  </si>
  <si>
    <t>Description</t>
  </si>
  <si>
    <t>Weekly</t>
  </si>
  <si>
    <t>Final reply</t>
  </si>
  <si>
    <t>Working time in days</t>
  </si>
  <si>
    <t>Savings</t>
  </si>
  <si>
    <t>Work Hours</t>
  </si>
  <si>
    <t>Status</t>
  </si>
  <si>
    <t>Contract Signed</t>
  </si>
  <si>
    <r>
      <t xml:space="preserve">Active processing of personal data
</t>
    </r>
    <r>
      <rPr>
        <sz val="11"/>
        <color theme="1"/>
        <rFont val="Aptos Narrow"/>
        <family val="2"/>
        <scheme val="minor"/>
      </rPr>
      <t>(YES or NO)</t>
    </r>
  </si>
  <si>
    <r>
      <t xml:space="preserve">Data Type
</t>
    </r>
    <r>
      <rPr>
        <sz val="10"/>
        <color theme="1"/>
        <rFont val="Aptos Narrow"/>
        <family val="2"/>
        <scheme val="minor"/>
      </rPr>
      <t>Common Personal Data (pseudo and identifible) = 1</t>
    </r>
    <r>
      <rPr>
        <b/>
        <sz val="10"/>
        <color theme="1"/>
        <rFont val="Aptos Narrow"/>
        <family val="2"/>
        <scheme val="minor"/>
      </rPr>
      <t xml:space="preserve">
</t>
    </r>
    <r>
      <rPr>
        <sz val="10"/>
        <color theme="1"/>
        <rFont val="Aptos Narrow"/>
        <family val="2"/>
        <scheme val="minor"/>
      </rPr>
      <t>Common Personal Data (identified) = 2
Sensitive Data = 3</t>
    </r>
  </si>
  <si>
    <r>
      <t xml:space="preserve">Titleholder Category
</t>
    </r>
    <r>
      <rPr>
        <sz val="9"/>
        <color theme="1"/>
        <rFont val="Aptos Narrow"/>
        <family val="2"/>
        <scheme val="minor"/>
      </rPr>
      <t>Data from people +18 = 1
Data for people from 12 to 18  = 2
Data for people up to 12 and elderly = 3</t>
    </r>
  </si>
  <si>
    <r>
      <t xml:space="preserve">Reputational Risk
</t>
    </r>
    <r>
      <rPr>
        <sz val="10"/>
        <color theme="1"/>
        <rFont val="Aptos Narrow"/>
        <family val="2"/>
        <scheme val="minor"/>
      </rPr>
      <t>National Media = 1
National Authority = 2
International = 3</t>
    </r>
  </si>
  <si>
    <r>
      <t xml:space="preserve">Acceptance without restriction of the standard Compliance clause
 </t>
    </r>
    <r>
      <rPr>
        <sz val="11"/>
        <color theme="1"/>
        <rFont val="Aptos Narrow"/>
        <family val="2"/>
        <scheme val="minor"/>
      </rPr>
      <t>(Yes or No)</t>
    </r>
  </si>
  <si>
    <r>
      <t xml:space="preserve">Compliance Risk
</t>
    </r>
    <r>
      <rPr>
        <sz val="10"/>
        <color theme="1"/>
        <rFont val="Aptos Narrow"/>
        <family val="2"/>
        <scheme val="minor"/>
      </rPr>
      <t>Have a complet program = 1
Have a program, but is not complet = 2 
Don't have a program = 3</t>
    </r>
  </si>
  <si>
    <t xml:space="preserve">Risk Evaluation in numbers </t>
  </si>
  <si>
    <t xml:space="preserve">Risk Evaluation </t>
  </si>
  <si>
    <r>
      <t xml:space="preserve">Mitigation plan? 
</t>
    </r>
    <r>
      <rPr>
        <sz val="11"/>
        <color theme="1"/>
        <rFont val="Aptos Narrow"/>
        <family val="2"/>
        <scheme val="minor"/>
      </rPr>
      <t>(Yes or No)</t>
    </r>
  </si>
  <si>
    <t>Which?</t>
  </si>
  <si>
    <r>
      <t xml:space="preserve">Has the area accepted the mitigation plan? 
</t>
    </r>
    <r>
      <rPr>
        <sz val="11"/>
        <color theme="1"/>
        <rFont val="Aptos Narrow"/>
        <family val="2"/>
        <scheme val="minor"/>
      </rPr>
      <t>(Yes or No)</t>
    </r>
  </si>
  <si>
    <r>
      <t xml:space="preserve">They assume the risk
</t>
    </r>
    <r>
      <rPr>
        <sz val="11"/>
        <color theme="1"/>
        <rFont val="Aptos Narrow"/>
        <family val="2"/>
        <scheme val="minor"/>
      </rPr>
      <t>(Yes or No)</t>
    </r>
  </si>
  <si>
    <t>Done</t>
  </si>
  <si>
    <t>Holding</t>
  </si>
  <si>
    <t>In progress</t>
  </si>
  <si>
    <t>Affirmation</t>
  </si>
  <si>
    <t>Yes</t>
  </si>
  <si>
    <t>No</t>
  </si>
  <si>
    <t>Type Activite</t>
  </si>
  <si>
    <t>Drafting of contracts  or documents</t>
  </si>
  <si>
    <t>Follow-up of summons, notification  and expert examinations</t>
  </si>
  <si>
    <t>Purchasing</t>
  </si>
  <si>
    <t xml:space="preserve"> Kolossus 2024</t>
  </si>
  <si>
    <t>Asis Taxtech</t>
  </si>
  <si>
    <t>Sede</t>
  </si>
  <si>
    <t xml:space="preserve">Contract review - 01/02/24 
</t>
  </si>
  <si>
    <t>NO</t>
  </si>
  <si>
    <t>YES</t>
  </si>
  <si>
    <t>Administrative</t>
  </si>
  <si>
    <t xml:space="preserve"> Advisory</t>
  </si>
  <si>
    <t>Natália</t>
  </si>
  <si>
    <t xml:space="preserve">Natália </t>
  </si>
  <si>
    <t>Human Resources</t>
  </si>
  <si>
    <t>Commercial</t>
  </si>
  <si>
    <t>IT</t>
  </si>
  <si>
    <t>Legal</t>
  </si>
  <si>
    <t>CSR</t>
  </si>
  <si>
    <t>Financial</t>
  </si>
  <si>
    <t>Treasury</t>
  </si>
  <si>
    <t>Internal Control</t>
  </si>
  <si>
    <t>EHS</t>
  </si>
  <si>
    <t>Industrial</t>
  </si>
  <si>
    <t>Compliance</t>
  </si>
  <si>
    <t>FCB2</t>
  </si>
  <si>
    <t>Jurídico</t>
  </si>
  <si>
    <t>Corporate</t>
  </si>
  <si>
    <t>TI</t>
  </si>
  <si>
    <t>Purschasing FCB</t>
  </si>
  <si>
    <t>Lab</t>
  </si>
  <si>
    <t>Qualidade</t>
  </si>
  <si>
    <t>Marketing</t>
  </si>
  <si>
    <t>LAB</t>
  </si>
  <si>
    <t>Comex</t>
  </si>
  <si>
    <t>Purchasing FPF</t>
  </si>
  <si>
    <t>Purchasing FCB</t>
  </si>
  <si>
    <t>Purchasing FJA</t>
  </si>
  <si>
    <t>New Products</t>
  </si>
  <si>
    <t>RH</t>
  </si>
  <si>
    <t>Decor</t>
  </si>
  <si>
    <t>Compras</t>
  </si>
  <si>
    <t>Rent -Greetings 2024</t>
  </si>
  <si>
    <t>Building Rent - SEDE</t>
  </si>
  <si>
    <t>Pre-heating FPF</t>
  </si>
  <si>
    <t>House Rent</t>
  </si>
  <si>
    <t>TaxOne Software</t>
  </si>
  <si>
    <t>Plastic Shed Rent</t>
  </si>
  <si>
    <t>Doorman and Administrative Assistant</t>
  </si>
  <si>
    <t>Property guard hiring</t>
  </si>
  <si>
    <t>Equipments Rental</t>
  </si>
  <si>
    <t>Gas Supply</t>
  </si>
  <si>
    <t>International Routes</t>
  </si>
  <si>
    <t>International Routes Contracts Regularization</t>
  </si>
  <si>
    <t>PABX Contract</t>
  </si>
  <si>
    <t>NDA - Technology development</t>
  </si>
  <si>
    <t>supply of specialized automation labor</t>
  </si>
  <si>
    <t>Supply of glass</t>
  </si>
  <si>
    <t>Development of molds for bottles</t>
  </si>
  <si>
    <t>Legal Services Contract</t>
  </si>
  <si>
    <t>NDA</t>
  </si>
  <si>
    <t>RedeSul Sudoeste</t>
  </si>
  <si>
    <t>Fornecimento de Caco</t>
  </si>
  <si>
    <t>Identificação de depósito judicial</t>
  </si>
  <si>
    <t>Bernhoeft</t>
  </si>
  <si>
    <t>Estaq</t>
  </si>
  <si>
    <t>Comunicações</t>
  </si>
  <si>
    <t>Matrículas</t>
  </si>
  <si>
    <t>Reunião</t>
  </si>
  <si>
    <t>Notas pendentes</t>
  </si>
  <si>
    <t>Prestação de Serviços de Armazenagem</t>
  </si>
  <si>
    <t>Oxigênio Líquido</t>
  </si>
  <si>
    <t>Locação</t>
  </si>
  <si>
    <t>Canoas</t>
  </si>
  <si>
    <t>Montcal</t>
  </si>
  <si>
    <t>Greetings</t>
  </si>
  <si>
    <t>Delta Ducon</t>
  </si>
  <si>
    <t>Termo de Compromisso e Confidencialidade</t>
  </si>
  <si>
    <t>MS</t>
  </si>
  <si>
    <t>Engagement Letter</t>
  </si>
  <si>
    <t>Minerbo Fuchs</t>
  </si>
  <si>
    <t>Locação de Equipamentos</t>
  </si>
  <si>
    <t>Prestação de Serviços</t>
  </si>
  <si>
    <t>Âncora</t>
  </si>
  <si>
    <t>Projeto</t>
  </si>
  <si>
    <t>Pagamentos pendentes</t>
  </si>
  <si>
    <t>Fornecimento de GLP</t>
  </si>
  <si>
    <t>Condições Gerais de Compras</t>
  </si>
  <si>
    <t>Consulta leilão SGB</t>
  </si>
  <si>
    <t>Compilado PN</t>
  </si>
  <si>
    <t>Consulta possibilidade de acordo</t>
  </si>
  <si>
    <t>Retorno possibilidade de acordo</t>
  </si>
  <si>
    <t>Envio para assinatura</t>
  </si>
  <si>
    <t>Confirmação de minuta</t>
  </si>
  <si>
    <t>Solicitação pedido judicial</t>
  </si>
  <si>
    <t>Verificação bloqueio judicial</t>
  </si>
  <si>
    <t>Envio de intimação para o RH</t>
  </si>
  <si>
    <t>Consulta averbação em matrícula</t>
  </si>
  <si>
    <t>Renovação de usuário</t>
  </si>
  <si>
    <t>Direcionamento de NF</t>
  </si>
  <si>
    <t>Confirmação de anexo</t>
  </si>
  <si>
    <t>Requisição de pagamento</t>
  </si>
  <si>
    <t>Services Providing</t>
  </si>
  <si>
    <t>Contratação de terceiros</t>
  </si>
  <si>
    <t>Bloqueio Judicial - 15/02/2024</t>
  </si>
  <si>
    <t>ENC: DIRF 2023-2024 Juridico</t>
  </si>
  <si>
    <t xml:space="preserve"> ADAILTON FERREIRA</t>
  </si>
  <si>
    <t>Reunião Verallia e Grassi ref Alinhamento de Garantia</t>
  </si>
  <si>
    <t>Carta de Honorarios Verallia Chile</t>
  </si>
  <si>
    <t>Adesão e-social trabalhista</t>
  </si>
  <si>
    <t xml:space="preserve">RT EMERSON MACHADO SANTOS </t>
  </si>
  <si>
    <t>Indisponibilidade do imóvel matrícula 15.979</t>
  </si>
  <si>
    <t>Cadastro 13 Cartório</t>
  </si>
  <si>
    <t>Contrato Alemanha: GPS Insolvency Proceedings.</t>
  </si>
  <si>
    <t>Rescisão</t>
  </si>
  <si>
    <t>Código de Ética</t>
  </si>
  <si>
    <t>Anti Dumping</t>
  </si>
  <si>
    <t xml:space="preserve">antecedentes penales </t>
  </si>
  <si>
    <t>Multipensions</t>
  </si>
  <si>
    <t>Atlas Copco</t>
  </si>
  <si>
    <t>Atlas Copco e Recividro</t>
  </si>
  <si>
    <t>NDA to a non-identified vendor</t>
  </si>
  <si>
    <t>Autorização monitoramento</t>
  </si>
  <si>
    <t>Contrato de Prestação de Serviços</t>
  </si>
  <si>
    <t>Consulta de Compras</t>
  </si>
  <si>
    <t>Matriz de Compras</t>
  </si>
  <si>
    <t>3Con</t>
  </si>
  <si>
    <t>Área da Planta Linde</t>
  </si>
  <si>
    <t>CooperEmb</t>
  </si>
  <si>
    <t>Plásticos Novel</t>
  </si>
  <si>
    <t>SR Engenharia</t>
  </si>
  <si>
    <t>SOLAR</t>
  </si>
  <si>
    <t>Usina Zippe</t>
  </si>
  <si>
    <t>IRF</t>
  </si>
  <si>
    <t>ETR</t>
  </si>
  <si>
    <t>Ingersoll-Rand</t>
  </si>
  <si>
    <t>US Audit</t>
  </si>
  <si>
    <t>Áreas SE e relatório técnico</t>
  </si>
  <si>
    <t>Nacom Goya</t>
  </si>
  <si>
    <t>DOA</t>
  </si>
  <si>
    <t>NDA para serviços de ensaio</t>
  </si>
  <si>
    <t>Horas de trabajo Valdes</t>
  </si>
  <si>
    <t>Andamento RJ Petrópolis</t>
  </si>
  <si>
    <t>Solicitação de aditivo</t>
  </si>
  <si>
    <t>Solicitação de procuração</t>
  </si>
  <si>
    <t>Status de contratos</t>
  </si>
  <si>
    <t>Viabilidade processual</t>
  </si>
  <si>
    <t>Envio assinaturas</t>
  </si>
  <si>
    <t>Status de assinaturas</t>
  </si>
  <si>
    <t>Envio de docs</t>
  </si>
  <si>
    <t>Cancelamento</t>
  </si>
  <si>
    <t>Afastamento colaborador</t>
  </si>
  <si>
    <t>Orientação</t>
  </si>
  <si>
    <t>Solicitação Florencia</t>
  </si>
  <si>
    <t>Confissão de dívida</t>
  </si>
  <si>
    <t>Contract Termination</t>
  </si>
  <si>
    <t>Loan and Supply</t>
  </si>
  <si>
    <t>Partnership</t>
  </si>
  <si>
    <t>Services Providing and Supply</t>
  </si>
  <si>
    <t>Supply</t>
  </si>
  <si>
    <t>Pagamento Judicial</t>
  </si>
  <si>
    <t>Envio de procuração</t>
  </si>
  <si>
    <t>Consulta SAP</t>
  </si>
  <si>
    <t>Consulta de Assinatura</t>
  </si>
  <si>
    <t>Nova Ação Trabalhista</t>
  </si>
  <si>
    <t>Solicitação de DIRF</t>
  </si>
  <si>
    <t>Documento para assinatura</t>
  </si>
  <si>
    <t>Verificação de processo</t>
  </si>
  <si>
    <t>Renovação de acesso</t>
  </si>
  <si>
    <t>Fechamento Semanal</t>
  </si>
  <si>
    <t>Consulta contratual</t>
  </si>
  <si>
    <t xml:space="preserve">Solicitação de documentos </t>
  </si>
  <si>
    <t>Aprovação pedidos de pagamentos</t>
  </si>
  <si>
    <t>Tradução juramentada</t>
  </si>
  <si>
    <t>Contratação assistente técnico</t>
  </si>
  <si>
    <t>Agendamente de perícia</t>
  </si>
  <si>
    <t>Dúvida contrato Vibrantz</t>
  </si>
  <si>
    <t>Outsourcing (segundo contrato)</t>
  </si>
  <si>
    <t>Ação Declaratória</t>
  </si>
  <si>
    <t>Recontratações</t>
  </si>
  <si>
    <t>Responsabilidade processual</t>
  </si>
  <si>
    <t>Acordo Comercial</t>
  </si>
  <si>
    <t>Subsídios de defesa</t>
  </si>
  <si>
    <t>Atualização dos contratos jurídico</t>
  </si>
  <si>
    <t>Documentos para Renovação Policia Civil FJA</t>
  </si>
  <si>
    <t>Purchase - Venezuela</t>
  </si>
  <si>
    <t>Contratação sistema de exaustão da archa da decoração</t>
  </si>
  <si>
    <t>Sistema de Backup - Rosario</t>
  </si>
  <si>
    <t>Arrendamento de equipamento de impressão.</t>
  </si>
  <si>
    <t>Atas 55 e 56</t>
  </si>
  <si>
    <t xml:space="preserve">Declaração de beneficiário </t>
  </si>
  <si>
    <t>Avaliação de demissão e reintegração em emprego anterior</t>
  </si>
  <si>
    <t xml:space="preserve">Oportunidade - Empresas enquadradas no Programa Empresa Cidadã - MS 5006544-24.2023.4.03.6100 </t>
  </si>
  <si>
    <t>Equipments Supply</t>
  </si>
  <si>
    <t>New Projects</t>
  </si>
  <si>
    <t>Equipment Rental + Inputs Supply</t>
  </si>
  <si>
    <t>KPI</t>
  </si>
  <si>
    <t>Equipment supply</t>
  </si>
  <si>
    <t>SOLICTAÇÃO DE DOCUMENTOS</t>
  </si>
  <si>
    <t>Contrato Assinado</t>
  </si>
  <si>
    <t xml:space="preserve">Envio procuração </t>
  </si>
  <si>
    <t>Consulta Bloqueio</t>
  </si>
  <si>
    <t>Divulgação provisão</t>
  </si>
  <si>
    <t>Treinamento</t>
  </si>
  <si>
    <t>Apostilamento de documento</t>
  </si>
  <si>
    <t>Parecer Jurídico</t>
  </si>
  <si>
    <t>Consolidação Dirf</t>
  </si>
  <si>
    <t>Envio documento assinado</t>
  </si>
  <si>
    <t>Solicitação compromissos</t>
  </si>
  <si>
    <t xml:space="preserve">Agendamento de perícia </t>
  </si>
  <si>
    <t>Confirmação de perícia</t>
  </si>
  <si>
    <t xml:space="preserve">Solicitação Planilha benefício econômico </t>
  </si>
  <si>
    <t>Envio documento para assinatura</t>
  </si>
  <si>
    <t>IHC</t>
  </si>
  <si>
    <t>CS METAL</t>
  </si>
  <si>
    <t>Indicadores</t>
  </si>
  <si>
    <t>Ação Trabalhista</t>
  </si>
  <si>
    <t>Contrato Geoambiente</t>
  </si>
  <si>
    <t>Reunião Semanal</t>
  </si>
  <si>
    <t>DOA US Agents</t>
  </si>
  <si>
    <t>Zippe</t>
  </si>
  <si>
    <t>Contrato Projetista</t>
  </si>
  <si>
    <t>DS8 Eventos</t>
  </si>
  <si>
    <t>Arckivare</t>
  </si>
  <si>
    <t>Hero</t>
  </si>
  <si>
    <t>TDEC</t>
  </si>
  <si>
    <t>DIASE</t>
  </si>
  <si>
    <t>Delaware Audit</t>
  </si>
  <si>
    <t>Matriz de Riscos</t>
  </si>
  <si>
    <t>LINDE</t>
  </si>
  <si>
    <t>Demissão</t>
  </si>
  <si>
    <t>Nestlé</t>
  </si>
  <si>
    <t>Cláusula Bernhoeft</t>
  </si>
  <si>
    <t>Contrato</t>
  </si>
  <si>
    <t>Espaço Negócios Imobiliários</t>
  </si>
  <si>
    <t>EB Park Towers</t>
  </si>
  <si>
    <t>Hotwork</t>
  </si>
  <si>
    <t>REMO Imobiliária</t>
  </si>
  <si>
    <t>Thomson Reuters</t>
  </si>
  <si>
    <t>Ágape</t>
  </si>
  <si>
    <t>Sudeste Tecnologia em Serviços</t>
  </si>
  <si>
    <t>Segurança e Vigilância Sudeste</t>
  </si>
  <si>
    <t>Crown</t>
  </si>
  <si>
    <t>Consigaz</t>
  </si>
  <si>
    <t>Asia</t>
  </si>
  <si>
    <t>CH Robinson, Asia, Marimex, 3S/LeaderLog</t>
  </si>
  <si>
    <t>UNIFY</t>
  </si>
  <si>
    <t>Mineração JUNDU</t>
  </si>
  <si>
    <t>WB Segurança</t>
  </si>
  <si>
    <t>AG Automação e Elétrica</t>
  </si>
  <si>
    <t>Heinz do Brasil</t>
  </si>
  <si>
    <t>101 do Brasil</t>
  </si>
  <si>
    <t>ADVOCACIA FERNANDO RUDGE LEITE</t>
  </si>
  <si>
    <t>Simpress</t>
  </si>
  <si>
    <t>RESimple</t>
  </si>
  <si>
    <t>VICTOR VIDAL GONZALEZ</t>
  </si>
  <si>
    <t>Exante</t>
  </si>
  <si>
    <t>Neoenergia S.A.</t>
  </si>
  <si>
    <t>LAR PLASTICOS INDUSTRIA E COMERCIO DE PRODUTOS LTDA</t>
  </si>
  <si>
    <t>Molina Advogados</t>
  </si>
  <si>
    <t>Massfix</t>
  </si>
  <si>
    <t>Vendomática (Santiago y Rengo)</t>
  </si>
  <si>
    <t>CV GREEN SPA</t>
  </si>
  <si>
    <t>Kasznar Leonardos</t>
  </si>
  <si>
    <t>TECON</t>
  </si>
  <si>
    <t>Geoambiente</t>
  </si>
  <si>
    <t>MPT</t>
  </si>
  <si>
    <t>Aditivos Contratuais</t>
  </si>
  <si>
    <t>Albert Eistein</t>
  </si>
  <si>
    <t>Diageo</t>
  </si>
  <si>
    <t>Anderies &amp; Gomes</t>
  </si>
  <si>
    <t>Cayuga</t>
  </si>
  <si>
    <t>Notificação Extrajudicial</t>
  </si>
  <si>
    <t>Opus</t>
  </si>
  <si>
    <t>FEPAM</t>
  </si>
  <si>
    <t>Notificações Extrajudiciais</t>
  </si>
  <si>
    <t>Âncora, Linde e Minerbo Fuchs</t>
  </si>
  <si>
    <t>Aludra</t>
  </si>
  <si>
    <t>Dysis</t>
  </si>
  <si>
    <t>Recividro</t>
  </si>
  <si>
    <t>Partner</t>
  </si>
  <si>
    <t>Cláusula LGPD</t>
  </si>
  <si>
    <t>Documentos exigidos para a obra</t>
  </si>
  <si>
    <t>Sudeste Segurança</t>
  </si>
  <si>
    <t>Jundu</t>
  </si>
  <si>
    <t>Contratos anteriores FJA2</t>
  </si>
  <si>
    <t>Comprovante de pagamento de pagmento à prefeitura em 1977</t>
  </si>
  <si>
    <t>Rugde Leite</t>
  </si>
  <si>
    <t>SERASA</t>
  </si>
  <si>
    <t>Computécnica</t>
  </si>
  <si>
    <t>Corporate matters</t>
  </si>
  <si>
    <t>Mills</t>
  </si>
  <si>
    <t>Serasa</t>
  </si>
  <si>
    <t>Eurofirms</t>
  </si>
  <si>
    <t>GPS</t>
  </si>
  <si>
    <t>Inmobiliaria Reconquista</t>
  </si>
  <si>
    <t>Verallia Lab</t>
  </si>
  <si>
    <t>Verallia Chile</t>
  </si>
  <si>
    <t>Verallia Brasil</t>
  </si>
  <si>
    <t>Replace</t>
  </si>
  <si>
    <t>Projetista Verallia</t>
  </si>
  <si>
    <t>Alinhamento para liberação de matriz</t>
  </si>
  <si>
    <t xml:space="preserve">Prestação de Serviços </t>
  </si>
  <si>
    <t xml:space="preserve">Consulta Contrato </t>
  </si>
  <si>
    <t>Termo</t>
  </si>
  <si>
    <t>Projeto Canoas - Negociação Geoambiente</t>
  </si>
  <si>
    <t>Inquérito Criminal</t>
  </si>
  <si>
    <t>Santa Clara Warehouse</t>
  </si>
  <si>
    <t>Resíduos área SE</t>
  </si>
  <si>
    <t>RJ</t>
  </si>
  <si>
    <t>AGC VIDROS DO BRASIL</t>
  </si>
  <si>
    <t>Valdes</t>
  </si>
  <si>
    <t>Rudge Leite</t>
  </si>
  <si>
    <t>Futronic</t>
  </si>
  <si>
    <t>GlassColor</t>
  </si>
  <si>
    <t>FETZER EUA</t>
  </si>
  <si>
    <t>Adhara Serviços</t>
  </si>
  <si>
    <t>Luis Thadeu Filipino</t>
  </si>
  <si>
    <t>Rio Deserto</t>
  </si>
  <si>
    <t>Julia Eduarda da Silva</t>
  </si>
  <si>
    <t>Sidnei Bento Borges</t>
  </si>
  <si>
    <t>Fábrica de Doces TL</t>
  </si>
  <si>
    <t>Jurídico interno</t>
  </si>
  <si>
    <t>Único Logística</t>
  </si>
  <si>
    <t>Everton de Faria</t>
  </si>
  <si>
    <t>Everson de Faria and Alugmax</t>
  </si>
  <si>
    <t>Softys</t>
  </si>
  <si>
    <t>CH Robinson</t>
  </si>
  <si>
    <t>Plásticos Novel São Paulo</t>
  </si>
  <si>
    <t>3s Leader</t>
  </si>
  <si>
    <t>PROGTEC</t>
  </si>
  <si>
    <t>Rezende &amp; Frota (Atack)</t>
  </si>
  <si>
    <t>ECOLAB</t>
  </si>
  <si>
    <t>Molina &amp; Molina</t>
  </si>
  <si>
    <t>FDS TRANSPORTES (LL Executive)</t>
  </si>
  <si>
    <t>DAIAN ALEX SIQUEIRA (DS8 EVENTOS)</t>
  </si>
  <si>
    <t>Lockton</t>
  </si>
  <si>
    <t>Solar BR</t>
  </si>
  <si>
    <t>Marimex</t>
  </si>
  <si>
    <t>Bucher</t>
  </si>
  <si>
    <t>RBM</t>
  </si>
  <si>
    <t>Irmandade de Misericórdia de Porto Ferreira</t>
  </si>
  <si>
    <t>ISO Ambiental</t>
  </si>
  <si>
    <t>ELIZABETE MENEGASSI CARTUCHOS ME (LIGHT PRINT INFORMATICA LTDA)</t>
  </si>
  <si>
    <t>NB Priori</t>
  </si>
  <si>
    <t>Everson de Faria/Alugmax</t>
  </si>
  <si>
    <t xml:space="preserve">REPLACE PROJETOS E CONSULTORIA EM ENERGIA </t>
  </si>
  <si>
    <t>Vibrantz</t>
  </si>
  <si>
    <t xml:space="preserve">Financeiro </t>
  </si>
  <si>
    <t>Registradores</t>
  </si>
  <si>
    <t>Atos</t>
  </si>
  <si>
    <t xml:space="preserve">Manoel de Lima Farias </t>
  </si>
  <si>
    <t>VSPT - Vina San Pedro Taparaca</t>
  </si>
  <si>
    <t>AM Tornearia</t>
  </si>
  <si>
    <t>Sivan de Jesus Santos</t>
  </si>
  <si>
    <t>Norsul</t>
  </si>
  <si>
    <t>Uniglass</t>
  </si>
  <si>
    <t>Movistar</t>
  </si>
  <si>
    <t>Krese</t>
  </si>
  <si>
    <t>Banco Central</t>
  </si>
  <si>
    <t>Bruno Metz</t>
  </si>
  <si>
    <t>Molina</t>
  </si>
  <si>
    <t>Lenzi Engenharia</t>
  </si>
  <si>
    <t>Vanguarda Refratários</t>
  </si>
  <si>
    <t>Arckivare Administração</t>
  </si>
  <si>
    <t>VR Benefícios</t>
  </si>
  <si>
    <t>Contemar</t>
  </si>
  <si>
    <t>Mad Arte</t>
  </si>
  <si>
    <t>Nestle</t>
  </si>
  <si>
    <t xml:space="preserve">4I FOR INTELLIGENCE </t>
  </si>
  <si>
    <t>MCM Caldeiras</t>
  </si>
  <si>
    <t xml:space="preserve">AMBIPAR GREEN TECH </t>
  </si>
  <si>
    <t>SAP Payment</t>
  </si>
  <si>
    <t>Auditoria BR</t>
  </si>
  <si>
    <t>Matrículas FCB2</t>
  </si>
  <si>
    <t>Ação Trabalhista - Sivan de Jesus Santos</t>
  </si>
  <si>
    <t>Estaq - Âncora</t>
  </si>
  <si>
    <t>Contrato Prestação de Serviços de Montagem</t>
  </si>
  <si>
    <t>Contrato Arckivare</t>
  </si>
  <si>
    <t>Código de Conduta</t>
  </si>
  <si>
    <t>Contrato Cabeamento</t>
  </si>
  <si>
    <t>Termo de Recebimento Definitivo de Obra</t>
  </si>
  <si>
    <t>Corporate documents</t>
  </si>
  <si>
    <t>Alinhamento Natália e Caroline</t>
  </si>
  <si>
    <t>30% payment</t>
  </si>
  <si>
    <t>Custos adicionais estaqueamento</t>
  </si>
  <si>
    <t>Integrações Linde</t>
  </si>
  <si>
    <t>Supplier contracts</t>
  </si>
  <si>
    <t>Demissão de colaborador por reintegração em função anterior</t>
  </si>
  <si>
    <t>Comodato máquinas de café</t>
  </si>
  <si>
    <t>Retenção</t>
  </si>
  <si>
    <t>4I For Intelligence</t>
  </si>
  <si>
    <t xml:space="preserve">Brasil </t>
  </si>
  <si>
    <t>Porto Ferreira</t>
  </si>
  <si>
    <t>Campo Bom</t>
  </si>
  <si>
    <t>Jacutinga</t>
  </si>
  <si>
    <t>Todas</t>
  </si>
  <si>
    <t>SEDE</t>
  </si>
  <si>
    <t>FJA</t>
  </si>
  <si>
    <t>on demand</t>
  </si>
  <si>
    <t>on demand (minimum of R$ 5000,00)</t>
  </si>
  <si>
    <t>261.442.08</t>
  </si>
  <si>
    <t>165.942,64 euros</t>
  </si>
  <si>
    <t>2 days</t>
  </si>
  <si>
    <t>28 days</t>
  </si>
  <si>
    <t>Indetermined</t>
  </si>
  <si>
    <t>from the contract signature until the integral execution of the object</t>
  </si>
  <si>
    <t>90 dias</t>
  </si>
  <si>
    <t xml:space="preserve">Sonda Contract </t>
  </si>
  <si>
    <t xml:space="preserve">Contract sent to signatures - 01/01/24;
Clarifying about signature update - 06/02/24; Follow-up with the counterpart about the signature flow (contract has to be signed by his witness) - 20/02/24
</t>
  </si>
  <si>
    <t>Contract sent to signature - 01/02/2024;
Reply to landlord representative about signature flow - 08/02/24;</t>
  </si>
  <si>
    <t xml:space="preserve"> Signataries data request - 2/2/2024
 Clarifying about Commercial Proposal Update and Obligatory Files joint to Contract - 5/2/24;
Info about contract template changes demanded from Purchasing area - 23/02/24;</t>
  </si>
  <si>
    <t>Rental Contract Analysis of Verallia's Manager Marcelo Tarquini - 05/02/24</t>
  </si>
  <si>
    <t>Meeting for next steps discussion - contract sent to signature - 05/02/24
Information about signature flow - 06/02/24; Information about signature flow and anothers answers - 20/02/24;
Contract fully signed and meeting to end the "FUP meetings" - 27/02/24;</t>
  </si>
  <si>
    <t>Contract conforming analysis - 05/02/24</t>
  </si>
  <si>
    <t xml:space="preserve">Contract sent to signatures - 05/01/24
</t>
  </si>
  <si>
    <t xml:space="preserve">Contract sent to signatures - 05/01/24;
Info about the contract fully signed given to Purchase area - 29/02/24;
</t>
  </si>
  <si>
    <t>Doubts about Verallia's Template and insertion of new clauses (by email and meeting)- 06/02/2024;
Sending of Equipments Rent Contract after its adaptation - 07/02/24; Meeting with the demandar and requesting of a new Commercial Proposal - 22/02/24;</t>
  </si>
  <si>
    <t>Request of new Commercial Proposal - 06/02/2024</t>
  </si>
  <si>
    <t>Internal Legal area discussion about new clauses in Legal Templates - 07/02/2024;</t>
  </si>
  <si>
    <t>Follow-up on counterpart's revision of the contract - 07/02/2024</t>
  </si>
  <si>
    <t>Discussion with Purchasing and Foreign Trade about the follow-up on the contracts sent to counterparts - 07/02/24</t>
  </si>
  <si>
    <t>Risks Analysis and demonstration to contract manager for his formal approval and sending of the contract with modifications on it made by counterpart  - 07/02/24;
SLA sent to IT area to evaluation - 23/02/24</t>
  </si>
  <si>
    <t>NDA sent for signatures - 08/02/24</t>
  </si>
  <si>
    <t>Contract fully signed saved in folders - 08/02/24</t>
  </si>
  <si>
    <t>Contract signature flow interrupted and file adjusted - 08/02/24</t>
  </si>
  <si>
    <t xml:space="preserve">Contract Review and Explanation about Verallia's Contract Policy to demandant area  - 08/02/24
</t>
  </si>
  <si>
    <t>Contract conforming analysis - 08/02/24; Meeting to answer doubts from the demander and file sent to demander review- 21/02/2024;
Contract sent to counterpart review after info provided to demander by Legal area - 26/02/24.</t>
  </si>
  <si>
    <t>Contract sent for signatures - 08/02/24</t>
  </si>
  <si>
    <t>8th Contract Review and meeting booked with Purchase and IT Area for next week - 08/02/24; After meeting with Purchase and IT Area, the Contract version was reviewd againg and  sent to counterpart - 16/02/2024.</t>
  </si>
  <si>
    <t>Atualização do registro de CNAES</t>
  </si>
  <si>
    <t>Resolução do tema IVN e alinhamento interno.</t>
  </si>
  <si>
    <t>Orquestra da Sucata</t>
  </si>
  <si>
    <t>Inclusão de atividade economica - Estatuto Verallia Brasil x  atualização BACEN</t>
  </si>
  <si>
    <t xml:space="preserve">Envio para assinatura: Licitación “PV-009 RESIMPLE: </t>
  </si>
  <si>
    <t>Reclamação trabalhista IVN - Patrick Coutinho - possibilidade de acordo - finalização processos IVN</t>
  </si>
  <si>
    <t>IMPORTANTE: Relatórios processuais - Conta Escrow - INDUSTRIA VIDREIRA DO NORDESTE - avaliação das ações pendentes e providências - com relatório</t>
  </si>
  <si>
    <t>RES: Solicitud de información - PGI Verallia</t>
  </si>
  <si>
    <t>Aditivo: RES: Extensión contrato con Víctor Vidal - enviado para assinaturas</t>
  </si>
  <si>
    <t>192ª AGE - Novas atividades em Porto Ferreira, Jacutinga e Campo Bom -RISCO PORTO FERREIRA?</t>
  </si>
  <si>
    <t>ENC: Nueva Acta de Directorio - solicitação de conclusão para envio de assinaturas</t>
  </si>
  <si>
    <t>RES: Formulario reduzidos - testes dos formulários</t>
  </si>
  <si>
    <t>RES: Comunicado - recebimentos - ajustes em comunicado</t>
  </si>
  <si>
    <t>RES: Conta Escrow - INDUSTRIA VIDREIRA DO NORDESTE - contato com Heloisa e envio de relatórios</t>
  </si>
  <si>
    <t>EP Rodrigues - Ação - possibilidade de acordo - finalização processos IVN</t>
  </si>
  <si>
    <t>Nueva Acta de Directorio - atualização tema</t>
  </si>
  <si>
    <t xml:space="preserve"> Seguro de crédito Lockton - Verallia Brasil S.A. - envio para assinaturas + assinado</t>
  </si>
  <si>
    <t>Alinhamento/Definição - Contrato Cleanic - reunião</t>
  </si>
  <si>
    <t>IDENTIFICAÇÃO DE DEPÓSITO - 29/01/2024</t>
  </si>
  <si>
    <t>VERIFICAÇÃO DE PAGAMENTO - CRISTIANO RIBEIRO PEDROSA x VERALLIA</t>
  </si>
  <si>
    <t>Aceita: AUD(V) - 08:40 - LUIZ EDUARDO MARIANO ALVES X VERALLIA(0011272-48.2023.5.03.0075)</t>
  </si>
  <si>
    <t>Aceita: AUD(P) - 13:30 - CASSIO  FERNANDO  CUNHA X VERALLIA(0010756-10.2023.5.03.0178)</t>
  </si>
  <si>
    <t xml:space="preserve">Aceita: AUDIÊNCIA PRESENCIAL - LUCAS DA SILVA X VERALLIA(0020823-10.2023.5.04.0371) </t>
  </si>
  <si>
    <t>Consulta assinaturas RES: Solicitação de reajuste do contrato cameras na Sede, FPF SP, FJA MG e FCB RS.</t>
  </si>
  <si>
    <t>Verificação AcordoRES: Ações em andamento IVN - responsabilidade Verallia</t>
  </si>
  <si>
    <t>Ajuste Formulários RES: Formulario reduzidos</t>
  </si>
  <si>
    <t>Envio de contrato RES: Proposta evento 02/02/2024</t>
  </si>
  <si>
    <t>SOLICITAÇÃO DE REQUISIÇÃO</t>
  </si>
  <si>
    <t>PAGAMENTO JUDICIAL - CONDENAÇÃO - ROBERTO TELES SANTOS X VERALLIA(1001149-52.2019.5.02.0071)</t>
  </si>
  <si>
    <t>Envio Assinatura RES: acesso a resultados do check-up</t>
  </si>
  <si>
    <t>Envio Assinatura RES: TABELA 2022 TECON Rio Grande_FCB2</t>
  </si>
  <si>
    <t xml:space="preserve">Solicitação ATESTADO DE RECLUSÃO </t>
  </si>
  <si>
    <t>Envio Assinatura RES: RES: Diageo / Verallia North America</t>
  </si>
  <si>
    <t>Envio Assinatura RES: VERALLIA - RECIVIDRO | Contrato de fornecimento de caco 2024 - 2026</t>
  </si>
  <si>
    <t xml:space="preserve">RES: Dados para faturamento - Eagle Translations </t>
  </si>
  <si>
    <t>RES: Verallia Brasil S.A. - Pré-faturas de Honorários Nº MP0151838, MP0151839, MP0151840 e MP0151841 - (Ref. PNA - 5247)</t>
  </si>
  <si>
    <t xml:space="preserve">RES: Viseu Advogados x Verallia Brasil S.A.  Fatura 62836 </t>
  </si>
  <si>
    <t>Envei AssinaturaRES: Solicitação de reajuste dos valores contratuais - CCT 2024 - Segurança</t>
  </si>
  <si>
    <t>RES: RT - 0011272-48.2023.5.03.0075 - Luiz Eduardo Mariano Alves (OPUS) x Verallia -  Aud. 08/02/2024 08:40</t>
  </si>
  <si>
    <t>ASSINATURA ADITAMENTO EBP</t>
  </si>
  <si>
    <t>PROCURAÇÃO VERALLIA</t>
  </si>
  <si>
    <t>RES: AÇÃO TRABALHISTA - LUIZ EDUARDO MARIANO ALVES X VERALLIA(OPUS)(0011272-48.2023.5.03.0075)</t>
  </si>
  <si>
    <t>RES: Solicitação de reajuste do contrato cameras na Sede, FPF SP, FJA MG e FCB RS.</t>
  </si>
  <si>
    <t xml:space="preserve"> Carta Preposição RES: 0011051-16.2023.5.15.0048  - EDIEL SILVA DE LIMA x Verallia - ata de audiência - carta de preposição</t>
  </si>
  <si>
    <t>RES: dados para carta de preposição</t>
  </si>
  <si>
    <t>Envio Assinatura RES: Reajuste IPCA.</t>
  </si>
  <si>
    <t>Envio Assinatura RES: RES: NDA Cayuga</t>
  </si>
  <si>
    <t>Envio Assinatura RES: ECOPACK - Areia Jundu com redução de consumo de energia | Jundu &amp; Verallia - Projetos</t>
  </si>
  <si>
    <t>Envio Assinatura PAGAMENTO JUDICIAL - CUSTA DE PREPARO E DEPÓSITO RECURSAL - KLEYNER ROGER SANTOS DE LIMA(ACTIVA) x VERALLIA(1000361-59.2023.5.02.0342)</t>
  </si>
  <si>
    <t xml:space="preserve">Consulta Pagamento ENC: Viseu Advogados x Verallia Brasil S.A.  Fatura 62836 </t>
  </si>
  <si>
    <t>Aceita: Ajuda com nova planilha de KPI</t>
  </si>
  <si>
    <t>DEPÓSITOS RECURSAIS 2023</t>
  </si>
  <si>
    <t>Consulta assinatura RES: CONTRATO PECSIL - 2024 A 2027</t>
  </si>
  <si>
    <t>CONFIRMAÇÃO DE RECEBIMENTO - RODRIGO FREITAS TEIXEIRA X VERALLIA</t>
  </si>
  <si>
    <t>Directorio y Junta Ordinaria de Accionistas 2023</t>
  </si>
  <si>
    <t>Orientação contratual</t>
  </si>
  <si>
    <t>Solicitud  de inicio de firmas Contratos JCEM - status de assinaturas</t>
  </si>
  <si>
    <t>RES: Extensión contrato con Víctor Vidal - status: contrato assinado (1º Anexo ao Contrato de Prestação de Serviços)</t>
  </si>
  <si>
    <t>Rt nº 1000361-59.2023.5.02.0342 - Kleyner Roger Santos de Lim x Verallia (Activa) - sentença de embargos de declaração - avaliação para prosseguimento recursal.</t>
  </si>
  <si>
    <t>Rt nº 1000359-89.2023.5.02.0342 - JHONATA SOARES SILVA x Verallia (ACTIVA) - sentença - prosseguimento</t>
  </si>
  <si>
    <t>Proposta levantamentos ambientais e relatórios Área Quente - Verallia RS - pagamentos pendentes</t>
  </si>
  <si>
    <t>RES: Verallia - IVN [PNA-JUR_SP.FID1160065] -  alinhamento interno com Morello</t>
  </si>
  <si>
    <t>TRATATIVA INICIAL DE ACORDO,Processo n. 1001064-11.2020.5.02.0078,78ª Vara do Trabalho de São Paulo/SP,Reclamante: MARIA MARLUCE LOPES DE LIMA,Reclamada: VERALLIA BRASIL S.A.</t>
  </si>
  <si>
    <t>NOVO PROCESSO - CLAUDIO CESAR DA SILVA JUNIOR X VERALLIA(0011908-62.2023.5.15.0048) - FUP com a planta + reunião com Adriana e Patrícia.</t>
  </si>
  <si>
    <t xml:space="preserve"> Clean Team - alinhamento interno para trabalho de aquisição Catarina Vidros + reunião</t>
  </si>
  <si>
    <t>RES: Abividro - Atualização das estatísticas - Índice Nacional de Reciclagem de Vidro - avaliação de documento e orientação + solicitação de dados para assinaturas pela Verallia. ENVIO PARA ASSINATURAS.</t>
  </si>
  <si>
    <t>RES: REAJUSTE CONTRATUAL 2023 - CLEANIC X VERALLIA JACUTINGA - revisão contratual + envio Dorico</t>
  </si>
  <si>
    <t>RES: Acuerdo de Confidencialidad. Licitación PV-009. ReSimple. Verallia Chile - orientações sobre atas em andamento + suporte Jorge.</t>
  </si>
  <si>
    <t>Processo nº10880.924165/2010-44 - IMPOSTO SOBRE A RENDA DE PESSOA JURÍDICA (IRPJ) ano 2004 - Saint-Gobain do Brasil - envio ao juridico SG</t>
  </si>
  <si>
    <t>RES: VERALLIA - Medição 01/2024 - validação cobrança Bernhoeft</t>
  </si>
  <si>
    <t>ENC: IVN - Auto de Infração - Proc RFB 18220-725.198/2022-22 - avaliação dos proc adm com Murilo Rudge Leite</t>
  </si>
  <si>
    <t>RES: Pré-Fatura de Honorários - Advocacia Fernando Rudge Leite - revisão dos valores devidos</t>
  </si>
  <si>
    <t>RES: [Cotação] VERALLIA - informação ao Financeiro quanto a data de incorporação das sócias Verallia Brasil + pesquisa Jucesp + pedido de ajuda Mariane</t>
  </si>
  <si>
    <t>Acordo Desenvolvimento de Moldes RH9L | 101 do Brasil - solicitação de minuta e envio ao PF</t>
  </si>
  <si>
    <t>Alteração em nossa clausula interna - LGPD - estudo preliminar e compartilhamento com equipe</t>
  </si>
  <si>
    <t>Envio de NDA para assinaturas + assinatura Ana - aguarda conclusão</t>
  </si>
  <si>
    <t>Devolutiva interna Escrow Account - Ana e Carol - envio do email concluido</t>
  </si>
  <si>
    <t>Revisão das faturas PN com Julio e envio interno</t>
  </si>
  <si>
    <t xml:space="preserve"> Inclusão de atividade economica - Estatuto Verallia Brasil x  atualização BACEN - FUP interno + Ajustes com Rudge Leite</t>
  </si>
  <si>
    <t>Contrato assinado - NDA</t>
  </si>
  <si>
    <t>Documentos para a renovação da LO - envio de docs para Carina</t>
  </si>
  <si>
    <t>Carta de confirmacao para [Multipensions Bradesco - Fundo Multipatrocinado de Previdência Privada - CNPJ 02.866.728.0001-26] em [30/09/2023] - orientação e assinatura de carta + cancelamento da carta.</t>
  </si>
  <si>
    <t>Envio de consulta com possibilidade de autuação CETESB</t>
  </si>
  <si>
    <t>Recebido: Solicitações desvinculadas da Verallia - Site Registradores - reclamação</t>
  </si>
  <si>
    <t>Envio de documento societário ao Financeiro</t>
  </si>
  <si>
    <t xml:space="preserve">Auxilio - Cartório de Imóveis de Jacutinga: Entrada para cancelamento de Registro. Averbação concluída junto aos Registradores. Baixa de hipoteca banco BDMG. </t>
  </si>
  <si>
    <t>Identificação de ônus em matrícula do imóvel de FJA. Solicitação de verificação por parte do Julio.</t>
  </si>
  <si>
    <t>FUP contencioso com Julio. RT 0011438-31.2023.5.15.0048 - Vanessa x Opus - apresentação de cálculos.</t>
  </si>
  <si>
    <t>Proposta - negociação: Precipitador FJA2 - Alinhamento Jurídico. Aguardando posição Carina - FUP.</t>
  </si>
  <si>
    <t xml:space="preserve">Revisión de contrato  OUTSOURCING -  solicitação de documentos para revisão do contrato. </t>
  </si>
  <si>
    <t>Rt nº 1000361-59.2023.5.02.0342 - Kleyner Roger Santos de Lim x Verallia (Activa) - guias para recurso ordinário - 09/02. Solicitação de guia paga - recurso.</t>
  </si>
  <si>
    <t xml:space="preserve">Molina - Verallia - regularização do contrato de serviços jurídicos Verallia. Envio ao PF e Julio. </t>
  </si>
  <si>
    <t>Avaliação de intimação enviada pela Saint Gobain do Brasil. Direcionamento ao Julio.</t>
  </si>
  <si>
    <t>Contrato de fornecimento de sucata assinado.</t>
  </si>
  <si>
    <t xml:space="preserve">PROCESSO - CLAUDIO CESAR DA SILVA JUNIOR X VERALLIA(0011908-62.2023.5.15.0048) - agendamento de reunião interna para alinhamento + Rudge Leite. </t>
  </si>
  <si>
    <t>Revisão contratual - locação de máquinas de café.</t>
  </si>
  <si>
    <t>MANDATO CLIENTE VERALLIA // EXPORTACIONES - orientação para formalização de contrato e pesquisas financeiras Altares AeB + orientações Martin.</t>
  </si>
  <si>
    <t>GPS Insolvency Proceedings  - retomada de tema e agendamento de reunião.</t>
  </si>
  <si>
    <t>Saldo atualizado depósito recursal x CEF. Solicitação de verificação de solicitação do Financeiro - direcionamento ao Julio.</t>
  </si>
  <si>
    <t>0011051-16.2023.5.15.0048  - EDIEL SILVA DE LIMA x Verallia - sentença - avaliar medida. FUP e agendamento de reunião para decisão. Ana e Julio.</t>
  </si>
  <si>
    <t xml:space="preserve"> Inclusao de Claudia Stucken en lista de treinamento de complaince - direcionamento a Mariane + orientação Randolpho.</t>
  </si>
  <si>
    <t>Contrato de Compra Anticipada de Cullet - envio para assinaturas.</t>
  </si>
  <si>
    <t xml:space="preserve">DIRF 2023-2024 Juridico - solicitação de informação ao Bruno para atendimento da consulta. </t>
  </si>
  <si>
    <t xml:space="preserve">Alinhamento de temas jurídicos Ana e Carol. </t>
  </si>
  <si>
    <t>RES: MASSFIX - Aditivo ao contrato de fornecimento de sucata e outras avenças | CACO</t>
  </si>
  <si>
    <t>RES: Identificação de Depósito Bradesco - 29.01.2024</t>
  </si>
  <si>
    <t>RES: NOTIFICAÇÃO - PENDÊNCIA DE DOCUMENTAÇÃO</t>
  </si>
  <si>
    <t>RES: Notificação Extrajudicial - Estaq</t>
  </si>
  <si>
    <t>RES: FCB2 - Divulgação imagens redes sociais</t>
  </si>
  <si>
    <t>RES: RES: Re: Prefeitura Campo Bom - Retorno Milene</t>
  </si>
  <si>
    <t>contrato Ebusiness - Greetings</t>
  </si>
  <si>
    <t>Contrato VB - definição da matriz</t>
  </si>
  <si>
    <t>Reunião de alinhamento - ANCORA ENGENHARIA LTDA</t>
  </si>
  <si>
    <t>RES: URGENTE !</t>
  </si>
  <si>
    <t>ENC: TABELA 2022 TECON Rio Grande_FCB2</t>
  </si>
  <si>
    <t>RES: Proposta para Fornecimento de Líquido -2024</t>
  </si>
  <si>
    <t>RES: LOCAÇÃO GALPÃO INFLÁVEL - CAMPO BOM</t>
  </si>
  <si>
    <t>RES: Alinhamento Geoambiente - Projeto Canoas</t>
  </si>
  <si>
    <t>RES: 524321 - Verallia x MPT - Procedimento nº 000609.2023.04.008/2  - Petição</t>
  </si>
  <si>
    <t>Reunião Semanal | Projeto FCB 2</t>
  </si>
  <si>
    <t>RES: Solicitação de Aditivos Delta Ducon</t>
  </si>
  <si>
    <t>ENC: acesso a resultados do check-up</t>
  </si>
  <si>
    <t>RES: Obra SE Linde - Contaminação do Solo - URGENTE</t>
  </si>
  <si>
    <t>RES: Notificação - Solo da área destinada à subestação de energia elétrica – Contaminantes</t>
  </si>
  <si>
    <t>RES: Diageo / Verallia North America</t>
  </si>
  <si>
    <t xml:space="preserve">RES: Pagamento Judicial - Mandado de Segurança 5059736-46.2023.4.04.7100 </t>
  </si>
  <si>
    <t>RES: Ex Tarifários em andamento_Usina Zippe</t>
  </si>
  <si>
    <t>RES: Ex Tarifários em andamento</t>
  </si>
  <si>
    <t>RES: Updated Fee Agreement_Labor Law</t>
  </si>
  <si>
    <t>RES: NDA Cayuga</t>
  </si>
  <si>
    <t>ENC: 2024-01-24 - RESPOSTA DELTA DUCON - NOTIFICAÇÃO EXTRAJUDICIAL - Verallia 22-13049 - PC 5501801660 - AD-22-13049-002_R0</t>
  </si>
  <si>
    <t>RES: Aditamento dos Contratos de Fornecimento de Equipamento e Serviços - FCB2</t>
  </si>
  <si>
    <t>Tratativas sobre aditivo</t>
  </si>
  <si>
    <t>RES: Canoas - Ofício FEPAM</t>
  </si>
  <si>
    <t xml:space="preserve">Re: Assuntos Âncora </t>
  </si>
  <si>
    <t>Alinhamentos com Teams e telefone - Caroline, Eduardo Fonseca, Ederson Silva</t>
  </si>
  <si>
    <t>RES: [EXTERNAL]: Minuta de Contrato_Dysis_TI_V-US</t>
  </si>
  <si>
    <t>ENC: VERALLIA - RECIVIDRO | Contrato de fornecimento de caco 2024 - 2026</t>
  </si>
  <si>
    <t>ENC: Assuntos em Aberto - FCB2</t>
  </si>
  <si>
    <t xml:space="preserve">RES: Alteração em nossa clausula interna - LGPD </t>
  </si>
  <si>
    <t>ENC: Área da Planta - Linde</t>
  </si>
  <si>
    <t>RES: Ata FUP FCB2 - Contratos e temas jurídicos_07/02</t>
  </si>
  <si>
    <t>FUP FCB2 - Contratos e temas jurídicos</t>
  </si>
  <si>
    <t>Compra O2 Liquido</t>
  </si>
  <si>
    <t>ENC: Reminder: Waiting for you to approve Prestação de Serviços - Sudeste Tecnologia e Verallia</t>
  </si>
  <si>
    <t>ENC: Reminder: Waiting for you to approve Prestação de Serviços - Sudeste Segurança e Verallia</t>
  </si>
  <si>
    <t>RES: Reajuste IPCA.</t>
  </si>
  <si>
    <t>RES: Approval requested on "NDA - Jundu e Verallia"</t>
  </si>
  <si>
    <t>Auxílio a Gracianine com documentação para regularização e renovação da LO</t>
  </si>
  <si>
    <t>Contratos MF FJA2</t>
  </si>
  <si>
    <t>Call | Validação apresentação negociação Geoambiente – Canoas</t>
  </si>
  <si>
    <t xml:space="preserve">Minerbo Fuchs x Ancora </t>
  </si>
  <si>
    <t>Aprovação de contrato</t>
  </si>
  <si>
    <t>RES: RES: RES: Re: Prefeitura Campo Bom - Retorno Milene</t>
  </si>
  <si>
    <t>Campo Bom - Comprovante de Pagamento</t>
  </si>
  <si>
    <t>RES: Verallia Brasil S.A - Pré-faturas de Honorários e Despesas Nº MP0155453, MP0155454, MP0155455, MP0155456, MP0155457, MP0155458, MP0155459 e MP0155460 - (Ref. PNA 5247)</t>
  </si>
  <si>
    <t>RES: Approval requested on "Serviços Jurídicos - Rudge Leite  e VERALLIA - versão final.DOC"</t>
  </si>
  <si>
    <t>Consigáz</t>
  </si>
  <si>
    <t>RES: Termo de Adequação LGPD Serasa - Atualização contratual</t>
  </si>
  <si>
    <t>RES: Approval requested on "1 Aditivo - Computécnica e Verallia- Rev. 090224"</t>
  </si>
  <si>
    <t>Revisão e aprovação de aditivo</t>
  </si>
  <si>
    <t>Consultoria Delta Ducon</t>
  </si>
  <si>
    <t>RES: REVISÃO - Condições Gerais de Compras</t>
  </si>
  <si>
    <t>RES: [VFFWB7] RES: Parecer/Consulta - V-US - Obrigações societárias</t>
  </si>
  <si>
    <t>RES: Corporate matters - V-US</t>
  </si>
  <si>
    <t>Gestão de Terceiros Verallia Brasil - Monitoria documental, fiscal, trabalhista e previdenciário  - Resultados Mensais Bernhoeft e Verallia</t>
  </si>
  <si>
    <t>Aditivos Delta ducon</t>
  </si>
  <si>
    <t>RES: Enviado pela Saint Gobain do Brasil.</t>
  </si>
  <si>
    <t>RES: Verallia Brasil S.A. - Pré-faturas de Honorários e Despesas Nº MP0153049, MP0153050, MP0153051 e MP0153053  - (Ref. PNA - 5247)</t>
  </si>
  <si>
    <t>RES: Ações em andamento IVN - responsabilidade Verallia</t>
  </si>
  <si>
    <t>RES: Proposta Contrato - Serviço de Infra, Telecom e Servidores - Verallia</t>
  </si>
  <si>
    <t>Propostas com valores atualizados para manutenções mensais</t>
  </si>
  <si>
    <t>RES: Assuntos em Aberto - FCB2</t>
  </si>
  <si>
    <t>PAGAMENTO JUDICIAL - CRISTIANO RIBEIRO PEDROSA X VERALLIA(1001537-81.2019.5.02.0029)</t>
  </si>
  <si>
    <t>*URGENTE* BLOQUEIO JUDICIAL</t>
  </si>
  <si>
    <t>INTIMAÇÃO PARA A APRESENTAÇÃO DE DOCUMENTOS</t>
  </si>
  <si>
    <t>VERIFICAÇÃO DE INDISPONIBILIDADE</t>
  </si>
  <si>
    <t>RENOVAÇÃO DO USUÁRIO M6295774</t>
  </si>
  <si>
    <t>Prefeitura Campo Bom - Retorno Milene</t>
  </si>
  <si>
    <t>CONTRATO LOCAÇÃO EB PARK</t>
  </si>
  <si>
    <t>Signature requested on "Serviços Jurídicos - Rudge Leite  e VERALLIA - versão final.DOC"</t>
  </si>
  <si>
    <t>RES: Contrato VERALLIA - Valores para 2024</t>
  </si>
  <si>
    <t>REQUISIÇÃO DE PAGAMENTO</t>
  </si>
  <si>
    <t>RES: NOTAS PENDENTES JURIDICO</t>
  </si>
  <si>
    <t>Amendment of the Contract sent to signatures to extend its validity - 15/02/24; Adjustment of Mills amendment of contract - 16/02/24; Follow-up with the demander, file with updates requested to couterpart - 20/02/24</t>
  </si>
  <si>
    <t>Clarifying about internal issues to Purchasing and IT Area - 15/02/24</t>
  </si>
  <si>
    <t>Revisão contratual - final</t>
  </si>
  <si>
    <t>Bloqueio judicial - avaliação com escritório - contencioso.</t>
  </si>
  <si>
    <t>ENC: DIRF 2023-2024 Juridico - alinhamento interno e providências.</t>
  </si>
  <si>
    <t xml:space="preserve"> ADAILTON FERREIRA - 0000256-97.2013.5.15.0048 -  complementar débito previdenciário e fiscal - recolhimento e-social - prazo pagamento - 16/02</t>
  </si>
  <si>
    <t>FUP Reunião Verallia e Grassi ref Alinhamento de Garantia</t>
  </si>
  <si>
    <t>Validação: Carta de Honorarios Verallia Chile S.A. n°1828, n°1829, n°1830, n°1831, n°1832, n°1833 Verallia Chile S.A. enero 2024</t>
  </si>
  <si>
    <t>ADAILTON FERREIRA - 0000256-97.2013.5.15.0048 - necessidade de adesão ao e-social trabalhista para este trabalho e demais.</t>
  </si>
  <si>
    <t xml:space="preserve"> RTE EMERSON MACHADO SANTOS x VERALLIA - Proc ATSum 0020651-68.2023.5.04.0371 - perito em visita a Planta.</t>
  </si>
  <si>
    <t xml:space="preserve"> RT 0000021-20.2017.5.04.0203 - verificação de indisponibilidade do imóvel matrícula 15.979, vinculado a esta ação. </t>
  </si>
  <si>
    <t>Confirmação de dados do 13 Cartório - Henrique.</t>
  </si>
  <si>
    <t>Contrato Alemanha: GPS Insolvency Proceedings. FUP com Augusto e Izaura - necessidade de envio de email a Verallia Alemanha.</t>
  </si>
  <si>
    <t>Validação final - rescisão com Imobiliária - endereço Los Militares. Para assinaturas</t>
  </si>
  <si>
    <t>Envio de docs Thamires.</t>
  </si>
  <si>
    <t>Envio de documentos e alinhamento interno + reunião em 19/02.</t>
  </si>
  <si>
    <t>Solicitação Flor e encaminhamento ao Julio: antecedentes penales apostillados, traducidos y legalizados</t>
  </si>
  <si>
    <t>Avaliação de caso com ação judicial ajuizada por beneficiário</t>
  </si>
  <si>
    <t xml:space="preserve">Discussão sobre aditivo ao contrato para compra de compressores
</t>
  </si>
  <si>
    <t xml:space="preserve">Discussão sobre aditivo ao contrato para compra de compressores e contrato da Recividro
</t>
  </si>
  <si>
    <t xml:space="preserve">Explicação sobre poderes para assinar NDA. Consulta trabalhista interna e com escritório sobre possibilidade de prorrogação de contrato de prestação de serviços.
</t>
  </si>
  <si>
    <t>Revisão e aprovação do Contrato.</t>
  </si>
  <si>
    <t>Alinhamento com Fernando dos Santos e Caroline sobre revisão de Autorização para envio de Informações</t>
  </si>
  <si>
    <t>Consulta trabalhista, tratativas internas com Alexandro e Ana Elise, alinhamento com Rudge Leite.</t>
  </si>
  <si>
    <t>Dúvidas sobre poderes para assinar NDA e atendimento, pela Verallia, de empresas do mesmo grupo econômico.</t>
  </si>
  <si>
    <t>Reunião para conclusão de análise da Matriz de Riscos de Compras</t>
  </si>
  <si>
    <t>Tratativas com 3con e Maria Martins sobre contratos.</t>
  </si>
  <si>
    <t>Alinhamento com Carina sobre documentação EHS</t>
  </si>
  <si>
    <t>Revisão de apresentação</t>
  </si>
  <si>
    <t>Análise de documentos, de decisão do MPT, tratativas com o escritório, tratativas internas e com Ederson sobre novos documentos e informações que precisam ser apresentadas nos autos da Notícia de Fato.</t>
  </si>
  <si>
    <t>Revisão de contrato</t>
  </si>
  <si>
    <t>Revisão e aprovação de aditivo.</t>
  </si>
  <si>
    <t>Alinhamentos Teams com Eduardo Fonseca, Ederson Silva e Paulo Peixoto</t>
  </si>
  <si>
    <t>Revisão de termo de quitação e compensação de saldo</t>
  </si>
  <si>
    <t>Tratativas sobre liberação de valor de depósito judicial Comunicação interna aos times Financeiro e Industrial.</t>
  </si>
  <si>
    <t>Reunião interna - Projeto Canoas - Negociação Geoambiente</t>
  </si>
  <si>
    <t>Reunião interna - Alinhamento ajustes contrato Geoambiente</t>
  </si>
  <si>
    <t>Reunião interna - ANCORA ENGENHARIA</t>
  </si>
  <si>
    <t>Reunião interna - FUP FCB2</t>
  </si>
  <si>
    <t>Reunião interna - Linde Custos Adicionais</t>
  </si>
  <si>
    <t>Alinhamento com Rafael Oliveira sobre necessidade de contrato.</t>
  </si>
  <si>
    <t>Revisão e aprovação de aditivo contratual.</t>
  </si>
  <si>
    <t>Análise de documentos e tratativas sobre apresentação de réplica.</t>
  </si>
  <si>
    <t>Análise de documentos e tratativas sobre andamento do IP e auxílio do escritório cível.</t>
  </si>
  <si>
    <t>Tratativas com Alice Chambaud sobre contrato Santa Clara Warehouse.</t>
  </si>
  <si>
    <t>Tratativas com Fonseca sobre resposta à notificação extrajudicial enviada pela Linde.</t>
  </si>
  <si>
    <t>RES: Ata FUP FCB2 - Contratos e temas jurídicos_21/02</t>
  </si>
  <si>
    <t xml:space="preserve">RES: Relatório Mensal - Novembro/2023 - NACOM GOYA </t>
  </si>
  <si>
    <t xml:space="preserve">RES: Approval - Final document Implementation of release strategy for S08 SAP Company PO´s </t>
  </si>
  <si>
    <t>Revisão de NDA do lab Jacutinga - solicitação Thamires</t>
  </si>
  <si>
    <t>Horas de trabajo  Verallia Chile S.A. del  01-02-2024 al 16-02-2024</t>
  </si>
  <si>
    <t>Envio de relatório mensal sobre a recuperação judicial</t>
  </si>
  <si>
    <t>Envio ao PF para providências</t>
  </si>
  <si>
    <t>Solicitaçao de procuração para verificação</t>
  </si>
  <si>
    <t>Aguardando devolutiva para assinatura dos contratos</t>
  </si>
  <si>
    <t>Avaliação de andamento processual e antecipação de manifestação.</t>
  </si>
  <si>
    <t>Solicitação dos documentos complementares ao Bruno para envio ao Rudge Leite</t>
  </si>
  <si>
    <t>Envio do contrato para assinaturas</t>
  </si>
  <si>
    <t>Status de assinatura do contrato já enviado.</t>
  </si>
  <si>
    <t>Confirmação de docs necessários antes da audiência.</t>
  </si>
  <si>
    <t>Cancelamento de contrato para ajustes.</t>
  </si>
  <si>
    <t>Prosseguimento - processo.</t>
  </si>
  <si>
    <t>Reunião + orientação sobre prosseguimento + email ao advogado.</t>
  </si>
  <si>
    <t>Solicitação de documentos para elaboração de contrato - sub-rogação.</t>
  </si>
  <si>
    <t>Envio de contrato - padrão - espanhol</t>
  </si>
  <si>
    <t>Solicitação de confissão de dívida: objeto: reparação de danos.</t>
  </si>
  <si>
    <t>Advisory about contract termination before its execution time expiration, considering counterpart's finances and consequent financial risks to Verallia - 23/02/24.</t>
  </si>
  <si>
    <t>Clarifying about internal issues to Purchasing and IT Area - 15/02/24;  Sending of the TSS file to IT review - 16/02/24</t>
  </si>
  <si>
    <t>Demanding more information from the demander and sending instructions - 16/02/24</t>
  </si>
  <si>
    <t>Demanding more information from the demander and giving instructions- 16/02/24; Contract sent to counterpart review - 19/02/24; Contract sent to signatures - 21/02/24</t>
  </si>
  <si>
    <t xml:space="preserve">Contract sent to counterpart's review and after this to signatures - 16/02/24; </t>
  </si>
  <si>
    <t>Counterpart demanded to send files and inform some points about the contract - 16/02/24; Doubts about the decision of CH Robinson not sign a new contract with Verallia - 21/02/24</t>
  </si>
  <si>
    <t>NDA sent to signature - 16/02/24</t>
  </si>
  <si>
    <t>Informations and files demanded from counterpart - 16/02/24</t>
  </si>
  <si>
    <t>File's demanded from counterpart - 16/02/24</t>
  </si>
  <si>
    <t>Contract Termination sent to counterpart - 16/02/24; Instruction about the contract termination related to services providing in Jacutinga and requesting of informations about the status of the formal relation with the counterpart in Campo Bom and Porto Ferreira - 22/02/24;
After Amanda Munareto's reply, contracts demanded from Fernando dos Santos and Rafael de Oliveira - 23/02/24;</t>
  </si>
  <si>
    <t>Contract sent to signatures - 16/02/24</t>
  </si>
  <si>
    <t>Doubts sent to Ana Marta (Legal) to clarify - 16/02/24; Counterpart contacted to review the contract and send us new prices table. After received the file, it has been sent to Purchase area to negotiation - 20/02/24;
Update requested to Purchasing area - 29/02/24;</t>
  </si>
  <si>
    <t>Informations about the contract  (in signatures flow) to Andrea Silva (Purchasing area) - 16/02/24;
Info about the signatures flow sent to Amanda Mumberger - 29/02/24;</t>
  </si>
  <si>
    <t>Informations demanded from the demander and contract sent to counterpart review - 19/02/2024;
Contract sent to counterpart for reviewing - 23/02/24;
Contract sent ro signatures - 26/02/24;</t>
  </si>
  <si>
    <t>Informations demanded from the demander  and contract sent to counterpart review - 19/02/2024;
After a c talk to the demander, new adjustments made and contract re-sent to review - 27/02/24;</t>
  </si>
  <si>
    <t>Orientations to demander before contract review will be made by legal area - 19/02/24;</t>
  </si>
  <si>
    <t>Signatures flow changed after counterpart's request - 21/02/24; Requesting to counterpart to send the contract termination by using his own platform - 29/02/24</t>
  </si>
  <si>
    <t>Answer to the area demand related to the possibility of extent the contract validity period with no formal amendment - 20/02/24; New amendment version sent to signature. The previous one has its flow cancelled - 21/02/24</t>
  </si>
  <si>
    <t xml:space="preserve">Amendment of the international agent contract sent to counterpart review and requesting of a new commercial proposal - 20/02/24;
Amendment of the storage contract sent to Purchasing area - 27/02/24
</t>
  </si>
  <si>
    <t>meeting with the Luís Fernando Cagna and contract sent to counterpart's review - 20/02/24</t>
  </si>
  <si>
    <t>Meeting with Fernanda Vieira and requesting of a new commercial proposal - 21/02/24</t>
  </si>
  <si>
    <t>Doubts sent to demander about the demand - 21/02/24; Meeting with the demander to understandings and file sent to review - 22/02/24</t>
  </si>
  <si>
    <t>Amendment of contract sent to counterpart's review and information request sent about the regularization of another services provided by the counterpart in Campo Bom- 21/02/24;
Contract sent to signatures - 23/02/24;</t>
  </si>
  <si>
    <t>Amendment of contract sent to review - 22/02/24; signataries data requested - 23/02/24;
File sent to signatures - 26/02/24</t>
  </si>
  <si>
    <t>Meeting to understandings and contract sent to counterpart's review - 22/02/24</t>
  </si>
  <si>
    <t>Services Providing Contract termplate sent to demander - 22/02/24;
Contract with adjustments sent to review - 29/02/24;</t>
  </si>
  <si>
    <t>Requesting files to make analysis about cotnract termination and its potential risks - 22/02/24</t>
  </si>
  <si>
    <t>Understandings and file sent to signatures (the file is a letter of approval to inserption of energy data in CCEE systems by a services provider hired by Verallia) - 22/02/24;
Info requeste from Legal by Purchasing area - 28/02/24.</t>
  </si>
  <si>
    <t>*URGENTE* PAGAMENTO JUDICIAL - ADAILTON FERREIRA DE ARAUJO X VERALLIA(00002569720135150048)</t>
  </si>
  <si>
    <t>RES: VERALLIA AUSENTE NA AUD INICIAL - PERÍCIA HOJE - RTE EMERSON MACHADO SANTOS x VERALLIA - Proc ATSum 0020651-68.2023.5.04.0371</t>
  </si>
  <si>
    <t xml:space="preserve">RES: ATESTADO DE RECLUSÃO </t>
  </si>
  <si>
    <t>NOVA RECLAMAÇÃO TRABALHISTA - ALADIM MARQUES BEZERRA X VERALLIA</t>
  </si>
  <si>
    <t>FECHAMENTO DIRF</t>
  </si>
  <si>
    <t>RES: Lista Técnica Verallia FPF | RG-ADM-FPF/001 - Assinatura necessária</t>
  </si>
  <si>
    <t>RES: Lista Técnica Verallia FJA | RG-ADM-FJA/001 - Assinatura necessária</t>
  </si>
  <si>
    <t>RES: Lista Técnica Verallia FCB | RG-ADM-FCB/004 - Assinatura necessária</t>
  </si>
  <si>
    <t xml:space="preserve">VERIFICAÇÃO RESPONSABILIDADE PROCESSUAL </t>
  </si>
  <si>
    <t>RES: Lista Técnica Verallia PRO | RG-ADM-PRO/001 - Assinatura necessária</t>
  </si>
  <si>
    <t>PAGAMENTO JUDICIAL - GUIA DE CUSTAS - MARCO JARDIM X VERALLIA(0020338-38.2014.5.04.0205)</t>
  </si>
  <si>
    <t>RES: VERALLIA - RECIVIDRO | Contrato de fornecimento de caco 2024 - 2026</t>
  </si>
  <si>
    <t>RES: Propostas LL (FDS Transportes) FCB</t>
  </si>
  <si>
    <t>RES: Conta do Windows do usuário M6295774</t>
  </si>
  <si>
    <t>RES: Copia de Criação de Fornecedores / Nova atividade de validação: Validação do Diretor Financeiro_Sede_Cooperativa</t>
  </si>
  <si>
    <t>RES: Progtec remote access</t>
  </si>
  <si>
    <t xml:space="preserve">RES: Novel  - NDA. </t>
  </si>
  <si>
    <t>RES: Renovação Contrato SR Engenharia</t>
  </si>
  <si>
    <t xml:space="preserve">Fechamento Semanal </t>
  </si>
  <si>
    <t>PRORROGAÇÃO COMPUTÉCNICA</t>
  </si>
  <si>
    <t>RES: VERALLIA - Pedido de compra dos moldes - SOLAR - Reembolso.</t>
  </si>
  <si>
    <t>RES: Novo protesto/ação judicial CNPJ Verallia - Ref São Vicente - Fev/2024</t>
  </si>
  <si>
    <t>APROVAÇÃO PEDIDO DE COMPRA</t>
  </si>
  <si>
    <t xml:space="preserve">TRADUÇÃO JURAMENTADA </t>
  </si>
  <si>
    <t xml:space="preserve">RES: RT - 0011272-48.2023.5.03.0075 - Luiz Eduardo Mariano Alves (OPUS) x Verallia -  indicar quesitos e assistente - data de pericia </t>
  </si>
  <si>
    <t>RES: PURCHASING - JOB ROTATION 2024.02</t>
  </si>
  <si>
    <t xml:space="preserve">AUD(V) INICIAL - 14:00 - SIVAN DE JESUS SANTOS X VERALLIA(0020052-89.2024.5.04.0373) </t>
  </si>
  <si>
    <t>AUD(V) - INSTRUÇÃO - 13:30 - LUIZ EDUARDO MARIANO ALVES X VERALLIA(0011272-48.2023.5.03.0075)</t>
  </si>
  <si>
    <t>AUD(Mista) - INSTRUÇÃO - 09:00 - EMERSON MACHADO SANTOS X VERALLIA(0020651-68.2023.5.04.0371)</t>
  </si>
  <si>
    <t>AUD(P) - INSTRUÇÃO - 11:25 - MARCOS ROBERTO BASILIO X VERALLIA(0010334-13.2021.5.15.0003)</t>
  </si>
  <si>
    <t>AUD(P) - CONCILIAÇÃO - 09:40 - CARLOS ALBERTO SILVA DE OLIVEIRA X VERALLIA(0020387-48.2023.5.04.0372)</t>
  </si>
  <si>
    <t>PERÍCIA INSALUBRIDADE - 11:30 - LUIZ EDUARDO MARIANO ALVES(OPUS) X VERALLIA(0011272-48.2023.5.03.0075)</t>
  </si>
  <si>
    <t>RES: PRORROGAÇÃO COMPUTÉCNICA</t>
  </si>
  <si>
    <t>RES: Contrato Ingersoll</t>
  </si>
  <si>
    <t>AUD(V) - UNA - 10:50 - LUIS THADEU FILIPINO X VERALLIA(0010945-06.2023.5.03.0075)</t>
  </si>
  <si>
    <t>RES: ASSINATURA - CARTA AO FORNECEDOR (COMPLIANCE)</t>
  </si>
  <si>
    <t>RES: Cópia de Contrato e Aditivo l Alugmax &amp; Everson Faria</t>
  </si>
  <si>
    <t>ENC: INTIMAÇÃO PARA A APRESENTAÇÃO DE DOCUMENTOS</t>
  </si>
  <si>
    <t>RES: Bloqueio Judicial - 15/02/2024</t>
  </si>
  <si>
    <t>RES: Cobranças ref protesto/ação judicial CNPJ Verallia - Ref São Vicente - Fev/2024</t>
  </si>
  <si>
    <t>RES: VERALLIA AUSENTE NA AUD INICIAL - PERÍCIA - RTE EMERSON MACHADO SANTOS X VERALLIA -Proc ATSum 0020651-68.2023.5.04.0371</t>
  </si>
  <si>
    <t xml:space="preserve">Consultivo pessoal - Tesouraria - Wellington Paixão </t>
  </si>
  <si>
    <t>Envio de informação a Natalia com auxilio do Julio</t>
  </si>
  <si>
    <t xml:space="preserve">Revisão contratual </t>
  </si>
  <si>
    <t>Solicitação de Certidão de Matrícula: 19.154 e 14930.</t>
  </si>
  <si>
    <t>Análise do caso e devolutiva Rudge Leite + reunião com escritórios.</t>
  </si>
  <si>
    <t>Recontratações - Parecer jurídico para seguir com ajuda do Julio.</t>
  </si>
  <si>
    <t>Necessidade de localização de advogado Airton - SGV - devolutiva Patricia Rudge Leite para desbloqueio de contas Verallia.</t>
  </si>
  <si>
    <t xml:space="preserve">Revisão contratual. </t>
  </si>
  <si>
    <t xml:space="preserve">Informação para prosseguir ou não com as assinaturas. </t>
  </si>
  <si>
    <t xml:space="preserve"> SUBSÍDIOS DE DEFESA. PRAZO 26/01. RT. Sivan de Jesus Santos –Proc. nº 020052-89.2024.5.04.0373 - Âncora e subcontratada.</t>
  </si>
  <si>
    <t>Reunião e alinhamento com Rafael Baltar (requisições de compra SAP).</t>
  </si>
  <si>
    <t>Envio de estatuto social e solicitação de contrato firmado para prosseguir.</t>
  </si>
  <si>
    <t>Consulta: relação comercial com Venezuela.</t>
  </si>
  <si>
    <t>Envio ao PF para condução e revisão contratual.</t>
  </si>
  <si>
    <t>Status da revisão final e envio para assinaturas</t>
  </si>
  <si>
    <t>Reenvio para assinatura QT.</t>
  </si>
  <si>
    <t xml:space="preserve">Avaliação de demissão e reintegração em emprego anterior + contato com advogada. </t>
  </si>
  <si>
    <t>RES: NOTAS PENDENTES JURIDICO - alinhamento interno.</t>
  </si>
  <si>
    <t>Contract sent to counterpart review - 26/02/24</t>
  </si>
  <si>
    <t xml:space="preserve">Requesting more info about the contract object - 26/02/24;
Contract sent to review - 27/02/24;
</t>
  </si>
  <si>
    <t>Meeting woth Caroline Faleiros e Ana Marta to discuss new project of Legal Area- 27/02/24</t>
  </si>
  <si>
    <t>More info requested from the demander and changes asked to be made in the contract template - 27/02/24.</t>
  </si>
  <si>
    <t>Demand from HR about benefits forwarded to Ana Marta to carry on - 28/02/24;</t>
  </si>
  <si>
    <t>Contract sent to review - 29/02/24</t>
  </si>
  <si>
    <t>Contract reviewed and sent to signatures - 29/02/24</t>
  </si>
  <si>
    <t>More info demanded to Purchasing area - 29/02/24;</t>
  </si>
  <si>
    <t>Contract sent to signatures - 29/02/24;</t>
  </si>
  <si>
    <t>Info about contracts signed and negotiated in february sent to Júlio Le Senechal - 29/02/24;</t>
  </si>
  <si>
    <t>Consult to Ana Marta about need of the contract for sellings costs less than 50K reais - 29/02/24;</t>
  </si>
  <si>
    <t>More info requested from the demander - 29/02/24;</t>
  </si>
  <si>
    <t>RES:  NOVO PROCESSO - CLAUDIO CESAR DA SILVA JUNIOR X VERALLIA(0011908-62.2023.5.15.0048) - ata de audiência</t>
  </si>
  <si>
    <t>RES: ENC: TRADUÇÃO JURAMENTADA</t>
  </si>
  <si>
    <t>RES: MONITORAMENTO PRUDENCIAL: NOVAS OBRIGAÇÕES COM A CCEE - SGVID-PFERREIRA.(Crítico)</t>
  </si>
  <si>
    <t xml:space="preserve">Aceita:  Rt nº 1000359-89.2023.5.02.0342 - JHONATA SOARES SILVA x Verallia (ACTIVA) - sentença </t>
  </si>
  <si>
    <t>PAGAMENTO JUDICIAL - JHONATA SOARES SILVA x VERALLIA (ACTIVA)</t>
  </si>
  <si>
    <t>PAGAMENTO JUDICIAL - ROSSANO OLIVEIRA COUTO x VERALLIA</t>
  </si>
  <si>
    <t xml:space="preserve">RES: VERIFICAÇÃO RESPONSABILIDADE PROCESSUAL </t>
  </si>
  <si>
    <t>RES: ***URGENTE***Verallia - RT 0000021-20.2017.5.04.0203 - indisponibilidade do imóvel matrícula 15.979</t>
  </si>
  <si>
    <t>RES: PROCESSO - SAINT GOBAIN(0037674-13.2017.8.26.0100)</t>
  </si>
  <si>
    <t>RES: URGENTE - NOVO PROCESSO DA VERALLIA - rte SIVAN DE JESUS SANTOS x MONTCAL MONTAGENS LOCACOES LTDA., ANCORA ENGENHARIA LTDA. E VERALLIA BRASIL S.A. Proc 0020052-89.2024.5.04.0373</t>
  </si>
  <si>
    <t xml:space="preserve">RES: TRADUÇÃO JURAMENTADA </t>
  </si>
  <si>
    <t>PROVISIONAMENTO - FEVEREIRO/2024</t>
  </si>
  <si>
    <t>PAGAMENTO JURÍDICO - REGISTRADORES.</t>
  </si>
  <si>
    <t>RES: Treinamento NUBE — CNV: Comunicação Não Violenta</t>
  </si>
  <si>
    <t>RES: Projeto Final Estande Envase 2024 + Contrato</t>
  </si>
  <si>
    <t>RES: Projetista temporário - Centro Técnico (Renovação) - prazo de extensão</t>
  </si>
  <si>
    <t xml:space="preserve">DOCUMENTO PARA APOSTILAMENTO </t>
  </si>
  <si>
    <t>RES: Recontratações - Parecer jurídico</t>
  </si>
  <si>
    <t>CONSOLIDAÇÃO DIRF 2023</t>
  </si>
  <si>
    <t>RES: Lembrete: aguardando que você assine o Serviços Jurídicos - Rudge Leite  e VERALLIA - versão final.DOC</t>
  </si>
  <si>
    <t xml:space="preserve">AUD(V) INICIAL - 13:45 - SIVAN DE JESUS SANTOS X VERALLIA(0020052-89.2024.5.04.0373) </t>
  </si>
  <si>
    <t>AGENDA DE COMPROMISSOS - MARÇO/2024</t>
  </si>
  <si>
    <t>AUD(P) - 12:10 - CONCILIAÇÃO - MARIA MARLUCE LOPES DE LIMA X VERALLIA(1001064-11.2020.5.02.0078)</t>
  </si>
  <si>
    <t>PERÍCIA MEDICA - 16:00 - CLAUDIO CESAR DA SILVA JUNIOR X VERALLIA(0011908-62.2023.5.15.0048)</t>
  </si>
  <si>
    <t xml:space="preserve">RES:  Rt nº 1000359-89.2023.5.02.0342 - JHONATA SOARES SILVA x Verallia (ACTIVA) - sentença </t>
  </si>
  <si>
    <t>ENC: AGENDAMENTO DE PERICIA Luiz Eduardo Mariano Alves 0011272-48.2023.503.0075 - 6/3</t>
  </si>
  <si>
    <t>FECHAMENTO SEMANAL KPI 22 - 29 FEV E MENSAL FEV/2024</t>
  </si>
  <si>
    <t>PAGAMENTO JUDICIAL - JOSÉ LODI X VERALLIA(1001250-96.2019.5.02.0004)</t>
  </si>
  <si>
    <t xml:space="preserve">PLANILHA DE BENEFÍCIO ECONÔMICO ATUALIZADA </t>
  </si>
  <si>
    <t>SOLICITAÇÃO DE DOCUMENTOS - OFÍCIO.</t>
  </si>
  <si>
    <t>RES: [Verallia &lt;&gt; 4intelligence] Renovação Contratual</t>
  </si>
  <si>
    <t xml:space="preserve">RES: SAP set up : Payment via IHC 
</t>
  </si>
  <si>
    <t>RES: CS METAL - 33-22 - FORNO - Minuta contratual Máquinas IS</t>
  </si>
  <si>
    <t>RES: Lista de controle de contratos - Indicadores do Jurídico</t>
  </si>
  <si>
    <t>RES: RES: RES: RES: Re: Prefeitura Campo Bom - Retorno Milene</t>
  </si>
  <si>
    <t>ENC: VERALLIA- SUBSÍDIOS DE DEFESA. PRAZO 26/01. RT. Sivan de Jesus Santos –Proc. nº 020052-89.2024.5.04.0373</t>
  </si>
  <si>
    <t>RES: Ajustar cronograma Verallia - Descontaminação Canoas</t>
  </si>
  <si>
    <t>RES: Audit Verallia USA - contract Santa Clara Warehouse</t>
  </si>
  <si>
    <t>Fwd: DELEGATION OF AUTHORITY (V-US Agents) between Verallia Packaging, felix lamolinerie, domitille launay, and 3 more is Signed and Filed!</t>
  </si>
  <si>
    <t>Re: Ex Tarifários em andamento_Usina Zippe</t>
  </si>
  <si>
    <t>RES: Approval requested on "1 Aditivo - Light Print e Verallia- Rev. 220224"</t>
  </si>
  <si>
    <t>RES: Approval requested on "Prestaçao de serviços - Daian Alex - ENVASE - Rev. 260224"</t>
  </si>
  <si>
    <t>RES: Arquivos para Arquivare - Verallia do Brasil - Fábrica de Campo Bom - regularização contratação</t>
  </si>
  <si>
    <t>RES: Código de Conduta - Hero brasil</t>
  </si>
  <si>
    <t>RES: CABEAMENTO FORNO 2 - FCB2_TDEC</t>
  </si>
  <si>
    <t>Termo de Recebimento Definitivo Diase</t>
  </si>
  <si>
    <t>RES: 2023 Delaware Annual Report</t>
  </si>
  <si>
    <t>Alinhamento - Pontos Diversos - Natália</t>
  </si>
  <si>
    <t>RES: Matriz de Riscos - Compras - Comentários do Jurídico</t>
  </si>
  <si>
    <t>RES: invoice no. KA53961V1-06 - Verallia Brasil, Campo Bom - PO 5501792881</t>
  </si>
  <si>
    <t>ENC: Cronograma atualizado e custos adicionais - Projeto Linde x Verallia</t>
  </si>
  <si>
    <t>RES: Área da Planta - Linde</t>
  </si>
  <si>
    <t>RES: Supplier contracts - V.USA</t>
  </si>
  <si>
    <t>Reunião de Retorno - ANCORA ENGENHARIA LTDA - 28/02/2024</t>
  </si>
  <si>
    <t>Compliance Meeting 29/02 - Tire suas dúvidas</t>
  </si>
  <si>
    <t>RES: Caso Bruno Metz</t>
  </si>
  <si>
    <t>RES: Contrato Verallia</t>
  </si>
  <si>
    <t>Cláusula Bernhoeft - Contrato Âncora</t>
  </si>
  <si>
    <t>RES: Approval requested on "Anexo I - Proposta"</t>
  </si>
  <si>
    <t>Signed</t>
  </si>
  <si>
    <t>Mariane Westim</t>
  </si>
  <si>
    <t>Sem Informação</t>
  </si>
  <si>
    <t>Compliance topic</t>
  </si>
  <si>
    <t>Area</t>
  </si>
  <si>
    <t>Date</t>
  </si>
  <si>
    <t>Trainings/Communication</t>
  </si>
  <si>
    <t>Anticorruption</t>
  </si>
  <si>
    <t>Harassment</t>
  </si>
  <si>
    <t xml:space="preserve">Competition </t>
  </si>
  <si>
    <t>Intellectual Property and Know-how</t>
  </si>
  <si>
    <t>Confidencial Information</t>
  </si>
  <si>
    <t xml:space="preserve">Personal Data Protection </t>
  </si>
  <si>
    <t xml:space="preserve">Conflict of Interest </t>
  </si>
  <si>
    <t>Gifts and Invitations</t>
  </si>
  <si>
    <t>Associations and Class Entities</t>
  </si>
  <si>
    <t>Donations and Sponsorship</t>
  </si>
  <si>
    <t>Third-parties (Altares)</t>
  </si>
  <si>
    <t>Economic Sanctions (A&amp;B system)</t>
  </si>
  <si>
    <t>Whisteblowing</t>
  </si>
  <si>
    <t>Labor Law &amp; Employee safety</t>
  </si>
  <si>
    <t>Crises, Litigation and Risks.</t>
  </si>
  <si>
    <t>Reason/ Impact</t>
  </si>
  <si>
    <t>Mitigation plan? 
(Yes or No)</t>
  </si>
  <si>
    <r>
      <t xml:space="preserve">Which?
</t>
    </r>
    <r>
      <rPr>
        <b/>
        <i/>
        <sz val="11"/>
        <color theme="1"/>
        <rFont val="Aptos Narrow"/>
        <family val="2"/>
        <scheme val="minor"/>
      </rPr>
      <t>*If applicable</t>
    </r>
  </si>
  <si>
    <t>Has the area accepted the mitigation plan? 
(Yes or No)</t>
  </si>
  <si>
    <t>They assume the risk
(Yes or No)</t>
  </si>
  <si>
    <t>Initial date</t>
  </si>
  <si>
    <t>Final date</t>
  </si>
  <si>
    <t>Working days</t>
  </si>
  <si>
    <t>Deadline
 (YES OR NO)</t>
  </si>
  <si>
    <t>Working Hours</t>
  </si>
  <si>
    <t>Total number of participants</t>
  </si>
  <si>
    <t xml:space="preserve">Number of participants who attended/performed </t>
  </si>
  <si>
    <t>Adequacy (%)</t>
  </si>
  <si>
    <t>Compliance Documents or Contracts</t>
  </si>
  <si>
    <t>Policy and/or procedure update</t>
  </si>
  <si>
    <t xml:space="preserve">Purchasing </t>
  </si>
  <si>
    <t>Brazil</t>
  </si>
  <si>
    <t xml:space="preserve">General Purchasing Conditions </t>
  </si>
  <si>
    <t>N/A</t>
  </si>
  <si>
    <t>Consolidation</t>
  </si>
  <si>
    <t xml:space="preserve">Compliance </t>
  </si>
  <si>
    <t>LATAM &amp; USA</t>
  </si>
  <si>
    <t>Final review and consolidation of the document 2023</t>
  </si>
  <si>
    <t>Request</t>
  </si>
  <si>
    <t>Request to fill in the spreadsheet - 01/02
Consolidation of information and review of the table - 0/02</t>
  </si>
  <si>
    <t>There is no lawyer present at all association meetings</t>
  </si>
  <si>
    <t>Request the presence of a lawyer</t>
  </si>
  <si>
    <t>Communication</t>
  </si>
  <si>
    <t>Final version review + alignment with HR - 05/02</t>
  </si>
  <si>
    <t xml:space="preserve">Policy update - 05/02
Revision - 08/02
Disclosure - </t>
  </si>
  <si>
    <t>Declaration</t>
  </si>
  <si>
    <t>Declaration of Compliance (members update) - 07/02
Informative email to BR - 08/02
To signuture -</t>
  </si>
  <si>
    <t>Evaluation</t>
  </si>
  <si>
    <t xml:space="preserve">Document verification - 07/02
Receipt or contract request - 07/02
Subscription forms - </t>
  </si>
  <si>
    <t>Analyze</t>
  </si>
  <si>
    <t>Review: Transfer Impact Assessment as part of the whistleblowing system - 08/02</t>
  </si>
  <si>
    <t>Audit</t>
  </si>
  <si>
    <t>Alignment with André Maia - 08/02</t>
  </si>
  <si>
    <t xml:space="preserve">Publicity partnership with SINDIBEBIDAS
Questioning - 07/02
Meeting - </t>
  </si>
  <si>
    <t>15/02/2025</t>
  </si>
  <si>
    <t>30/02/2025</t>
  </si>
  <si>
    <t>ewdscxsadcdsd</t>
  </si>
  <si>
    <t>dqwdqwdqwdwqdqwdwqdqwdwqdwqdwqdqwdqw</t>
  </si>
  <si>
    <t xml:space="preserve"> </t>
  </si>
  <si>
    <t>18/03/2024</t>
  </si>
  <si>
    <t>dfadsdadsdadsdsad</t>
  </si>
  <si>
    <t>tytyutyjutyutyutyuty</t>
  </si>
  <si>
    <t>qwdfeqwfeqwfewqf</t>
  </si>
  <si>
    <t>26/01/2024</t>
  </si>
  <si>
    <t>aefeswfeswfdscfdsc</t>
  </si>
  <si>
    <t>Activite</t>
  </si>
  <si>
    <t>LOW=1  MIDIUM=2 HIGH=3</t>
  </si>
  <si>
    <t>Latam  &amp; USA</t>
  </si>
  <si>
    <t>Aditivo 1</t>
  </si>
  <si>
    <t>Aditivo 2</t>
  </si>
  <si>
    <t>Aditivo 3</t>
  </si>
  <si>
    <t>Agendamento de audiência 1</t>
  </si>
  <si>
    <t>Agendamento de audiência 2</t>
  </si>
  <si>
    <t>Agendamento de audiência 3</t>
  </si>
  <si>
    <t>Agendamento de audiência 4</t>
  </si>
  <si>
    <t>Agendamento de audiência 5</t>
  </si>
  <si>
    <t>Agendamento de audiência 7</t>
  </si>
  <si>
    <t>Andamento processual 1</t>
  </si>
  <si>
    <t>Andamento processual 2</t>
  </si>
  <si>
    <t>ATOS 1</t>
  </si>
  <si>
    <t>ATOS 2</t>
  </si>
  <si>
    <t>Canoas 1</t>
  </si>
  <si>
    <t>Canoas 2</t>
  </si>
  <si>
    <t>Canoas 3</t>
  </si>
  <si>
    <t>Canoas 4</t>
  </si>
  <si>
    <t>Canoas 5</t>
  </si>
  <si>
    <t>Canoas 6</t>
  </si>
  <si>
    <t>Condições Gerais de Compras 1</t>
  </si>
  <si>
    <t>Condições Gerais de Compras 2</t>
  </si>
  <si>
    <t>Confirmação pedidos de pagamento 1</t>
  </si>
  <si>
    <t>Confirmação pedidos de pagamento 2</t>
  </si>
  <si>
    <t>Consulta 1</t>
  </si>
  <si>
    <t>Consulta 2</t>
  </si>
  <si>
    <t>Consulta 3</t>
  </si>
  <si>
    <t>Reunião 1</t>
  </si>
  <si>
    <t>Reunião 2</t>
  </si>
  <si>
    <t>Obras SE 1</t>
  </si>
  <si>
    <t>Obras SE 2</t>
  </si>
  <si>
    <t>MS 1</t>
  </si>
  <si>
    <t>MS 2</t>
  </si>
  <si>
    <t>MS 3</t>
  </si>
  <si>
    <t>Prestação de Serviços 1</t>
  </si>
  <si>
    <t>Prestação de Serviços 2</t>
  </si>
  <si>
    <t>Prestação de Serviços 3</t>
  </si>
  <si>
    <t>Reunião 3</t>
  </si>
  <si>
    <t>Reunião 4</t>
  </si>
  <si>
    <t>USA 1</t>
  </si>
  <si>
    <t>USA 2</t>
  </si>
  <si>
    <t>Reunião 5</t>
  </si>
  <si>
    <t>Reunião 6</t>
  </si>
  <si>
    <t>ID</t>
  </si>
  <si>
    <t>çklsjcdlkasclkwdjlk</t>
  </si>
  <si>
    <t>França</t>
  </si>
  <si>
    <t>Sem Informação 1</t>
  </si>
  <si>
    <t>Sem Informação 2</t>
  </si>
  <si>
    <t>Sem Informação 3</t>
  </si>
  <si>
    <t>Sem Informação 4</t>
  </si>
  <si>
    <t>Sem Informação 5</t>
  </si>
  <si>
    <t>Sem Informação 6</t>
  </si>
  <si>
    <t>Sem Informação 7</t>
  </si>
  <si>
    <t>Sem Informação 8</t>
  </si>
  <si>
    <t>Sem Informação 9</t>
  </si>
  <si>
    <t>Sem Informação 10</t>
  </si>
  <si>
    <t>Sem Informação 11</t>
  </si>
  <si>
    <t>Sem Informação 12</t>
  </si>
  <si>
    <t>Sem Informação 13</t>
  </si>
  <si>
    <t>Sem Informação 14</t>
  </si>
  <si>
    <t>Sem Informação 15</t>
  </si>
  <si>
    <t>Sem Informação 16</t>
  </si>
  <si>
    <t>Sem Informação 17</t>
  </si>
  <si>
    <t>Sem Informação 18</t>
  </si>
  <si>
    <t>Sem Informação 19</t>
  </si>
  <si>
    <t>Sem Informação 20</t>
  </si>
  <si>
    <t>Sem Informação 21</t>
  </si>
  <si>
    <t>Sem Informação 22</t>
  </si>
  <si>
    <t>Sem Informação 23</t>
  </si>
  <si>
    <t>Sem Informação 24</t>
  </si>
  <si>
    <t>Sem Informação 25</t>
  </si>
  <si>
    <t>Sem Informação 26</t>
  </si>
  <si>
    <t>Sem Informação 27</t>
  </si>
  <si>
    <t>Sem Informação 28</t>
  </si>
  <si>
    <t>Sem Informação 29</t>
  </si>
  <si>
    <t>Sem Informação 30</t>
  </si>
  <si>
    <t>Sem Informação 31</t>
  </si>
  <si>
    <t>Sem Informação 32</t>
  </si>
  <si>
    <t>Sem Informação 33</t>
  </si>
  <si>
    <t>Sem Informação 34</t>
  </si>
  <si>
    <t>Sem Informação 35</t>
  </si>
  <si>
    <t>Sem Informação 36</t>
  </si>
  <si>
    <t>Sem Informação 37</t>
  </si>
  <si>
    <t>Sem Informação 38</t>
  </si>
  <si>
    <t>Sem Informação 39</t>
  </si>
  <si>
    <t>Sem Informação 40</t>
  </si>
  <si>
    <t>Sem Informação 41</t>
  </si>
  <si>
    <t>Sem Informação 42</t>
  </si>
  <si>
    <t>Sem Informação 43</t>
  </si>
  <si>
    <t>Sem Informação 44</t>
  </si>
  <si>
    <t>Sem Informação 45</t>
  </si>
  <si>
    <t>Sem Informação 46</t>
  </si>
  <si>
    <t>Sem Informação 47</t>
  </si>
  <si>
    <t>Sem Informação 48</t>
  </si>
  <si>
    <t>Sem Informação 49</t>
  </si>
  <si>
    <t>Sem Informação 50</t>
  </si>
  <si>
    <t>Sem Informação 51</t>
  </si>
  <si>
    <t>Sem Informação 52</t>
  </si>
  <si>
    <t>Sem Informação 53</t>
  </si>
  <si>
    <t>Sem Informação 54</t>
  </si>
  <si>
    <t>Sem Informação 55</t>
  </si>
  <si>
    <t>Sem Informação 56</t>
  </si>
  <si>
    <t>Sem Informação 57</t>
  </si>
  <si>
    <t>Sem Informação 58</t>
  </si>
  <si>
    <t>Sem Informação 59</t>
  </si>
  <si>
    <t>Sem Informação 60</t>
  </si>
  <si>
    <t>Sem Informação 61</t>
  </si>
  <si>
    <t>Sem Informação 62</t>
  </si>
  <si>
    <t>Sem Informação 63</t>
  </si>
  <si>
    <t>Sem Informação 64</t>
  </si>
  <si>
    <t>Sem Informação 65</t>
  </si>
  <si>
    <t>Sem Informação 66</t>
  </si>
  <si>
    <t>Sem Informação 67</t>
  </si>
  <si>
    <t>Sem Informação 68</t>
  </si>
  <si>
    <t>Sem Informação 69</t>
  </si>
  <si>
    <t>Sem Informação 70</t>
  </si>
  <si>
    <t>Sem Informação 71</t>
  </si>
  <si>
    <t>Sem Informação 72</t>
  </si>
  <si>
    <t>Sem Informação 73</t>
  </si>
  <si>
    <t>Sem Informação 74</t>
  </si>
  <si>
    <t>Sem Informação 75</t>
  </si>
  <si>
    <t>Sem Informação 76</t>
  </si>
  <si>
    <t>Sem Informação 77</t>
  </si>
  <si>
    <t>Sem Informação 78</t>
  </si>
  <si>
    <t>Sem Informação 79</t>
  </si>
  <si>
    <t>Sem Informação 80</t>
  </si>
  <si>
    <t>Sem Informação 81</t>
  </si>
  <si>
    <t>Sem Informação 82</t>
  </si>
  <si>
    <t>Sem Informação 83</t>
  </si>
  <si>
    <t>Sem Informação 84</t>
  </si>
  <si>
    <t>Sem Informação 85</t>
  </si>
  <si>
    <t>Sem Informação 86</t>
  </si>
  <si>
    <t>Sem Informação 87</t>
  </si>
  <si>
    <t>Sem Informação 88</t>
  </si>
  <si>
    <t>Sem Informação 89</t>
  </si>
  <si>
    <t>Sem Informação 90</t>
  </si>
  <si>
    <t>Sem Informação 91</t>
  </si>
  <si>
    <t>Sem Informação 92</t>
  </si>
  <si>
    <t>Sem Informação 93</t>
  </si>
  <si>
    <t>Sem Informação 94</t>
  </si>
  <si>
    <t>Sem Informação 95</t>
  </si>
  <si>
    <t>Sem Informação 96</t>
  </si>
  <si>
    <t>Sem Informação 97</t>
  </si>
  <si>
    <t>Sem Informação 98</t>
  </si>
  <si>
    <t>Sem Informação 99</t>
  </si>
  <si>
    <t>Sem Informação 100</t>
  </si>
  <si>
    <t>Sem Informação 101</t>
  </si>
  <si>
    <t>Sem Informação 102</t>
  </si>
  <si>
    <t>Sem Informação 103</t>
  </si>
  <si>
    <t>Sem Informação 104</t>
  </si>
  <si>
    <t>Sem Informação 105</t>
  </si>
  <si>
    <t>Agendamente de audiência 8</t>
  </si>
  <si>
    <t>Agendamente de audiência 9</t>
  </si>
  <si>
    <t>Envio de documentos 1</t>
  </si>
  <si>
    <t>Envio de documentos 2</t>
  </si>
  <si>
    <t>Acesso a resultados do check-up</t>
  </si>
  <si>
    <t xml:space="preserve">ATESTADO DE RECLUSÃO </t>
  </si>
  <si>
    <t>Demander 29/02/2024</t>
  </si>
  <si>
    <t>21/01/2024</t>
  </si>
  <si>
    <t>kjghdskjfhkjfhsdfkhj</t>
  </si>
  <si>
    <t>teste 2</t>
  </si>
  <si>
    <t>teste 3</t>
  </si>
  <si>
    <t>teste 1</t>
  </si>
  <si>
    <t>teste 4</t>
  </si>
  <si>
    <t>Activity name</t>
  </si>
  <si>
    <t>teste 5</t>
  </si>
  <si>
    <t>LegalActivity</t>
  </si>
  <si>
    <t>tyutyutyju</t>
  </si>
  <si>
    <t>13/01/2024</t>
  </si>
  <si>
    <t>teste 7</t>
  </si>
  <si>
    <t>teste 8</t>
  </si>
  <si>
    <t>teste</t>
  </si>
  <si>
    <t>teste 10</t>
  </si>
  <si>
    <t>Contracts</t>
  </si>
  <si>
    <t>CodName</t>
  </si>
  <si>
    <t>80:00:00</t>
  </si>
  <si>
    <t>10:00:00</t>
  </si>
  <si>
    <t>28:00:00</t>
  </si>
  <si>
    <t>Update Date</t>
  </si>
  <si>
    <t>Start Time</t>
  </si>
  <si>
    <t>End Time</t>
  </si>
  <si>
    <t>V1</t>
  </si>
  <si>
    <t>V2</t>
  </si>
  <si>
    <t>V3</t>
  </si>
  <si>
    <t>V4</t>
  </si>
  <si>
    <t>V5</t>
  </si>
  <si>
    <t>V6</t>
  </si>
  <si>
    <t>V7</t>
  </si>
  <si>
    <t>V8</t>
  </si>
  <si>
    <t>V9</t>
  </si>
  <si>
    <t>V10</t>
  </si>
  <si>
    <t>V11</t>
  </si>
  <si>
    <t>V12</t>
  </si>
  <si>
    <t>V13</t>
  </si>
  <si>
    <t>V14</t>
  </si>
  <si>
    <t>V15</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</si>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</sst>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R$&quot;#,##0_);[Red]\(&quot;R$&quot;#,##0\)"/>
    <numFmt numFmtId="165" formatCode="_(&quot;R$&quot;* #,##0.00_);_(&quot;R$&quot;* \(#,##0.00\);_(&quot;R$&quot;* &quot;-&quot;??_);_(@_)"/>
    <numFmt numFmtId="166" formatCode="&quot;R$&quot;#,##0.00_);[Red]\(&quot;R$&quot;#,##0.00\)"/>
    <numFmt numFmtId="167" formatCode="[$-F400]h:mm:ss\ AM/PM"/>
    <numFmt numFmtId="168" formatCode="[h]:mm:ss;@"/>
    <numFmt numFmtId="169" formatCode="&quot;R$&quot;\ #,##0.00"/>
    <numFmt numFmtId="170" formatCode="_-[$R$-416]\ * #,##0.00_-;\-[$R$-416]\ * #,##0.00_-;_-[$R$-416]\ * &quot;-&quot;??_-;_-@_-"/>
  </numFmts>
  <fonts count="11" x14ac:knownFonts="1">
    <font>
      <sz val="11"/>
      <color theme="1"/>
      <name val="Aptos Narrow"/>
      <family val="2"/>
      <scheme val="minor"/>
    </font>
    <font>
      <b/>
      <sz val="11"/>
      <color theme="1"/>
      <name val="Aptos Narrow"/>
      <family val="2"/>
      <scheme val="minor"/>
    </font>
    <font>
      <sz val="11"/>
      <color theme="1"/>
      <name val="Aptos Narrow"/>
      <family val="2"/>
      <scheme val="minor"/>
    </font>
    <font>
      <b/>
      <sz val="11"/>
      <color rgb="FFFF0000"/>
      <name val="Aptos Narrow"/>
      <family val="2"/>
      <scheme val="minor"/>
    </font>
    <font>
      <sz val="10"/>
      <color theme="1"/>
      <name val="Aptos Narrow"/>
      <family val="2"/>
      <scheme val="minor"/>
    </font>
    <font>
      <b/>
      <sz val="10"/>
      <color theme="1"/>
      <name val="Aptos Narrow"/>
      <family val="2"/>
      <scheme val="minor"/>
    </font>
    <font>
      <sz val="9"/>
      <color theme="1"/>
      <name val="Aptos Narrow"/>
      <family val="2"/>
      <scheme val="minor"/>
    </font>
    <font>
      <b/>
      <i/>
      <sz val="11"/>
      <color theme="1"/>
      <name val="Aptos Narrow"/>
      <family val="2"/>
      <scheme val="minor"/>
    </font>
    <font>
      <sz val="8"/>
      <name val="Aptos Narrow"/>
      <family val="2"/>
      <scheme val="minor"/>
    </font>
    <font>
      <u/>
      <sz val="11"/>
      <color theme="10"/>
      <name val="Aptos Narrow"/>
      <family val="2"/>
      <scheme val="minor"/>
    </font>
    <font>
      <u/>
      <sz val="11"/>
      <color theme="1"/>
      <name val="Aptos Narrow"/>
      <family val="2"/>
      <scheme val="minor"/>
    </font>
  </fonts>
  <fills count="22">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theme="5" tint="-0.249977111117893"/>
        <bgColor indexed="64"/>
      </patternFill>
    </fill>
    <fill>
      <patternFill patternType="solid">
        <fgColor theme="8" tint="0.39997558519241921"/>
        <bgColor indexed="64"/>
      </patternFill>
    </fill>
    <fill>
      <patternFill patternType="solid">
        <fgColor theme="2"/>
        <bgColor indexed="64"/>
      </patternFill>
    </fill>
  </fills>
  <borders count="24">
    <border>
      <left/>
      <right/>
      <top/>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theme="4" tint="0.39997558519241921"/>
      </bottom>
      <diagonal/>
    </border>
    <border>
      <left style="medium">
        <color indexed="64"/>
      </left>
      <right style="thin">
        <color indexed="64"/>
      </right>
      <top style="thin">
        <color indexed="64"/>
      </top>
      <bottom style="thin">
        <color theme="4" tint="0.39997558519241921"/>
      </bottom>
      <diagonal/>
    </border>
    <border>
      <left style="thin">
        <color indexed="64"/>
      </left>
      <right style="medium">
        <color indexed="64"/>
      </right>
      <top style="thin">
        <color indexed="64"/>
      </top>
      <bottom style="thin">
        <color theme="4" tint="0.39997558519241921"/>
      </bottom>
      <diagonal/>
    </border>
    <border>
      <left/>
      <right/>
      <top style="thin">
        <color indexed="64"/>
      </top>
      <bottom style="thin">
        <color theme="4" tint="0.3999755851924192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s>
  <cellStyleXfs count="5">
    <xf numFmtId="0" fontId="0" fillId="0" borderId="0"/>
    <xf numFmtId="165" fontId="2" fillId="0" borderId="0" applyFont="0" applyFill="0" applyBorder="0" applyAlignment="0" applyProtection="0"/>
    <xf numFmtId="0" fontId="2" fillId="2" borderId="1" applyNumberFormat="0" applyFont="0" applyAlignment="0" applyProtection="0"/>
    <xf numFmtId="9" fontId="2" fillId="0" borderId="0" applyFont="0" applyFill="0" applyBorder="0" applyAlignment="0" applyProtection="0"/>
    <xf numFmtId="0" fontId="9" fillId="0" borderId="0" applyNumberFormat="0" applyFill="0" applyBorder="0" applyAlignment="0" applyProtection="0"/>
  </cellStyleXfs>
  <cellXfs count="133">
    <xf numFmtId="0" fontId="0" fillId="0" borderId="0" xfId="0"/>
    <xf numFmtId="0" fontId="1" fillId="0" borderId="0" xfId="0" applyFont="1" applyAlignment="1">
      <alignment horizontal="center" vertical="center"/>
    </xf>
    <xf numFmtId="165" fontId="0" fillId="0" borderId="0" xfId="1" applyFont="1"/>
    <xf numFmtId="0" fontId="0" fillId="0" borderId="0" xfId="0" applyAlignment="1">
      <alignment horizontal="center"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2" borderId="1" xfId="2" applyFont="1" applyAlignment="1">
      <alignment horizontal="center" vertical="center" wrapText="1"/>
    </xf>
    <xf numFmtId="0" fontId="1" fillId="3" borderId="4" xfId="0" applyFont="1" applyFill="1" applyBorder="1" applyAlignment="1">
      <alignment horizontal="center" vertical="center" wrapText="1"/>
    </xf>
    <xf numFmtId="0" fontId="1" fillId="3" borderId="5"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4"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1" fillId="5" borderId="6"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horizontal="center"/>
    </xf>
    <xf numFmtId="0" fontId="0" fillId="7" borderId="0" xfId="0" applyFill="1"/>
    <xf numFmtId="0" fontId="0" fillId="8" borderId="0" xfId="0" applyFill="1"/>
    <xf numFmtId="14" fontId="1" fillId="3" borderId="3" xfId="0" applyNumberFormat="1"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5" borderId="7" xfId="0" applyFont="1" applyFill="1" applyBorder="1" applyAlignment="1">
      <alignment horizontal="center" vertical="center" wrapText="1"/>
    </xf>
    <xf numFmtId="0" fontId="1" fillId="5" borderId="9" xfId="0" applyFont="1" applyFill="1" applyBorder="1" applyAlignment="1">
      <alignment horizontal="center" vertical="center" wrapText="1"/>
    </xf>
    <xf numFmtId="0" fontId="0" fillId="0" borderId="0" xfId="0" applyAlignment="1">
      <alignment horizontal="center" wrapText="1"/>
    </xf>
    <xf numFmtId="0" fontId="0" fillId="0" borderId="0" xfId="0" applyAlignment="1">
      <alignment horizontal="justify" wrapText="1"/>
    </xf>
    <xf numFmtId="14" fontId="1" fillId="3" borderId="7" xfId="0" applyNumberFormat="1" applyFont="1" applyFill="1" applyBorder="1" applyAlignment="1">
      <alignment horizontal="center" vertical="center" wrapText="1"/>
    </xf>
    <xf numFmtId="21" fontId="0" fillId="0" borderId="0" xfId="0" applyNumberFormat="1" applyAlignment="1">
      <alignment horizontal="center"/>
    </xf>
    <xf numFmtId="0" fontId="1" fillId="0" borderId="0" xfId="0" applyFont="1" applyAlignment="1">
      <alignment vertical="center"/>
    </xf>
    <xf numFmtId="0" fontId="1" fillId="9" borderId="19" xfId="0" applyFont="1" applyFill="1" applyBorder="1" applyAlignment="1">
      <alignment horizontal="center" vertical="center"/>
    </xf>
    <xf numFmtId="0" fontId="1" fillId="11" borderId="19" xfId="0" applyFont="1" applyFill="1" applyBorder="1" applyAlignment="1">
      <alignment vertical="center"/>
    </xf>
    <xf numFmtId="0" fontId="0" fillId="0" borderId="21" xfId="0" applyBorder="1" applyAlignment="1">
      <alignment horizontal="center" vertical="center"/>
    </xf>
    <xf numFmtId="14" fontId="0" fillId="0" borderId="22" xfId="0" applyNumberFormat="1" applyBorder="1" applyAlignment="1">
      <alignment horizontal="center" vertical="center"/>
    </xf>
    <xf numFmtId="20" fontId="0" fillId="0" borderId="21" xfId="0" applyNumberFormat="1" applyBorder="1" applyAlignment="1">
      <alignment horizontal="center" vertical="center"/>
    </xf>
    <xf numFmtId="9" fontId="0" fillId="0" borderId="21" xfId="3" applyFont="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0" fontId="0" fillId="0" borderId="21" xfId="0" applyBorder="1" applyAlignment="1">
      <alignment horizontal="center" vertical="center" wrapText="1"/>
    </xf>
    <xf numFmtId="14" fontId="0" fillId="0" borderId="21" xfId="0" applyNumberFormat="1" applyBorder="1" applyAlignment="1">
      <alignment horizontal="center" vertical="center"/>
    </xf>
    <xf numFmtId="0" fontId="0" fillId="0" borderId="22" xfId="0" applyBorder="1" applyAlignment="1">
      <alignment horizontal="center" vertical="center" wrapText="1"/>
    </xf>
    <xf numFmtId="0" fontId="0" fillId="0" borderId="22" xfId="0" applyBorder="1"/>
    <xf numFmtId="21" fontId="0" fillId="0" borderId="0" xfId="0" applyNumberFormat="1"/>
    <xf numFmtId="14" fontId="0" fillId="0" borderId="0" xfId="0" applyNumberFormat="1"/>
    <xf numFmtId="167" fontId="0" fillId="0" borderId="0" xfId="0" applyNumberFormat="1"/>
    <xf numFmtId="168" fontId="3" fillId="2" borderId="1" xfId="2" applyNumberFormat="1" applyFont="1" applyAlignment="1">
      <alignment horizontal="center" vertical="center" wrapText="1"/>
    </xf>
    <xf numFmtId="168" fontId="0" fillId="0" borderId="0" xfId="0" applyNumberFormat="1"/>
    <xf numFmtId="169" fontId="0" fillId="0" borderId="0" xfId="0" applyNumberFormat="1"/>
    <xf numFmtId="0" fontId="1" fillId="6" borderId="19" xfId="0" applyFont="1" applyFill="1" applyBorder="1" applyAlignment="1">
      <alignment horizontal="center" vertical="center"/>
    </xf>
    <xf numFmtId="0" fontId="1" fillId="6" borderId="19" xfId="0" applyFont="1" applyFill="1" applyBorder="1" applyAlignment="1">
      <alignment horizontal="center" vertical="center" wrapText="1"/>
    </xf>
    <xf numFmtId="0" fontId="1" fillId="12" borderId="19" xfId="0" applyFont="1" applyFill="1" applyBorder="1" applyAlignment="1">
      <alignment horizontal="center" vertical="center" wrapText="1"/>
    </xf>
    <xf numFmtId="0" fontId="1" fillId="4" borderId="13" xfId="0" applyFont="1" applyFill="1" applyBorder="1" applyAlignment="1">
      <alignment horizontal="center" vertical="center" wrapText="1"/>
    </xf>
    <xf numFmtId="0" fontId="1" fillId="4" borderId="13" xfId="0" applyFont="1" applyFill="1" applyBorder="1" applyAlignment="1">
      <alignment horizontal="center" vertical="center"/>
    </xf>
    <xf numFmtId="0" fontId="0" fillId="0" borderId="22" xfId="0" applyBorder="1" applyAlignment="1">
      <alignment horizontal="center"/>
    </xf>
    <xf numFmtId="166" fontId="0" fillId="0" borderId="0" xfId="0" applyNumberFormat="1"/>
    <xf numFmtId="1" fontId="0" fillId="0" borderId="21" xfId="3" applyNumberFormat="1" applyFont="1" applyBorder="1" applyAlignment="1">
      <alignment horizontal="center" vertical="center"/>
    </xf>
    <xf numFmtId="1" fontId="1" fillId="12" borderId="19" xfId="0" applyNumberFormat="1" applyFont="1" applyFill="1" applyBorder="1" applyAlignment="1">
      <alignment horizontal="center" vertical="center" wrapText="1"/>
    </xf>
    <xf numFmtId="1" fontId="0" fillId="0" borderId="22" xfId="0" applyNumberFormat="1" applyBorder="1" applyAlignment="1">
      <alignment horizontal="center"/>
    </xf>
    <xf numFmtId="9" fontId="0" fillId="0" borderId="22" xfId="3" applyFont="1" applyBorder="1" applyAlignment="1">
      <alignment horizontal="center"/>
    </xf>
    <xf numFmtId="9" fontId="1" fillId="12" borderId="19" xfId="3" applyFont="1" applyFill="1" applyBorder="1" applyAlignment="1">
      <alignment horizontal="center" vertical="center"/>
    </xf>
    <xf numFmtId="9" fontId="0" fillId="0" borderId="22" xfId="3" applyFont="1" applyBorder="1" applyAlignment="1">
      <alignment horizontal="center" vertical="center"/>
    </xf>
    <xf numFmtId="1" fontId="1" fillId="3" borderId="2" xfId="0" applyNumberFormat="1" applyFont="1" applyFill="1" applyBorder="1" applyAlignment="1">
      <alignment horizontal="center" vertical="center" wrapText="1"/>
    </xf>
    <xf numFmtId="1" fontId="0" fillId="0" borderId="0" xfId="0" applyNumberFormat="1" applyAlignment="1">
      <alignment horizontal="center"/>
    </xf>
    <xf numFmtId="165" fontId="1" fillId="3" borderId="3" xfId="1" applyFont="1" applyFill="1" applyBorder="1" applyAlignment="1">
      <alignment horizontal="center" vertical="center" wrapText="1"/>
    </xf>
    <xf numFmtId="165" fontId="0" fillId="0" borderId="0" xfId="1" applyFont="1" applyAlignment="1">
      <alignment horizontal="center"/>
    </xf>
    <xf numFmtId="1" fontId="1" fillId="3" borderId="7" xfId="0" applyNumberFormat="1" applyFont="1" applyFill="1" applyBorder="1" applyAlignment="1">
      <alignment horizontal="center" vertical="center" wrapText="1"/>
    </xf>
    <xf numFmtId="1" fontId="0" fillId="0" borderId="22" xfId="0" applyNumberFormat="1" applyBorder="1" applyAlignment="1">
      <alignment horizontal="center" vertical="center"/>
    </xf>
    <xf numFmtId="0" fontId="0" fillId="13" borderId="0" xfId="0" applyFill="1"/>
    <xf numFmtId="2" fontId="0" fillId="13" borderId="0" xfId="0" applyNumberFormat="1" applyFill="1"/>
    <xf numFmtId="0" fontId="0" fillId="0" borderId="0" xfId="0" applyAlignment="1">
      <alignment horizontal="left"/>
    </xf>
    <xf numFmtId="168" fontId="0" fillId="0" borderId="0" xfId="0" applyNumberFormat="1" applyAlignment="1">
      <alignment horizontal="center"/>
    </xf>
    <xf numFmtId="168" fontId="1" fillId="3" borderId="7" xfId="0" applyNumberFormat="1" applyFont="1" applyFill="1" applyBorder="1" applyAlignment="1">
      <alignment horizontal="center" vertical="center" wrapText="1"/>
    </xf>
    <xf numFmtId="1" fontId="0" fillId="0" borderId="21" xfId="0" applyNumberFormat="1" applyBorder="1" applyAlignment="1">
      <alignment horizontal="center" vertical="center"/>
    </xf>
    <xf numFmtId="170" fontId="0" fillId="0" borderId="0" xfId="0" applyNumberFormat="1" applyAlignment="1">
      <alignment horizontal="center"/>
    </xf>
    <xf numFmtId="164" fontId="1" fillId="3" borderId="7" xfId="1" applyNumberFormat="1" applyFont="1" applyFill="1" applyBorder="1" applyAlignment="1">
      <alignment horizontal="center" vertical="center" wrapText="1"/>
    </xf>
    <xf numFmtId="164" fontId="0" fillId="0" borderId="0" xfId="1" applyNumberFormat="1" applyFont="1" applyAlignment="1">
      <alignment horizontal="center"/>
    </xf>
    <xf numFmtId="165" fontId="0" fillId="0" borderId="0" xfId="0" applyNumberFormat="1"/>
    <xf numFmtId="0" fontId="0" fillId="6" borderId="0" xfId="0" applyFill="1"/>
    <xf numFmtId="0" fontId="9" fillId="6" borderId="0" xfId="4" applyFill="1"/>
    <xf numFmtId="0" fontId="0" fillId="4" borderId="0" xfId="0" applyFill="1"/>
    <xf numFmtId="0" fontId="9" fillId="4" borderId="0" xfId="4" applyFill="1"/>
    <xf numFmtId="0" fontId="0" fillId="14" borderId="0" xfId="0" applyFill="1"/>
    <xf numFmtId="0" fontId="9" fillId="14" borderId="0" xfId="4" applyFill="1"/>
    <xf numFmtId="0" fontId="0" fillId="12" borderId="0" xfId="0" applyFill="1"/>
    <xf numFmtId="0" fontId="9" fillId="12" borderId="0" xfId="4" applyFill="1"/>
    <xf numFmtId="0" fontId="0" fillId="15" borderId="0" xfId="0" applyFill="1"/>
    <xf numFmtId="0" fontId="9" fillId="15" borderId="0" xfId="4" applyFill="1"/>
    <xf numFmtId="0" fontId="0" fillId="16" borderId="0" xfId="0" applyFill="1"/>
    <xf numFmtId="0" fontId="9" fillId="16" borderId="0" xfId="4" applyFill="1"/>
    <xf numFmtId="0" fontId="0" fillId="17" borderId="0" xfId="0" applyFill="1"/>
    <xf numFmtId="0" fontId="9" fillId="17" borderId="0" xfId="4" applyFill="1"/>
    <xf numFmtId="0" fontId="0" fillId="18" borderId="0" xfId="0" applyFill="1"/>
    <xf numFmtId="0" fontId="10" fillId="18" borderId="0" xfId="4" applyFont="1" applyFill="1"/>
    <xf numFmtId="0" fontId="10" fillId="13" borderId="0" xfId="4" applyFont="1" applyFill="1"/>
    <xf numFmtId="0" fontId="0" fillId="5" borderId="0" xfId="0" applyFill="1"/>
    <xf numFmtId="0" fontId="10" fillId="5" borderId="0" xfId="4" applyFont="1" applyFill="1"/>
    <xf numFmtId="0" fontId="0" fillId="19" borderId="0" xfId="0" applyFill="1"/>
    <xf numFmtId="0" fontId="10" fillId="19" borderId="0" xfId="4" quotePrefix="1" applyFont="1" applyFill="1"/>
    <xf numFmtId="0" fontId="10" fillId="19" borderId="0" xfId="4" applyFont="1" applyFill="1"/>
    <xf numFmtId="0" fontId="0" fillId="12" borderId="0" xfId="0" quotePrefix="1" applyFill="1"/>
    <xf numFmtId="0" fontId="10" fillId="12" borderId="0" xfId="4" applyFont="1" applyFill="1"/>
    <xf numFmtId="0" fontId="0" fillId="20" borderId="0" xfId="0" applyFill="1"/>
    <xf numFmtId="0" fontId="0" fillId="21" borderId="0" xfId="0" applyFill="1"/>
    <xf numFmtId="1" fontId="0" fillId="0" borderId="0" xfId="0" applyNumberFormat="1"/>
    <xf numFmtId="0" fontId="1" fillId="10" borderId="11" xfId="0" applyFont="1" applyFill="1" applyBorder="1" applyAlignment="1">
      <alignment horizontal="center" vertical="center" wrapText="1"/>
    </xf>
    <xf numFmtId="0" fontId="1" fillId="10" borderId="20" xfId="0" applyFont="1" applyFill="1" applyBorder="1" applyAlignment="1">
      <alignment horizontal="center" vertical="center" wrapText="1"/>
    </xf>
    <xf numFmtId="0" fontId="1" fillId="5" borderId="12"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10" borderId="11" xfId="0" applyFont="1" applyFill="1" applyBorder="1" applyAlignment="1">
      <alignment horizontal="center" vertical="center"/>
    </xf>
    <xf numFmtId="0" fontId="1" fillId="10" borderId="17" xfId="0" applyFont="1" applyFill="1" applyBorder="1" applyAlignment="1">
      <alignment horizontal="center" vertical="center"/>
    </xf>
    <xf numFmtId="0" fontId="1" fillId="10" borderId="12" xfId="0" applyFont="1" applyFill="1" applyBorder="1" applyAlignment="1">
      <alignment horizontal="center" vertical="center" wrapText="1"/>
    </xf>
    <xf numFmtId="0" fontId="1" fillId="10" borderId="18" xfId="0" applyFont="1" applyFill="1" applyBorder="1" applyAlignment="1">
      <alignment horizontal="center" vertical="center"/>
    </xf>
    <xf numFmtId="0" fontId="1" fillId="10" borderId="17" xfId="0" applyFont="1" applyFill="1" applyBorder="1" applyAlignment="1">
      <alignment horizontal="center" vertical="center" wrapText="1"/>
    </xf>
    <xf numFmtId="0" fontId="1" fillId="9" borderId="12" xfId="0" applyFont="1" applyFill="1" applyBorder="1" applyAlignment="1">
      <alignment horizontal="center" vertical="center"/>
    </xf>
    <xf numFmtId="0" fontId="1" fillId="9" borderId="23" xfId="0" applyFont="1" applyFill="1" applyBorder="1" applyAlignment="1">
      <alignment horizontal="center" vertical="center"/>
    </xf>
    <xf numFmtId="0" fontId="1" fillId="9" borderId="13" xfId="0" applyFont="1" applyFill="1" applyBorder="1" applyAlignment="1">
      <alignment horizontal="center" vertical="center"/>
    </xf>
    <xf numFmtId="0" fontId="1" fillId="9" borderId="14" xfId="0" applyFont="1" applyFill="1" applyBorder="1" applyAlignment="1">
      <alignment horizontal="center" vertical="center"/>
    </xf>
    <xf numFmtId="0" fontId="1" fillId="9" borderId="15" xfId="0" applyFont="1" applyFill="1" applyBorder="1" applyAlignment="1">
      <alignment horizontal="center" vertical="center"/>
    </xf>
    <xf numFmtId="0" fontId="1" fillId="9" borderId="16" xfId="0" applyFont="1" applyFill="1" applyBorder="1" applyAlignment="1">
      <alignment horizontal="center" vertical="center"/>
    </xf>
    <xf numFmtId="0" fontId="1" fillId="6" borderId="11" xfId="0" applyFont="1" applyFill="1" applyBorder="1" applyAlignment="1">
      <alignment horizontal="center" vertical="center"/>
    </xf>
    <xf numFmtId="0" fontId="1" fillId="6" borderId="17" xfId="0" applyFont="1" applyFill="1" applyBorder="1" applyAlignment="1">
      <alignment horizontal="center" vertical="center"/>
    </xf>
    <xf numFmtId="0" fontId="1" fillId="12" borderId="13" xfId="0" applyFont="1" applyFill="1" applyBorder="1" applyAlignment="1">
      <alignment horizontal="center" vertical="center"/>
    </xf>
    <xf numFmtId="0" fontId="1" fillId="12" borderId="14" xfId="0" applyFont="1" applyFill="1" applyBorder="1" applyAlignment="1">
      <alignment horizontal="center" vertical="center"/>
    </xf>
    <xf numFmtId="0" fontId="1" fillId="12" borderId="16" xfId="0" applyFont="1" applyFill="1" applyBorder="1" applyAlignment="1">
      <alignment horizontal="center" vertical="center"/>
    </xf>
    <xf numFmtId="0" fontId="1" fillId="9" borderId="18" xfId="0" applyFont="1" applyFill="1" applyBorder="1" applyAlignment="1">
      <alignment horizontal="center" vertical="center"/>
    </xf>
    <xf numFmtId="0" fontId="1" fillId="9" borderId="11" xfId="0" applyFont="1" applyFill="1" applyBorder="1" applyAlignment="1">
      <alignment horizontal="center" vertical="center"/>
    </xf>
    <xf numFmtId="0" fontId="1" fillId="9" borderId="17" xfId="0" applyFont="1" applyFill="1" applyBorder="1" applyAlignment="1">
      <alignment horizontal="center" vertical="center"/>
    </xf>
    <xf numFmtId="0" fontId="1" fillId="9" borderId="12" xfId="0" applyFont="1" applyFill="1" applyBorder="1" applyAlignment="1">
      <alignment horizontal="center" vertical="center" wrapText="1"/>
    </xf>
    <xf numFmtId="0" fontId="1" fillId="9" borderId="23" xfId="0" applyFont="1" applyFill="1" applyBorder="1" applyAlignment="1">
      <alignment horizontal="center" vertical="center" wrapText="1"/>
    </xf>
  </cellXfs>
  <cellStyles count="5">
    <cellStyle name="Hiperlink" xfId="4" builtinId="8"/>
    <cellStyle name="Moeda" xfId="1" builtinId="4"/>
    <cellStyle name="Normal" xfId="0" builtinId="0"/>
    <cellStyle name="Nota" xfId="2" builtinId="10"/>
    <cellStyle name="Porcentagem" xfId="3" builtinId="5"/>
  </cellStyles>
  <dxfs count="0"/>
  <tableStyles count="0" defaultTableStyle="TableStyleMedium2" defaultPivotStyle="PivotStyleLight16"/>
  <colors>
    <mruColors>
      <color rgb="FFDAE7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373380</xdr:rowOff>
    </xdr:from>
    <xdr:to>
      <xdr:col>2</xdr:col>
      <xdr:colOff>586740</xdr:colOff>
      <xdr:row>1</xdr:row>
      <xdr:rowOff>373380</xdr:rowOff>
    </xdr:to>
    <xdr:sp macro="" textlink="">
      <xdr:nvSpPr>
        <xdr:cNvPr id="3" name="CaixaDeTexto 2">
          <a:extLst>
            <a:ext uri="{FF2B5EF4-FFF2-40B4-BE49-F238E27FC236}">
              <a16:creationId xmlns:a16="http://schemas.microsoft.com/office/drawing/2014/main" id="{087D7755-E333-AC72-BDDF-8B43C192D10C}"/>
            </a:ext>
          </a:extLst>
        </xdr:cNvPr>
        <xdr:cNvSpPr txBox="1"/>
      </xdr:nvSpPr>
      <xdr:spPr>
        <a:xfrm>
          <a:off x="0" y="373380"/>
          <a:ext cx="18059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accent6">
                  <a:lumMod val="75000"/>
                </a:schemeClr>
              </a:solidFill>
              <a:latin typeface="Arial Black" panose="020B0A04020102020204" pitchFamily="34" charset="0"/>
            </a:rPr>
            <a:t>Home</a:t>
          </a:r>
        </a:p>
      </xdr:txBody>
    </xdr:sp>
    <xdr:clientData/>
  </xdr:twoCellAnchor>
  <xdr:twoCellAnchor>
    <xdr:from>
      <xdr:col>3</xdr:col>
      <xdr:colOff>53340</xdr:colOff>
      <xdr:row>0</xdr:row>
      <xdr:rowOff>365760</xdr:rowOff>
    </xdr:from>
    <xdr:to>
      <xdr:col>6</xdr:col>
      <xdr:colOff>30480</xdr:colOff>
      <xdr:row>1</xdr:row>
      <xdr:rowOff>365760</xdr:rowOff>
    </xdr:to>
    <xdr:sp macro="[0]!lsexibir" textlink="">
      <xdr:nvSpPr>
        <xdr:cNvPr id="4" name="CaixaDeTexto 3">
          <a:extLst>
            <a:ext uri="{FF2B5EF4-FFF2-40B4-BE49-F238E27FC236}">
              <a16:creationId xmlns:a16="http://schemas.microsoft.com/office/drawing/2014/main" id="{3DC1BDF3-06B9-C0AE-F927-67BB6E102F1A}"/>
            </a:ext>
          </a:extLst>
        </xdr:cNvPr>
        <xdr:cNvSpPr txBox="1"/>
      </xdr:nvSpPr>
      <xdr:spPr>
        <a:xfrm>
          <a:off x="1882140" y="365760"/>
          <a:ext cx="1805940" cy="38100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a:effectLst>
          <a:outerShdw blurRad="50800" dist="38100" dir="2700000" algn="tl" rotWithShape="0">
            <a:schemeClr val="accent6">
              <a:lumMod val="75000"/>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accent6">
                  <a:lumMod val="75000"/>
                </a:schemeClr>
              </a:solidFill>
              <a:latin typeface="Arial Black" panose="020B0A04020102020204" pitchFamily="34" charset="0"/>
            </a:rPr>
            <a:t>Register</a:t>
          </a:r>
        </a:p>
      </xdr:txBody>
    </xdr:sp>
    <xdr:clientData/>
  </xdr:twoCellAnchor>
  <xdr:twoCellAnchor>
    <xdr:from>
      <xdr:col>7</xdr:col>
      <xdr:colOff>228600</xdr:colOff>
      <xdr:row>1</xdr:row>
      <xdr:rowOff>15240</xdr:rowOff>
    </xdr:from>
    <xdr:to>
      <xdr:col>10</xdr:col>
      <xdr:colOff>7620</xdr:colOff>
      <xdr:row>2</xdr:row>
      <xdr:rowOff>15240</xdr:rowOff>
    </xdr:to>
    <xdr:sp macro="[0]!exbirAtualizar" textlink="">
      <xdr:nvSpPr>
        <xdr:cNvPr id="5" name="CaixaDeTexto 4">
          <a:extLst>
            <a:ext uri="{FF2B5EF4-FFF2-40B4-BE49-F238E27FC236}">
              <a16:creationId xmlns:a16="http://schemas.microsoft.com/office/drawing/2014/main" id="{6768E8F3-84FD-3505-CC66-811CC24B9EF4}"/>
            </a:ext>
          </a:extLst>
        </xdr:cNvPr>
        <xdr:cNvSpPr txBox="1"/>
      </xdr:nvSpPr>
      <xdr:spPr>
        <a:xfrm>
          <a:off x="4495800" y="396240"/>
          <a:ext cx="1805940" cy="38100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a:effectLst>
          <a:outerShdw blurRad="44450" dist="27940" dir="5400000" algn="ctr">
            <a:schemeClr val="accent6">
              <a:lumMod val="75000"/>
              <a:alpha val="32000"/>
            </a:scheme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accent6">
                  <a:lumMod val="75000"/>
                </a:schemeClr>
              </a:solidFill>
              <a:latin typeface="Arial Black" panose="020B0A04020102020204" pitchFamily="34" charset="0"/>
            </a:rPr>
            <a:t>Update</a:t>
          </a:r>
        </a:p>
      </xdr:txBody>
    </xdr:sp>
    <xdr:clientData/>
  </xdr:twoCellAnchor>
  <xdr:twoCellAnchor>
    <xdr:from>
      <xdr:col>10</xdr:col>
      <xdr:colOff>487680</xdr:colOff>
      <xdr:row>0</xdr:row>
      <xdr:rowOff>365760</xdr:rowOff>
    </xdr:from>
    <xdr:to>
      <xdr:col>14</xdr:col>
      <xdr:colOff>53340</xdr:colOff>
      <xdr:row>1</xdr:row>
      <xdr:rowOff>365760</xdr:rowOff>
    </xdr:to>
    <xdr:sp macro="[0]!ExibirProgramaCompliance" textlink="">
      <xdr:nvSpPr>
        <xdr:cNvPr id="6" name="CaixaDeTexto 5">
          <a:extLst>
            <a:ext uri="{FF2B5EF4-FFF2-40B4-BE49-F238E27FC236}">
              <a16:creationId xmlns:a16="http://schemas.microsoft.com/office/drawing/2014/main" id="{E00375BC-3351-F9B0-B929-C36D4C15D2A2}"/>
            </a:ext>
          </a:extLst>
        </xdr:cNvPr>
        <xdr:cNvSpPr txBox="1"/>
      </xdr:nvSpPr>
      <xdr:spPr>
        <a:xfrm>
          <a:off x="6781800" y="365760"/>
          <a:ext cx="2004060" cy="38100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accent6">
                  <a:lumMod val="75000"/>
                </a:schemeClr>
              </a:solidFill>
              <a:latin typeface="Arial Black" panose="020B0A04020102020204" pitchFamily="34" charset="0"/>
            </a:rPr>
            <a:t>Compliance</a:t>
          </a:r>
        </a:p>
      </xdr:txBody>
    </xdr:sp>
    <xdr:clientData/>
  </xdr:twoCellAnchor>
  <xdr:twoCellAnchor>
    <xdr:from>
      <xdr:col>17</xdr:col>
      <xdr:colOff>541020</xdr:colOff>
      <xdr:row>1</xdr:row>
      <xdr:rowOff>45720</xdr:rowOff>
    </xdr:from>
    <xdr:to>
      <xdr:col>20</xdr:col>
      <xdr:colOff>518160</xdr:colOff>
      <xdr:row>2</xdr:row>
      <xdr:rowOff>45720</xdr:rowOff>
    </xdr:to>
    <xdr:sp macro="[0]!teste" textlink="">
      <xdr:nvSpPr>
        <xdr:cNvPr id="7" name="CaixaDeTexto 6">
          <a:extLst>
            <a:ext uri="{FF2B5EF4-FFF2-40B4-BE49-F238E27FC236}">
              <a16:creationId xmlns:a16="http://schemas.microsoft.com/office/drawing/2014/main" id="{A9612ACF-6BD4-046C-9C9F-D4A52EF2A4BB}"/>
            </a:ext>
          </a:extLst>
        </xdr:cNvPr>
        <xdr:cNvSpPr txBox="1"/>
      </xdr:nvSpPr>
      <xdr:spPr>
        <a:xfrm>
          <a:off x="11102340" y="426720"/>
          <a:ext cx="18059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accent6">
                  <a:lumMod val="75000"/>
                </a:schemeClr>
              </a:solidFill>
              <a:latin typeface="Arial Black" panose="020B0A04020102020204" pitchFamily="34" charset="0"/>
            </a:rPr>
            <a:t>teste</a:t>
          </a:r>
        </a:p>
      </xdr:txBody>
    </xdr:sp>
    <xdr:clientData/>
  </xdr:twoCellAnchor>
  <xdr:twoCellAnchor>
    <xdr:from>
      <xdr:col>15</xdr:col>
      <xdr:colOff>45720</xdr:colOff>
      <xdr:row>1</xdr:row>
      <xdr:rowOff>7620</xdr:rowOff>
    </xdr:from>
    <xdr:to>
      <xdr:col>18</xdr:col>
      <xdr:colOff>22860</xdr:colOff>
      <xdr:row>2</xdr:row>
      <xdr:rowOff>7620</xdr:rowOff>
    </xdr:to>
    <xdr:sp macro="[0]!exibirSearch" textlink="">
      <xdr:nvSpPr>
        <xdr:cNvPr id="2" name="CaixaDeTexto 1">
          <a:extLst>
            <a:ext uri="{FF2B5EF4-FFF2-40B4-BE49-F238E27FC236}">
              <a16:creationId xmlns:a16="http://schemas.microsoft.com/office/drawing/2014/main" id="{2D2B7343-EB43-6733-0FE1-594AAAD368E3}"/>
            </a:ext>
          </a:extLst>
        </xdr:cNvPr>
        <xdr:cNvSpPr txBox="1"/>
      </xdr:nvSpPr>
      <xdr:spPr>
        <a:xfrm>
          <a:off x="9387840" y="388620"/>
          <a:ext cx="1805940" cy="38100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accent6">
                  <a:lumMod val="75000"/>
                </a:schemeClr>
              </a:solidFill>
              <a:latin typeface="Arial Black" panose="020B0A04020102020204" pitchFamily="34" charset="0"/>
            </a:rPr>
            <a:t>Search</a:t>
          </a: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V@" TargetMode="External"/><Relationship Id="rId13" Type="http://schemas.openxmlformats.org/officeDocument/2006/relationships/hyperlink" Target="mailto:V@" TargetMode="External"/><Relationship Id="rId3" Type="http://schemas.openxmlformats.org/officeDocument/2006/relationships/hyperlink" Target="mailto:V@" TargetMode="External"/><Relationship Id="rId7" Type="http://schemas.openxmlformats.org/officeDocument/2006/relationships/hyperlink" Target="mailto:V@" TargetMode="External"/><Relationship Id="rId12" Type="http://schemas.openxmlformats.org/officeDocument/2006/relationships/hyperlink" Target="mailto:V@" TargetMode="External"/><Relationship Id="rId2" Type="http://schemas.openxmlformats.org/officeDocument/2006/relationships/hyperlink" Target="mailto:V@" TargetMode="External"/><Relationship Id="rId1" Type="http://schemas.openxmlformats.org/officeDocument/2006/relationships/hyperlink" Target="mailto:V@" TargetMode="External"/><Relationship Id="rId6" Type="http://schemas.openxmlformats.org/officeDocument/2006/relationships/hyperlink" Target="mailto:V@" TargetMode="External"/><Relationship Id="rId11" Type="http://schemas.openxmlformats.org/officeDocument/2006/relationships/hyperlink" Target="mailto:V@" TargetMode="External"/><Relationship Id="rId5" Type="http://schemas.openxmlformats.org/officeDocument/2006/relationships/hyperlink" Target="mailto:V@" TargetMode="External"/><Relationship Id="rId10" Type="http://schemas.openxmlformats.org/officeDocument/2006/relationships/hyperlink" Target="mailto:V@" TargetMode="External"/><Relationship Id="rId4" Type="http://schemas.openxmlformats.org/officeDocument/2006/relationships/hyperlink" Target="mailto:V@" TargetMode="External"/><Relationship Id="rId9" Type="http://schemas.openxmlformats.org/officeDocument/2006/relationships/hyperlink" Target="mailto:V@"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11FEE-CAEC-4AA2-99CB-109A8DF6A040}">
  <sheetPr codeName="Home"/>
  <dimension ref="A1:X15"/>
  <sheetViews>
    <sheetView tabSelected="1" workbookViewId="0">
      <selection activeCell="O19" sqref="O19"/>
    </sheetView>
  </sheetViews>
  <sheetFormatPr defaultRowHeight="14.4" x14ac:dyDescent="0.3"/>
  <cols>
    <col min="1" max="8" width="8.88671875" style="71"/>
    <col min="9" max="10" width="10.33203125" style="71" bestFit="1" customWidth="1"/>
    <col min="11" max="16384" width="8.88671875" style="71"/>
  </cols>
  <sheetData>
    <row r="1" spans="1:24" customFormat="1" ht="30" customHeight="1" x14ac:dyDescent="0.3">
      <c r="A1" s="21"/>
      <c r="B1" s="21"/>
      <c r="C1" s="21"/>
      <c r="D1" s="21"/>
      <c r="E1" s="21"/>
      <c r="F1" s="21"/>
      <c r="G1" s="21"/>
      <c r="H1" s="21"/>
      <c r="I1" s="21"/>
      <c r="J1" s="21"/>
      <c r="K1" s="21"/>
      <c r="L1" s="21"/>
      <c r="M1" s="21"/>
      <c r="N1" s="21"/>
      <c r="O1" s="21"/>
      <c r="P1" s="21"/>
      <c r="Q1" s="21"/>
      <c r="R1" s="21"/>
      <c r="S1" s="21"/>
      <c r="T1" s="21"/>
      <c r="U1" s="21"/>
      <c r="V1" s="21"/>
      <c r="W1" s="21"/>
      <c r="X1" s="21"/>
    </row>
    <row r="2" spans="1:24" customFormat="1" ht="30" customHeight="1" x14ac:dyDescent="0.3">
      <c r="A2" s="20"/>
      <c r="B2" s="20"/>
      <c r="C2" s="20"/>
      <c r="D2" s="20"/>
      <c r="E2" s="20"/>
      <c r="F2" s="20"/>
      <c r="G2" s="20"/>
      <c r="H2" s="20"/>
      <c r="I2" s="20"/>
      <c r="J2" s="20"/>
      <c r="K2" s="20"/>
      <c r="L2" s="20"/>
      <c r="M2" s="20"/>
      <c r="N2" s="20"/>
      <c r="O2" s="20"/>
      <c r="P2" s="20"/>
      <c r="Q2" s="20"/>
      <c r="R2" s="20"/>
      <c r="S2" s="20"/>
      <c r="T2" s="20"/>
      <c r="U2" s="20"/>
      <c r="V2" s="20"/>
      <c r="W2" s="20"/>
      <c r="X2" s="20"/>
    </row>
    <row r="8" spans="1:24" x14ac:dyDescent="0.3">
      <c r="I8" s="72"/>
      <c r="J8" s="72"/>
    </row>
    <row r="15" spans="1:24" x14ac:dyDescent="0.3">
      <c r="L15" s="71" t="s">
        <v>960</v>
      </c>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62FDF-9063-4337-9F1F-145BE2FF3EDC}">
  <sheetPr codeName="Planilha1"/>
  <dimension ref="A1:AD17"/>
  <sheetViews>
    <sheetView workbookViewId="0">
      <selection activeCell="AD17" sqref="AD17"/>
    </sheetView>
  </sheetViews>
  <sheetFormatPr defaultRowHeight="14.4" x14ac:dyDescent="0.3"/>
  <cols>
    <col min="1" max="1" width="6.77734375" customWidth="1"/>
    <col min="2" max="2" width="6.109375" customWidth="1"/>
    <col min="3" max="3" width="6.21875" customWidth="1"/>
    <col min="4" max="5" width="5.33203125" customWidth="1"/>
    <col min="6" max="6" width="5.88671875" customWidth="1"/>
    <col min="7" max="7" width="6.6640625" customWidth="1"/>
    <col min="8" max="8" width="6.21875" customWidth="1"/>
    <col min="9" max="9" width="5" customWidth="1"/>
    <col min="10" max="11" width="6.109375" customWidth="1"/>
    <col min="12" max="12" width="5.5546875" customWidth="1"/>
    <col min="13" max="14" width="5.109375" customWidth="1"/>
    <col min="15" max="15" width="5.5546875" customWidth="1"/>
    <col min="16" max="16" width="5.6640625" customWidth="1"/>
    <col min="17" max="17" width="7.109375" customWidth="1"/>
    <col min="18" max="18" width="5.44140625" customWidth="1"/>
    <col min="19" max="19" width="6.5546875" customWidth="1"/>
    <col min="20" max="20" width="4.88671875" customWidth="1"/>
    <col min="21" max="21" width="5.44140625" customWidth="1"/>
    <col min="22" max="22" width="4.77734375" customWidth="1"/>
    <col min="23" max="23" width="5.33203125" customWidth="1"/>
    <col min="24" max="24" width="5.21875" customWidth="1"/>
    <col min="25" max="25" width="6" customWidth="1"/>
    <col min="26" max="26" width="4.88671875" customWidth="1"/>
    <col min="27" max="27" width="4.5546875" customWidth="1"/>
    <col min="28" max="28" width="5" customWidth="1"/>
  </cols>
  <sheetData>
    <row r="1" spans="1:29" x14ac:dyDescent="0.3">
      <c r="A1" s="81" t="s">
        <v>1150</v>
      </c>
      <c r="B1" s="81"/>
      <c r="C1" s="83" t="s">
        <v>1151</v>
      </c>
      <c r="D1" s="83"/>
      <c r="E1" s="85" t="s">
        <v>1152</v>
      </c>
      <c r="F1" s="85"/>
      <c r="G1" s="87" t="s">
        <v>1153</v>
      </c>
      <c r="H1" s="87"/>
      <c r="I1" s="89" t="s">
        <v>1154</v>
      </c>
      <c r="J1" s="89"/>
      <c r="K1" s="91" t="s">
        <v>1155</v>
      </c>
      <c r="L1" s="91"/>
      <c r="M1" s="93" t="s">
        <v>1156</v>
      </c>
      <c r="N1" s="93"/>
      <c r="O1" s="95" t="s">
        <v>1157</v>
      </c>
      <c r="P1" s="95"/>
      <c r="Q1" s="71" t="s">
        <v>1158</v>
      </c>
      <c r="R1" s="71"/>
      <c r="S1" s="98" t="s">
        <v>1159</v>
      </c>
      <c r="T1" s="98"/>
      <c r="U1" s="100" t="s">
        <v>1160</v>
      </c>
      <c r="V1" s="100"/>
      <c r="W1" s="87" t="s">
        <v>1161</v>
      </c>
      <c r="X1" s="87"/>
      <c r="Y1" s="105" t="s">
        <v>1162</v>
      </c>
      <c r="Z1" s="105"/>
      <c r="AA1" s="106" t="s">
        <v>1163</v>
      </c>
      <c r="AB1" s="106"/>
      <c r="AC1" s="71" t="s">
        <v>1164</v>
      </c>
    </row>
    <row r="2" spans="1:29" x14ac:dyDescent="0.3">
      <c r="A2" s="81" t="s">
        <v>1150</v>
      </c>
      <c r="B2" s="82" t="s">
        <v>1151</v>
      </c>
      <c r="C2" s="83"/>
      <c r="D2" s="83"/>
      <c r="E2" s="85"/>
      <c r="F2" s="85"/>
      <c r="G2" s="87"/>
      <c r="H2" s="87"/>
      <c r="I2" s="89"/>
      <c r="J2" s="89"/>
      <c r="K2" s="91"/>
      <c r="L2" s="91"/>
      <c r="M2" s="93"/>
      <c r="N2" s="93"/>
      <c r="O2" s="95"/>
      <c r="P2" s="95"/>
      <c r="Q2" s="71"/>
      <c r="R2" s="71"/>
      <c r="S2" s="98"/>
      <c r="T2" s="98"/>
      <c r="U2" s="100"/>
      <c r="V2" s="100"/>
      <c r="W2" s="87"/>
      <c r="X2" s="87"/>
      <c r="Y2" s="105"/>
      <c r="Z2" s="105"/>
      <c r="AA2" s="106"/>
      <c r="AB2" s="106"/>
      <c r="AC2" s="71"/>
    </row>
    <row r="3" spans="1:29" x14ac:dyDescent="0.3">
      <c r="A3" s="81" t="s">
        <v>1150</v>
      </c>
      <c r="B3" s="82" t="s">
        <v>1152</v>
      </c>
      <c r="C3" s="83" t="s">
        <v>1151</v>
      </c>
      <c r="D3" s="84" t="s">
        <v>1152</v>
      </c>
      <c r="E3" s="85"/>
      <c r="F3" s="85"/>
      <c r="G3" s="87"/>
      <c r="H3" s="87"/>
      <c r="I3" s="89"/>
      <c r="J3" s="89"/>
      <c r="K3" s="91"/>
      <c r="L3" s="91"/>
      <c r="M3" s="93"/>
      <c r="N3" s="93"/>
      <c r="O3" s="95"/>
      <c r="P3" s="95"/>
      <c r="Q3" s="71"/>
      <c r="R3" s="71"/>
      <c r="S3" s="98"/>
      <c r="T3" s="98"/>
      <c r="U3" s="100"/>
      <c r="V3" s="100"/>
      <c r="W3" s="87"/>
      <c r="X3" s="87"/>
      <c r="Y3" s="105"/>
      <c r="Z3" s="105"/>
      <c r="AA3" s="106"/>
      <c r="AB3" s="106"/>
      <c r="AC3" s="71"/>
    </row>
    <row r="4" spans="1:29" x14ac:dyDescent="0.3">
      <c r="A4" s="81" t="s">
        <v>1150</v>
      </c>
      <c r="B4" s="82" t="s">
        <v>1153</v>
      </c>
      <c r="C4" s="83" t="s">
        <v>1151</v>
      </c>
      <c r="D4" s="84" t="s">
        <v>1153</v>
      </c>
      <c r="E4" s="85" t="s">
        <v>1152</v>
      </c>
      <c r="F4" s="86" t="s">
        <v>1153</v>
      </c>
      <c r="G4" s="87"/>
      <c r="H4" s="87"/>
      <c r="I4" s="89"/>
      <c r="J4" s="89"/>
      <c r="K4" s="91"/>
      <c r="L4" s="91"/>
      <c r="M4" s="93"/>
      <c r="N4" s="93"/>
      <c r="O4" s="95"/>
      <c r="P4" s="95"/>
      <c r="Q4" s="71"/>
      <c r="R4" s="71"/>
      <c r="S4" s="98"/>
      <c r="T4" s="98"/>
      <c r="U4" s="100"/>
      <c r="V4" s="100"/>
      <c r="W4" s="87"/>
      <c r="X4" s="87"/>
      <c r="Y4" s="105"/>
      <c r="Z4" s="105"/>
      <c r="AA4" s="106"/>
      <c r="AB4" s="106"/>
      <c r="AC4" s="71"/>
    </row>
    <row r="5" spans="1:29" x14ac:dyDescent="0.3">
      <c r="A5" s="81" t="s">
        <v>1150</v>
      </c>
      <c r="B5" s="82" t="s">
        <v>1154</v>
      </c>
      <c r="C5" s="83" t="s">
        <v>1151</v>
      </c>
      <c r="D5" s="84" t="s">
        <v>1154</v>
      </c>
      <c r="E5" s="85" t="s">
        <v>1152</v>
      </c>
      <c r="F5" s="86" t="s">
        <v>1154</v>
      </c>
      <c r="G5" s="87" t="s">
        <v>1153</v>
      </c>
      <c r="H5" s="88" t="s">
        <v>1154</v>
      </c>
      <c r="I5" s="89"/>
      <c r="J5" s="89"/>
      <c r="K5" s="91"/>
      <c r="L5" s="91"/>
      <c r="M5" s="93"/>
      <c r="N5" s="93"/>
      <c r="O5" s="95"/>
      <c r="P5" s="95"/>
      <c r="Q5" s="71"/>
      <c r="R5" s="71"/>
      <c r="S5" s="98"/>
      <c r="T5" s="98"/>
      <c r="U5" s="100"/>
      <c r="V5" s="100"/>
      <c r="W5" s="87"/>
      <c r="X5" s="87"/>
      <c r="Y5" s="105"/>
      <c r="Z5" s="105"/>
      <c r="AA5" s="106"/>
      <c r="AB5" s="106"/>
      <c r="AC5" s="71"/>
    </row>
    <row r="6" spans="1:29" x14ac:dyDescent="0.3">
      <c r="A6" s="81" t="s">
        <v>1150</v>
      </c>
      <c r="B6" s="82" t="s">
        <v>1155</v>
      </c>
      <c r="C6" s="83" t="s">
        <v>1151</v>
      </c>
      <c r="D6" s="84" t="s">
        <v>1155</v>
      </c>
      <c r="E6" s="85" t="s">
        <v>1152</v>
      </c>
      <c r="F6" s="86" t="s">
        <v>1155</v>
      </c>
      <c r="G6" s="87" t="s">
        <v>1153</v>
      </c>
      <c r="H6" s="88" t="s">
        <v>1155</v>
      </c>
      <c r="I6" s="89" t="s">
        <v>1154</v>
      </c>
      <c r="J6" s="90" t="s">
        <v>1155</v>
      </c>
      <c r="K6" s="91"/>
      <c r="L6" s="91"/>
      <c r="M6" s="93"/>
      <c r="N6" s="93"/>
      <c r="O6" s="95"/>
      <c r="P6" s="95"/>
      <c r="Q6" s="71"/>
      <c r="R6" s="71"/>
      <c r="S6" s="98"/>
      <c r="T6" s="98"/>
      <c r="U6" s="100"/>
      <c r="V6" s="100"/>
      <c r="W6" s="87"/>
      <c r="X6" s="87"/>
      <c r="Y6" s="105"/>
      <c r="Z6" s="105"/>
      <c r="AA6" s="106"/>
      <c r="AB6" s="106"/>
      <c r="AC6" s="71"/>
    </row>
    <row r="7" spans="1:29" x14ac:dyDescent="0.3">
      <c r="A7" s="81" t="s">
        <v>1150</v>
      </c>
      <c r="B7" s="82" t="s">
        <v>1156</v>
      </c>
      <c r="C7" s="83" t="s">
        <v>1151</v>
      </c>
      <c r="D7" s="84" t="s">
        <v>1156</v>
      </c>
      <c r="E7" s="85" t="s">
        <v>1152</v>
      </c>
      <c r="F7" s="86" t="s">
        <v>1156</v>
      </c>
      <c r="G7" s="87" t="s">
        <v>1153</v>
      </c>
      <c r="H7" s="88" t="s">
        <v>1156</v>
      </c>
      <c r="I7" s="89" t="s">
        <v>1154</v>
      </c>
      <c r="J7" s="90" t="s">
        <v>1156</v>
      </c>
      <c r="K7" s="91" t="s">
        <v>1155</v>
      </c>
      <c r="L7" s="92" t="s">
        <v>1156</v>
      </c>
      <c r="M7" s="93"/>
      <c r="N7" s="93"/>
      <c r="O7" s="95"/>
      <c r="P7" s="95"/>
      <c r="Q7" s="71"/>
      <c r="R7" s="71"/>
      <c r="S7" s="98"/>
      <c r="T7" s="98"/>
      <c r="U7" s="100"/>
      <c r="V7" s="100"/>
      <c r="W7" s="87"/>
      <c r="X7" s="87"/>
      <c r="Y7" s="105"/>
      <c r="Z7" s="105"/>
      <c r="AA7" s="106"/>
      <c r="AB7" s="106"/>
      <c r="AC7" s="71"/>
    </row>
    <row r="8" spans="1:29" x14ac:dyDescent="0.3">
      <c r="A8" s="81" t="s">
        <v>1150</v>
      </c>
      <c r="B8" s="82" t="s">
        <v>1157</v>
      </c>
      <c r="C8" s="83" t="s">
        <v>1151</v>
      </c>
      <c r="D8" s="84" t="s">
        <v>1157</v>
      </c>
      <c r="E8" s="85" t="s">
        <v>1152</v>
      </c>
      <c r="F8" s="86" t="s">
        <v>1157</v>
      </c>
      <c r="G8" s="87" t="s">
        <v>1153</v>
      </c>
      <c r="H8" s="88" t="s">
        <v>1157</v>
      </c>
      <c r="I8" s="89" t="s">
        <v>1154</v>
      </c>
      <c r="J8" s="90" t="s">
        <v>1157</v>
      </c>
      <c r="K8" s="91" t="s">
        <v>1155</v>
      </c>
      <c r="L8" s="92" t="s">
        <v>1157</v>
      </c>
      <c r="M8" s="93" t="s">
        <v>1156</v>
      </c>
      <c r="N8" s="94" t="s">
        <v>1157</v>
      </c>
      <c r="O8" s="95"/>
      <c r="P8" s="95"/>
      <c r="Q8" s="71"/>
      <c r="R8" s="71"/>
      <c r="S8" s="98"/>
      <c r="T8" s="98"/>
      <c r="U8" s="100"/>
      <c r="V8" s="100"/>
      <c r="W8" s="87"/>
      <c r="X8" s="87"/>
      <c r="Y8" s="105"/>
      <c r="Z8" s="105"/>
      <c r="AA8" s="106"/>
      <c r="AB8" s="106"/>
      <c r="AC8" s="71"/>
    </row>
    <row r="9" spans="1:29" x14ac:dyDescent="0.3">
      <c r="A9" s="81" t="s">
        <v>1150</v>
      </c>
      <c r="B9" s="82" t="s">
        <v>1158</v>
      </c>
      <c r="C9" s="83" t="s">
        <v>1151</v>
      </c>
      <c r="D9" s="84" t="s">
        <v>1158</v>
      </c>
      <c r="E9" s="85" t="s">
        <v>1152</v>
      </c>
      <c r="F9" s="86" t="s">
        <v>1158</v>
      </c>
      <c r="G9" s="87" t="s">
        <v>1153</v>
      </c>
      <c r="H9" s="88" t="s">
        <v>1158</v>
      </c>
      <c r="I9" s="89" t="s">
        <v>1154</v>
      </c>
      <c r="J9" s="90" t="s">
        <v>1158</v>
      </c>
      <c r="K9" s="91" t="s">
        <v>1155</v>
      </c>
      <c r="L9" s="92" t="s">
        <v>1158</v>
      </c>
      <c r="M9" s="93" t="s">
        <v>1156</v>
      </c>
      <c r="N9" s="94" t="s">
        <v>1158</v>
      </c>
      <c r="O9" s="95" t="s">
        <v>1157</v>
      </c>
      <c r="P9" s="96" t="s">
        <v>1158</v>
      </c>
      <c r="Q9" s="71"/>
      <c r="R9" s="71"/>
      <c r="S9" s="98"/>
      <c r="T9" s="98"/>
      <c r="U9" s="100"/>
      <c r="V9" s="100"/>
      <c r="W9" s="87"/>
      <c r="X9" s="87"/>
      <c r="Y9" s="105"/>
      <c r="Z9" s="105"/>
      <c r="AA9" s="106"/>
      <c r="AB9" s="106"/>
      <c r="AC9" s="71"/>
    </row>
    <row r="10" spans="1:29" x14ac:dyDescent="0.3">
      <c r="A10" s="81" t="s">
        <v>1150</v>
      </c>
      <c r="B10" s="82" t="s">
        <v>1159</v>
      </c>
      <c r="C10" s="83" t="s">
        <v>1151</v>
      </c>
      <c r="D10" s="84" t="s">
        <v>1159</v>
      </c>
      <c r="E10" s="85" t="s">
        <v>1152</v>
      </c>
      <c r="F10" s="86" t="s">
        <v>1159</v>
      </c>
      <c r="G10" s="87" t="s">
        <v>1153</v>
      </c>
      <c r="H10" s="88" t="s">
        <v>1159</v>
      </c>
      <c r="I10" s="89" t="s">
        <v>1154</v>
      </c>
      <c r="J10" s="90" t="s">
        <v>1159</v>
      </c>
      <c r="K10" s="91" t="s">
        <v>1155</v>
      </c>
      <c r="L10" s="92" t="s">
        <v>1159</v>
      </c>
      <c r="M10" s="93" t="s">
        <v>1156</v>
      </c>
      <c r="N10" s="94" t="s">
        <v>1159</v>
      </c>
      <c r="O10" s="95" t="s">
        <v>1157</v>
      </c>
      <c r="P10" s="96" t="s">
        <v>1159</v>
      </c>
      <c r="Q10" s="71" t="s">
        <v>1158</v>
      </c>
      <c r="R10" s="97" t="s">
        <v>1159</v>
      </c>
      <c r="S10" s="98"/>
      <c r="T10" s="98"/>
      <c r="U10" s="100"/>
      <c r="V10" s="100"/>
      <c r="W10" s="87"/>
      <c r="X10" s="87"/>
      <c r="Y10" s="105"/>
      <c r="Z10" s="105"/>
      <c r="AA10" s="106"/>
      <c r="AB10" s="106"/>
      <c r="AC10" s="71"/>
    </row>
    <row r="11" spans="1:29" x14ac:dyDescent="0.3">
      <c r="A11" s="81" t="s">
        <v>1150</v>
      </c>
      <c r="B11" s="82" t="s">
        <v>1160</v>
      </c>
      <c r="C11" s="83" t="s">
        <v>1151</v>
      </c>
      <c r="D11" s="84" t="s">
        <v>1160</v>
      </c>
      <c r="E11" s="85" t="s">
        <v>1152</v>
      </c>
      <c r="F11" s="86" t="s">
        <v>1160</v>
      </c>
      <c r="G11" s="87" t="s">
        <v>1153</v>
      </c>
      <c r="H11" s="88" t="s">
        <v>1160</v>
      </c>
      <c r="I11" s="89" t="s">
        <v>1154</v>
      </c>
      <c r="J11" s="90" t="s">
        <v>1160</v>
      </c>
      <c r="K11" s="91" t="s">
        <v>1155</v>
      </c>
      <c r="L11" s="92" t="s">
        <v>1160</v>
      </c>
      <c r="M11" s="93" t="s">
        <v>1156</v>
      </c>
      <c r="N11" s="94" t="s">
        <v>1160</v>
      </c>
      <c r="O11" s="95" t="s">
        <v>1157</v>
      </c>
      <c r="P11" s="96" t="s">
        <v>1160</v>
      </c>
      <c r="Q11" s="71" t="s">
        <v>1158</v>
      </c>
      <c r="R11" s="97" t="s">
        <v>1160</v>
      </c>
      <c r="S11" s="98" t="s">
        <v>1159</v>
      </c>
      <c r="T11" s="99" t="s">
        <v>1160</v>
      </c>
      <c r="U11" s="100"/>
      <c r="V11" s="100"/>
      <c r="W11" s="103" t="s">
        <v>1165</v>
      </c>
      <c r="X11" s="87"/>
      <c r="Y11" s="105"/>
      <c r="Z11" s="105"/>
      <c r="AA11" s="106"/>
      <c r="AB11" s="106"/>
      <c r="AC11" s="71"/>
    </row>
    <row r="12" spans="1:29" x14ac:dyDescent="0.3">
      <c r="A12" s="81" t="s">
        <v>1150</v>
      </c>
      <c r="B12" s="82" t="s">
        <v>1161</v>
      </c>
      <c r="C12" s="83" t="s">
        <v>1151</v>
      </c>
      <c r="D12" s="84" t="s">
        <v>1161</v>
      </c>
      <c r="E12" s="85" t="s">
        <v>1152</v>
      </c>
      <c r="F12" s="86" t="s">
        <v>1161</v>
      </c>
      <c r="G12" s="87" t="s">
        <v>1153</v>
      </c>
      <c r="H12" s="88" t="s">
        <v>1161</v>
      </c>
      <c r="I12" s="89" t="s">
        <v>1154</v>
      </c>
      <c r="J12" s="90" t="s">
        <v>1161</v>
      </c>
      <c r="K12" s="91" t="s">
        <v>1155</v>
      </c>
      <c r="L12" s="92" t="s">
        <v>1161</v>
      </c>
      <c r="M12" s="93" t="s">
        <v>1156</v>
      </c>
      <c r="N12" s="94" t="s">
        <v>1161</v>
      </c>
      <c r="O12" s="95" t="s">
        <v>1157</v>
      </c>
      <c r="P12" s="96" t="s">
        <v>1161</v>
      </c>
      <c r="Q12" s="71" t="s">
        <v>1158</v>
      </c>
      <c r="R12" s="97" t="s">
        <v>1161</v>
      </c>
      <c r="S12" s="98" t="s">
        <v>1159</v>
      </c>
      <c r="T12" s="99" t="s">
        <v>1161</v>
      </c>
      <c r="U12" s="100" t="s">
        <v>1160</v>
      </c>
      <c r="V12" s="101" t="s">
        <v>1161</v>
      </c>
      <c r="W12" s="87"/>
      <c r="X12" s="87"/>
      <c r="Y12" s="105"/>
      <c r="Z12" s="105"/>
      <c r="AA12" s="106"/>
      <c r="AB12" s="106"/>
      <c r="AC12" s="71"/>
    </row>
    <row r="13" spans="1:29" x14ac:dyDescent="0.3">
      <c r="A13" s="81" t="s">
        <v>1150</v>
      </c>
      <c r="B13" s="82" t="s">
        <v>1162</v>
      </c>
      <c r="C13" s="83" t="s">
        <v>1151</v>
      </c>
      <c r="D13" s="84" t="s">
        <v>1162</v>
      </c>
      <c r="E13" s="85" t="s">
        <v>1152</v>
      </c>
      <c r="F13" s="86" t="s">
        <v>1162</v>
      </c>
      <c r="G13" s="87" t="s">
        <v>1153</v>
      </c>
      <c r="H13" s="88" t="s">
        <v>1162</v>
      </c>
      <c r="I13" s="89" t="s">
        <v>1154</v>
      </c>
      <c r="J13" s="90" t="s">
        <v>1162</v>
      </c>
      <c r="K13" s="91" t="s">
        <v>1155</v>
      </c>
      <c r="L13" s="92" t="s">
        <v>1162</v>
      </c>
      <c r="M13" s="93" t="s">
        <v>1156</v>
      </c>
      <c r="N13" s="94" t="s">
        <v>1162</v>
      </c>
      <c r="O13" s="95" t="s">
        <v>1157</v>
      </c>
      <c r="P13" s="96" t="s">
        <v>1162</v>
      </c>
      <c r="Q13" s="71" t="s">
        <v>1158</v>
      </c>
      <c r="R13" s="97" t="s">
        <v>1162</v>
      </c>
      <c r="S13" s="98" t="s">
        <v>1159</v>
      </c>
      <c r="T13" s="99" t="s">
        <v>1162</v>
      </c>
      <c r="U13" s="100" t="s">
        <v>1160</v>
      </c>
      <c r="V13" s="102" t="s">
        <v>1162</v>
      </c>
      <c r="W13" s="87" t="s">
        <v>1161</v>
      </c>
      <c r="X13" s="104" t="s">
        <v>1162</v>
      </c>
      <c r="Y13" s="105"/>
      <c r="Z13" s="105"/>
      <c r="AA13" s="106"/>
      <c r="AB13" s="106"/>
      <c r="AC13" s="71"/>
    </row>
    <row r="14" spans="1:29" x14ac:dyDescent="0.3">
      <c r="A14" s="81" t="s">
        <v>1150</v>
      </c>
      <c r="B14" s="82" t="s">
        <v>1163</v>
      </c>
      <c r="C14" s="83" t="s">
        <v>1151</v>
      </c>
      <c r="D14" s="84" t="s">
        <v>1163</v>
      </c>
      <c r="E14" s="85" t="s">
        <v>1152</v>
      </c>
      <c r="F14" s="86" t="s">
        <v>1163</v>
      </c>
      <c r="G14" s="87" t="s">
        <v>1153</v>
      </c>
      <c r="H14" s="88" t="s">
        <v>1163</v>
      </c>
      <c r="I14" s="89" t="s">
        <v>1154</v>
      </c>
      <c r="J14" s="90" t="s">
        <v>1163</v>
      </c>
      <c r="K14" s="91" t="s">
        <v>1155</v>
      </c>
      <c r="L14" s="92" t="s">
        <v>1163</v>
      </c>
      <c r="M14" s="93" t="s">
        <v>1156</v>
      </c>
      <c r="N14" s="94" t="s">
        <v>1163</v>
      </c>
      <c r="O14" s="95" t="s">
        <v>1157</v>
      </c>
      <c r="P14" s="96" t="s">
        <v>1163</v>
      </c>
      <c r="Q14" s="71" t="s">
        <v>1158</v>
      </c>
      <c r="R14" s="97" t="s">
        <v>1163</v>
      </c>
      <c r="S14" s="98" t="s">
        <v>1159</v>
      </c>
      <c r="T14" s="99" t="s">
        <v>1163</v>
      </c>
      <c r="U14" s="100" t="s">
        <v>1160</v>
      </c>
      <c r="V14" s="102" t="s">
        <v>1163</v>
      </c>
      <c r="W14" s="87" t="s">
        <v>1161</v>
      </c>
      <c r="X14" s="104" t="s">
        <v>1163</v>
      </c>
      <c r="Y14" s="105" t="s">
        <v>1162</v>
      </c>
      <c r="Z14" s="105" t="s">
        <v>1163</v>
      </c>
      <c r="AA14" s="106"/>
      <c r="AB14" s="106"/>
      <c r="AC14" s="71"/>
    </row>
    <row r="15" spans="1:29" x14ac:dyDescent="0.3">
      <c r="A15" s="81" t="s">
        <v>1150</v>
      </c>
      <c r="B15" s="82" t="s">
        <v>1164</v>
      </c>
      <c r="C15" s="83" t="s">
        <v>1151</v>
      </c>
      <c r="D15" s="84" t="s">
        <v>1164</v>
      </c>
      <c r="E15" s="85" t="s">
        <v>1152</v>
      </c>
      <c r="F15" s="86" t="s">
        <v>1164</v>
      </c>
      <c r="G15" s="87" t="s">
        <v>1153</v>
      </c>
      <c r="H15" s="88" t="s">
        <v>1164</v>
      </c>
      <c r="I15" s="89" t="s">
        <v>1154</v>
      </c>
      <c r="J15" s="90" t="s">
        <v>1164</v>
      </c>
      <c r="K15" s="91" t="s">
        <v>1155</v>
      </c>
      <c r="L15" s="92" t="s">
        <v>1164</v>
      </c>
      <c r="M15" s="93" t="s">
        <v>1156</v>
      </c>
      <c r="N15" s="94" t="s">
        <v>1164</v>
      </c>
      <c r="O15" s="95" t="s">
        <v>1157</v>
      </c>
      <c r="P15" s="96" t="s">
        <v>1164</v>
      </c>
      <c r="Q15" s="71" t="s">
        <v>1158</v>
      </c>
      <c r="R15" s="97" t="s">
        <v>1164</v>
      </c>
      <c r="S15" s="98" t="s">
        <v>1159</v>
      </c>
      <c r="T15" s="99" t="s">
        <v>1164</v>
      </c>
      <c r="U15" s="100" t="s">
        <v>1160</v>
      </c>
      <c r="V15" s="102" t="s">
        <v>1164</v>
      </c>
      <c r="W15" s="87" t="s">
        <v>1161</v>
      </c>
      <c r="X15" s="104" t="s">
        <v>1164</v>
      </c>
      <c r="Y15" s="105" t="s">
        <v>1162</v>
      </c>
      <c r="Z15" s="105" t="s">
        <v>1164</v>
      </c>
      <c r="AA15" s="106" t="s">
        <v>1163</v>
      </c>
      <c r="AB15" s="106" t="s">
        <v>1164</v>
      </c>
      <c r="AC15" s="71"/>
    </row>
    <row r="17" spans="1:30" x14ac:dyDescent="0.3">
      <c r="A17" s="107">
        <v>15</v>
      </c>
      <c r="B17" s="107">
        <v>0</v>
      </c>
      <c r="C17" s="107">
        <v>14</v>
      </c>
      <c r="D17" s="107">
        <v>0</v>
      </c>
      <c r="E17" s="107">
        <v>13</v>
      </c>
      <c r="F17" s="107">
        <v>0</v>
      </c>
      <c r="G17" s="107">
        <v>12</v>
      </c>
      <c r="H17" s="107">
        <v>0</v>
      </c>
      <c r="I17" s="107">
        <v>11</v>
      </c>
      <c r="J17" s="107">
        <v>0</v>
      </c>
      <c r="K17" s="107">
        <v>10</v>
      </c>
      <c r="L17" s="107">
        <v>0</v>
      </c>
      <c r="M17" s="107">
        <v>9</v>
      </c>
      <c r="N17" s="107">
        <v>0</v>
      </c>
      <c r="O17" s="107">
        <v>8</v>
      </c>
      <c r="P17" s="107">
        <v>0</v>
      </c>
      <c r="Q17" s="107">
        <v>7</v>
      </c>
      <c r="R17" s="107">
        <v>0</v>
      </c>
      <c r="S17" s="107">
        <v>6</v>
      </c>
      <c r="T17" s="107">
        <v>0</v>
      </c>
      <c r="U17" s="107">
        <v>5</v>
      </c>
      <c r="V17" s="107">
        <v>0</v>
      </c>
      <c r="W17" s="107">
        <v>4</v>
      </c>
      <c r="X17" s="107">
        <v>0</v>
      </c>
      <c r="Y17" s="107">
        <v>3</v>
      </c>
      <c r="Z17" s="107">
        <v>0</v>
      </c>
      <c r="AA17" s="107">
        <v>2</v>
      </c>
      <c r="AB17" s="107">
        <v>0</v>
      </c>
      <c r="AC17" s="107">
        <v>1</v>
      </c>
      <c r="AD17">
        <f>SUM(A17:AC17)</f>
        <v>120</v>
      </c>
    </row>
  </sheetData>
  <phoneticPr fontId="8" type="noConversion"/>
  <hyperlinks>
    <hyperlink ref="B2" r:id="rId1" display="V@" xr:uid="{0367B291-77D9-4B00-81C8-DC64325331F3}"/>
    <hyperlink ref="B3:B15" r:id="rId2" display="V@" xr:uid="{CF3CD749-BDC6-4CF0-BD1F-5B50B928151E}"/>
    <hyperlink ref="D3:D15" r:id="rId3" display="V@" xr:uid="{8A016650-847A-4A7C-B852-C234042318B0}"/>
    <hyperlink ref="F4:F15" r:id="rId4" display="V@" xr:uid="{A691B48B-1DCF-4163-B6A7-D160EEA8242E}"/>
    <hyperlink ref="H5:H15" r:id="rId5" display="V@" xr:uid="{61B4FCC8-1A24-436C-92C8-0074DB2B5E25}"/>
    <hyperlink ref="J6:J15" r:id="rId6" display="V@" xr:uid="{970D53A5-F24F-4D6E-B22B-6CBFD5C4F7CF}"/>
    <hyperlink ref="L7:L15" r:id="rId7" display="V@" xr:uid="{DFC82712-257B-4900-99FC-C701D50ADAC4}"/>
    <hyperlink ref="N8:N15" r:id="rId8" display="V@" xr:uid="{1C897CE0-3ED1-4436-96F5-64DF81331D7E}"/>
    <hyperlink ref="P9:P15" r:id="rId9" display="V@" xr:uid="{D29B1C87-F636-4C85-8AE7-F4E9880D1276}"/>
    <hyperlink ref="R10:R15" r:id="rId10" display="V@" xr:uid="{B0587B8F-304A-49B6-86F4-B837DC5DD923}"/>
    <hyperlink ref="T11:T15" r:id="rId11" display="V@" xr:uid="{37551B1B-7388-4486-9F14-61B5097DA07B}"/>
    <hyperlink ref="V12:V15" r:id="rId12" display="V@" xr:uid="{376187A5-997C-49A6-8A9B-A636E343F4C6}"/>
    <hyperlink ref="X13:X15" r:id="rId13" display="V@" xr:uid="{B1FC5F98-3C71-4DFC-B74E-C128A0B56D36}"/>
  </hyperlinks>
  <pageMargins left="0.511811024" right="0.511811024" top="0.78740157499999996" bottom="0.78740157499999996" header="0.31496062000000002" footer="0.31496062000000002"/>
  <ignoredErrors>
    <ignoredError sqref="AD17" emptyCellReferenc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C30D8-DD5C-4B43-A9DC-863CF3CB461A}">
  <sheetPr codeName="ContractAndDocuments"/>
  <dimension ref="A1:AK471"/>
  <sheetViews>
    <sheetView workbookViewId="0">
      <pane ySplit="1" topLeftCell="A2" activePane="bottomLeft" state="frozen"/>
      <selection pane="bottomLeft"/>
    </sheetView>
  </sheetViews>
  <sheetFormatPr defaultColWidth="8.88671875" defaultRowHeight="14.4" x14ac:dyDescent="0.3"/>
  <cols>
    <col min="1" max="1" width="8.88671875" style="66"/>
    <col min="2" max="2" width="13.44140625" style="18" bestFit="1" customWidth="1"/>
    <col min="3" max="3" width="14.6640625" style="18" bestFit="1" customWidth="1"/>
    <col min="4" max="4" width="16.88671875" style="18" bestFit="1" customWidth="1"/>
    <col min="5" max="5" width="42.6640625" style="18" customWidth="1"/>
    <col min="6" max="6" width="41.88671875" style="18" customWidth="1"/>
    <col min="7" max="7" width="7.109375" style="18" bestFit="1" customWidth="1"/>
    <col min="8" max="8" width="19.109375" style="18" bestFit="1" customWidth="1"/>
    <col min="9" max="9" width="9.109375" style="18" bestFit="1" customWidth="1"/>
    <col min="10" max="10" width="12.77734375" style="18" bestFit="1" customWidth="1"/>
    <col min="11" max="11" width="19.33203125" style="68" customWidth="1"/>
    <col min="12" max="12" width="36" style="18" customWidth="1"/>
    <col min="13" max="13" width="12.109375" style="18" customWidth="1"/>
    <col min="14" max="14" width="14.88671875" style="19" customWidth="1"/>
    <col min="15" max="15" width="10.33203125" style="19" customWidth="1"/>
    <col min="16" max="16" width="12.6640625" style="18" customWidth="1"/>
    <col min="17" max="17" width="63.77734375" style="18" customWidth="1"/>
    <col min="18" max="18" width="9.44140625" style="18" customWidth="1"/>
    <col min="19" max="19" width="13.21875" style="19" customWidth="1"/>
    <col min="20" max="20" width="16.33203125" style="18" customWidth="1"/>
    <col min="21" max="21" width="18.109375" style="18" bestFit="1" customWidth="1"/>
    <col min="22" max="22" width="15.109375" style="68" customWidth="1"/>
    <col min="23" max="23" width="12.109375" style="18" customWidth="1"/>
    <col min="24" max="24" width="10.109375" style="18" customWidth="1"/>
    <col min="25" max="25" width="17.44140625" style="18" customWidth="1"/>
    <col min="26" max="26" width="16.21875" style="18" customWidth="1"/>
    <col min="27" max="27" width="39.21875" style="18" customWidth="1"/>
    <col min="28" max="28" width="23.33203125" style="18" bestFit="1" customWidth="1"/>
    <col min="29" max="29" width="20.5546875" style="18" customWidth="1"/>
    <col min="30" max="30" width="25.5546875" style="18" customWidth="1"/>
    <col min="31" max="31" width="30.33203125" style="18" bestFit="1" customWidth="1"/>
    <col min="32" max="32" width="11.109375" style="18" customWidth="1"/>
    <col min="33" max="33" width="20.77734375" style="18" customWidth="1"/>
    <col min="34" max="34" width="14.6640625" style="18" customWidth="1"/>
    <col min="35" max="35" width="10.88671875" style="18" customWidth="1"/>
    <col min="36" max="36" width="12.77734375" style="18" customWidth="1"/>
    <col min="37" max="37" width="16.88671875" style="18" customWidth="1"/>
    <col min="38" max="16384" width="8.88671875" style="18"/>
  </cols>
  <sheetData>
    <row r="1" spans="1:37" s="3" customFormat="1" ht="73.2" customHeight="1" x14ac:dyDescent="0.3">
      <c r="A1" s="65" t="s">
        <v>1012</v>
      </c>
      <c r="B1" s="4" t="s">
        <v>0</v>
      </c>
      <c r="C1" s="4" t="s">
        <v>3</v>
      </c>
      <c r="D1" s="5" t="s">
        <v>18</v>
      </c>
      <c r="E1" s="5" t="s">
        <v>19</v>
      </c>
      <c r="F1" s="5" t="s">
        <v>20</v>
      </c>
      <c r="G1" s="5" t="s">
        <v>21</v>
      </c>
      <c r="H1" s="5" t="s">
        <v>22</v>
      </c>
      <c r="I1" s="5" t="s">
        <v>23</v>
      </c>
      <c r="J1" s="5" t="s">
        <v>24</v>
      </c>
      <c r="K1" s="67" t="s">
        <v>25</v>
      </c>
      <c r="L1" s="5" t="s">
        <v>26</v>
      </c>
      <c r="M1" s="5" t="s">
        <v>27</v>
      </c>
      <c r="N1" s="22" t="s">
        <v>28</v>
      </c>
      <c r="O1" s="22" t="s">
        <v>29</v>
      </c>
      <c r="P1" s="6" t="s">
        <v>30</v>
      </c>
      <c r="Q1" s="5" t="s">
        <v>31</v>
      </c>
      <c r="R1" s="5" t="s">
        <v>32</v>
      </c>
      <c r="S1" s="22" t="s">
        <v>33</v>
      </c>
      <c r="T1" s="6" t="s">
        <v>34</v>
      </c>
      <c r="U1" s="7" t="s">
        <v>57</v>
      </c>
      <c r="V1" s="7" t="s">
        <v>35</v>
      </c>
      <c r="W1" s="8" t="s">
        <v>36</v>
      </c>
      <c r="X1" s="9" t="s">
        <v>37</v>
      </c>
      <c r="Y1" s="10" t="s">
        <v>38</v>
      </c>
      <c r="Z1" s="11" t="s">
        <v>39</v>
      </c>
      <c r="AA1" s="12" t="s">
        <v>40</v>
      </c>
      <c r="AB1" s="12" t="s">
        <v>41</v>
      </c>
      <c r="AC1" s="12" t="s">
        <v>42</v>
      </c>
      <c r="AD1" s="12" t="s">
        <v>43</v>
      </c>
      <c r="AE1" s="13" t="s">
        <v>44</v>
      </c>
      <c r="AF1" s="14" t="s">
        <v>45</v>
      </c>
      <c r="AG1" s="15" t="s">
        <v>46</v>
      </c>
      <c r="AH1" s="16" t="s">
        <v>47</v>
      </c>
      <c r="AI1" s="16" t="s">
        <v>48</v>
      </c>
      <c r="AJ1" s="16" t="s">
        <v>49</v>
      </c>
      <c r="AK1" s="17" t="s">
        <v>50</v>
      </c>
    </row>
    <row r="2" spans="1:37" x14ac:dyDescent="0.3">
      <c r="A2" s="66">
        <v>1</v>
      </c>
      <c r="B2" s="18" t="s">
        <v>1</v>
      </c>
      <c r="C2" s="18" t="s">
        <v>5</v>
      </c>
      <c r="D2" s="18" t="s">
        <v>60</v>
      </c>
      <c r="E2" s="29" t="s">
        <v>61</v>
      </c>
      <c r="F2" s="29" t="s">
        <v>62</v>
      </c>
      <c r="G2" s="18">
        <v>2</v>
      </c>
      <c r="H2" s="18">
        <v>1</v>
      </c>
      <c r="I2" s="18" t="s">
        <v>9</v>
      </c>
      <c r="J2" s="18" t="s">
        <v>63</v>
      </c>
      <c r="K2" s="68">
        <v>54900</v>
      </c>
      <c r="L2" s="18">
        <v>2</v>
      </c>
      <c r="M2" s="18">
        <v>36</v>
      </c>
      <c r="N2" s="19">
        <v>45309</v>
      </c>
      <c r="O2" s="19">
        <v>45313</v>
      </c>
      <c r="P2" s="18">
        <f t="shared" ref="P2:P65" si="0">$O2-$N2</f>
        <v>4</v>
      </c>
      <c r="Q2" s="73" t="s">
        <v>64</v>
      </c>
      <c r="S2" s="19">
        <v>45321</v>
      </c>
      <c r="T2" s="18">
        <f t="shared" ref="T2:T65" si="1">IF(AND(O2&lt;&gt; "",N2&lt;&gt;""),O2-N2,"")</f>
        <v>4</v>
      </c>
      <c r="U2" s="18" t="s">
        <v>15</v>
      </c>
      <c r="V2" s="68">
        <v>39412.800000000003</v>
      </c>
      <c r="W2" s="18" t="s">
        <v>1144</v>
      </c>
      <c r="X2" s="18" t="s">
        <v>53</v>
      </c>
      <c r="Y2" s="18" t="s">
        <v>51</v>
      </c>
      <c r="Z2" s="18" t="s">
        <v>65</v>
      </c>
      <c r="AA2" s="18">
        <v>0</v>
      </c>
      <c r="AB2" s="18">
        <v>0</v>
      </c>
      <c r="AC2" s="18">
        <v>0</v>
      </c>
      <c r="AD2" s="18" t="s">
        <v>66</v>
      </c>
      <c r="AE2" s="18">
        <v>0</v>
      </c>
      <c r="AF2" s="18">
        <f t="shared" ref="AF2:AF65" si="2">SUM($G2,$H2,$L2,$AA2,$AB2,$AC2,$AE2)</f>
        <v>5</v>
      </c>
      <c r="AG2" s="18" t="str">
        <f t="shared" ref="AG2:AG65" si="3">IF(AF2&lt;=15,"LOW",IF(AF2&gt;=31,"HIGH","MIDIUM"))</f>
        <v>LOW</v>
      </c>
      <c r="AH2" s="18" t="s">
        <v>65</v>
      </c>
    </row>
    <row r="3" spans="1:37" x14ac:dyDescent="0.3">
      <c r="A3" s="66">
        <v>2</v>
      </c>
      <c r="B3" s="18" t="s">
        <v>2</v>
      </c>
      <c r="C3" s="18" t="s">
        <v>4</v>
      </c>
      <c r="D3" s="18" t="s">
        <v>10</v>
      </c>
      <c r="E3" s="29" t="s">
        <v>1015</v>
      </c>
      <c r="F3" s="29" t="s">
        <v>117</v>
      </c>
      <c r="G3" s="18">
        <v>0</v>
      </c>
      <c r="H3" s="18">
        <v>1</v>
      </c>
      <c r="I3" s="18" t="s">
        <v>10</v>
      </c>
      <c r="J3" s="18" t="s">
        <v>10</v>
      </c>
      <c r="K3" s="68">
        <v>0</v>
      </c>
      <c r="L3" s="18">
        <v>0</v>
      </c>
      <c r="N3" s="19">
        <v>45322</v>
      </c>
      <c r="O3" s="19">
        <v>45323</v>
      </c>
      <c r="P3" s="18">
        <f t="shared" si="0"/>
        <v>1</v>
      </c>
      <c r="Q3" s="30" t="s">
        <v>465</v>
      </c>
      <c r="T3" s="18">
        <f t="shared" si="1"/>
        <v>1</v>
      </c>
      <c r="X3" s="18" t="s">
        <v>51</v>
      </c>
      <c r="Y3" s="18" t="s">
        <v>51</v>
      </c>
      <c r="AA3" s="18">
        <v>0</v>
      </c>
      <c r="AB3" s="18">
        <v>0</v>
      </c>
      <c r="AC3" s="18">
        <v>0</v>
      </c>
      <c r="AD3" s="18" t="s">
        <v>65</v>
      </c>
      <c r="AE3" s="18">
        <v>0</v>
      </c>
      <c r="AF3" s="18">
        <f t="shared" si="2"/>
        <v>1</v>
      </c>
      <c r="AG3" s="18" t="str">
        <f t="shared" si="3"/>
        <v>LOW</v>
      </c>
    </row>
    <row r="4" spans="1:37" ht="57.6" x14ac:dyDescent="0.3">
      <c r="A4" s="66">
        <v>3</v>
      </c>
      <c r="B4" s="18" t="s">
        <v>1</v>
      </c>
      <c r="C4" s="18" t="s">
        <v>5</v>
      </c>
      <c r="D4" s="18" t="s">
        <v>71</v>
      </c>
      <c r="E4" s="29" t="s">
        <v>99</v>
      </c>
      <c r="F4" s="29" t="s">
        <v>291</v>
      </c>
      <c r="G4" s="18">
        <v>2</v>
      </c>
      <c r="H4" s="18">
        <v>1</v>
      </c>
      <c r="I4" s="18" t="s">
        <v>9</v>
      </c>
      <c r="J4" s="18" t="s">
        <v>63</v>
      </c>
      <c r="K4" s="68">
        <v>20000</v>
      </c>
      <c r="L4" s="18">
        <v>1</v>
      </c>
      <c r="M4" s="18" t="s">
        <v>460</v>
      </c>
      <c r="N4" s="19">
        <v>45320</v>
      </c>
      <c r="O4" s="19">
        <v>45322</v>
      </c>
      <c r="P4" s="18">
        <f t="shared" si="0"/>
        <v>2</v>
      </c>
      <c r="Q4" s="30" t="s">
        <v>466</v>
      </c>
      <c r="S4" s="19">
        <v>45342</v>
      </c>
      <c r="T4" s="18">
        <f t="shared" si="1"/>
        <v>2</v>
      </c>
      <c r="U4" s="18" t="s">
        <v>16</v>
      </c>
      <c r="V4" s="68">
        <v>7939</v>
      </c>
      <c r="W4" s="32" t="s">
        <v>1145</v>
      </c>
      <c r="X4" s="18" t="s">
        <v>53</v>
      </c>
      <c r="Y4" s="18" t="s">
        <v>51</v>
      </c>
      <c r="Z4" s="18" t="s">
        <v>65</v>
      </c>
      <c r="AA4" s="18">
        <v>0</v>
      </c>
      <c r="AB4" s="18">
        <v>0</v>
      </c>
      <c r="AC4" s="18">
        <v>0</v>
      </c>
      <c r="AD4" s="18" t="s">
        <v>65</v>
      </c>
      <c r="AE4" s="18">
        <v>0</v>
      </c>
      <c r="AF4" s="18">
        <f t="shared" si="2"/>
        <v>4</v>
      </c>
      <c r="AG4" s="18" t="str">
        <f t="shared" si="3"/>
        <v>LOW</v>
      </c>
    </row>
    <row r="5" spans="1:37" ht="28.8" x14ac:dyDescent="0.3">
      <c r="A5" s="66">
        <v>4</v>
      </c>
      <c r="B5" s="18" t="s">
        <v>1</v>
      </c>
      <c r="C5" s="18" t="s">
        <v>5</v>
      </c>
      <c r="D5" s="18" t="s">
        <v>60</v>
      </c>
      <c r="E5" s="29" t="s">
        <v>100</v>
      </c>
      <c r="F5" s="29" t="s">
        <v>292</v>
      </c>
      <c r="G5" s="18">
        <v>2</v>
      </c>
      <c r="H5" s="18">
        <v>1</v>
      </c>
      <c r="I5" s="18" t="s">
        <v>9</v>
      </c>
      <c r="J5" s="18" t="s">
        <v>63</v>
      </c>
      <c r="K5" s="68">
        <v>4690519.5599999996</v>
      </c>
      <c r="L5" s="18">
        <v>3</v>
      </c>
      <c r="M5" s="18">
        <v>36</v>
      </c>
      <c r="N5" s="19">
        <v>45253</v>
      </c>
      <c r="O5" s="19">
        <v>45257</v>
      </c>
      <c r="P5" s="18">
        <f t="shared" si="0"/>
        <v>4</v>
      </c>
      <c r="Q5" s="30" t="s">
        <v>467</v>
      </c>
      <c r="T5" s="18">
        <f t="shared" si="1"/>
        <v>4</v>
      </c>
      <c r="X5" s="18" t="s">
        <v>53</v>
      </c>
      <c r="Y5" s="18" t="s">
        <v>51</v>
      </c>
      <c r="Z5" s="18" t="s">
        <v>65</v>
      </c>
      <c r="AA5" s="18">
        <v>0</v>
      </c>
      <c r="AB5" s="18">
        <v>0</v>
      </c>
      <c r="AC5" s="18">
        <v>0</v>
      </c>
      <c r="AD5" s="18" t="s">
        <v>65</v>
      </c>
      <c r="AE5" s="18">
        <v>0</v>
      </c>
      <c r="AF5" s="18">
        <f t="shared" si="2"/>
        <v>6</v>
      </c>
      <c r="AG5" s="18" t="str">
        <f t="shared" si="3"/>
        <v>LOW</v>
      </c>
    </row>
    <row r="6" spans="1:37" ht="72" x14ac:dyDescent="0.3">
      <c r="A6" s="66">
        <v>5</v>
      </c>
      <c r="B6" s="18" t="s">
        <v>2</v>
      </c>
      <c r="C6" s="18" t="s">
        <v>5</v>
      </c>
      <c r="D6" s="18" t="s">
        <v>60</v>
      </c>
      <c r="E6" s="29" t="s">
        <v>101</v>
      </c>
      <c r="F6" s="29" t="s">
        <v>293</v>
      </c>
      <c r="G6" s="18">
        <v>2</v>
      </c>
      <c r="H6" s="18">
        <v>1</v>
      </c>
      <c r="I6" s="18" t="s">
        <v>9</v>
      </c>
      <c r="J6" s="18" t="s">
        <v>450</v>
      </c>
      <c r="K6" s="68">
        <v>300000</v>
      </c>
      <c r="L6" s="18">
        <v>2</v>
      </c>
      <c r="M6" s="18" t="s">
        <v>461</v>
      </c>
      <c r="N6" s="19">
        <v>45315</v>
      </c>
      <c r="O6" s="19">
        <v>45323</v>
      </c>
      <c r="P6" s="18">
        <f t="shared" si="0"/>
        <v>8</v>
      </c>
      <c r="Q6" s="30" t="s">
        <v>468</v>
      </c>
      <c r="S6" s="19">
        <v>45345</v>
      </c>
      <c r="T6" s="18">
        <f t="shared" si="1"/>
        <v>8</v>
      </c>
      <c r="X6" s="18" t="s">
        <v>53</v>
      </c>
      <c r="Y6" s="18" t="s">
        <v>51</v>
      </c>
      <c r="Z6" s="18" t="s">
        <v>65</v>
      </c>
      <c r="AA6" s="18">
        <v>0</v>
      </c>
      <c r="AB6" s="18">
        <v>0</v>
      </c>
      <c r="AC6" s="18">
        <v>0</v>
      </c>
      <c r="AD6" s="18" t="s">
        <v>66</v>
      </c>
      <c r="AE6" s="18">
        <v>0</v>
      </c>
      <c r="AF6" s="18">
        <f t="shared" si="2"/>
        <v>5</v>
      </c>
      <c r="AG6" s="18" t="str">
        <f t="shared" si="3"/>
        <v>LOW</v>
      </c>
    </row>
    <row r="7" spans="1:37" x14ac:dyDescent="0.3">
      <c r="A7" s="66">
        <v>6</v>
      </c>
      <c r="B7" s="18" t="s">
        <v>2</v>
      </c>
      <c r="C7" s="18" t="s">
        <v>5</v>
      </c>
      <c r="D7" s="18" t="s">
        <v>72</v>
      </c>
      <c r="E7" s="29" t="s">
        <v>102</v>
      </c>
      <c r="F7" s="29" t="s">
        <v>294</v>
      </c>
      <c r="G7" s="18">
        <v>2</v>
      </c>
      <c r="H7" s="18">
        <v>1</v>
      </c>
      <c r="I7" s="18" t="s">
        <v>9</v>
      </c>
      <c r="J7" s="18" t="s">
        <v>63</v>
      </c>
      <c r="K7" s="68">
        <v>0</v>
      </c>
      <c r="L7" s="18">
        <v>1</v>
      </c>
      <c r="M7" s="18" t="s">
        <v>462</v>
      </c>
      <c r="N7" s="19">
        <v>45307</v>
      </c>
      <c r="O7" s="19">
        <v>45327</v>
      </c>
      <c r="P7" s="18">
        <f t="shared" si="0"/>
        <v>20</v>
      </c>
      <c r="Q7" s="30" t="s">
        <v>469</v>
      </c>
      <c r="T7" s="18">
        <f t="shared" si="1"/>
        <v>20</v>
      </c>
      <c r="W7" s="18" t="s">
        <v>1146</v>
      </c>
      <c r="X7" s="18" t="s">
        <v>53</v>
      </c>
      <c r="Y7" s="18" t="s">
        <v>51</v>
      </c>
      <c r="Z7" s="18" t="s">
        <v>65</v>
      </c>
      <c r="AA7" s="18">
        <v>0</v>
      </c>
      <c r="AB7" s="18">
        <v>0</v>
      </c>
      <c r="AC7" s="18">
        <v>0</v>
      </c>
      <c r="AD7" s="18" t="s">
        <v>66</v>
      </c>
      <c r="AE7" s="18">
        <v>0</v>
      </c>
      <c r="AF7" s="18">
        <f t="shared" si="2"/>
        <v>4</v>
      </c>
      <c r="AG7" s="18" t="str">
        <f t="shared" si="3"/>
        <v>LOW</v>
      </c>
    </row>
    <row r="8" spans="1:37" ht="57.6" x14ac:dyDescent="0.3">
      <c r="A8" s="66">
        <v>7</v>
      </c>
      <c r="B8" s="18" t="s">
        <v>2</v>
      </c>
      <c r="C8" s="18" t="s">
        <v>5</v>
      </c>
      <c r="D8" s="18" t="s">
        <v>73</v>
      </c>
      <c r="E8" s="29" t="s">
        <v>103</v>
      </c>
      <c r="F8" s="29" t="s">
        <v>295</v>
      </c>
      <c r="G8" s="18">
        <v>2</v>
      </c>
      <c r="H8" s="18">
        <v>1</v>
      </c>
      <c r="I8" s="18" t="s">
        <v>9</v>
      </c>
      <c r="J8" s="18" t="s">
        <v>63</v>
      </c>
      <c r="K8" s="68">
        <v>97796.39</v>
      </c>
      <c r="L8" s="18">
        <v>2</v>
      </c>
      <c r="M8" s="18">
        <v>12</v>
      </c>
      <c r="N8" s="19">
        <v>45279</v>
      </c>
      <c r="O8" s="19">
        <v>45300</v>
      </c>
      <c r="P8" s="18">
        <f t="shared" si="0"/>
        <v>21</v>
      </c>
      <c r="Q8" s="30" t="s">
        <v>470</v>
      </c>
      <c r="S8" s="19">
        <v>45350</v>
      </c>
      <c r="T8" s="18">
        <f t="shared" si="1"/>
        <v>21</v>
      </c>
      <c r="X8" s="18" t="s">
        <v>51</v>
      </c>
      <c r="Y8" s="18" t="s">
        <v>51</v>
      </c>
      <c r="Z8" s="18" t="s">
        <v>65</v>
      </c>
      <c r="AA8" s="18">
        <v>0</v>
      </c>
      <c r="AB8" s="18">
        <v>0</v>
      </c>
      <c r="AC8" s="18">
        <v>0</v>
      </c>
      <c r="AD8" s="18" t="s">
        <v>66</v>
      </c>
      <c r="AE8" s="18">
        <v>0</v>
      </c>
      <c r="AF8" s="18">
        <f t="shared" si="2"/>
        <v>5</v>
      </c>
      <c r="AG8" s="18" t="str">
        <f t="shared" si="3"/>
        <v>LOW</v>
      </c>
    </row>
    <row r="9" spans="1:37" x14ac:dyDescent="0.3">
      <c r="A9" s="66">
        <v>8</v>
      </c>
      <c r="B9" s="18" t="s">
        <v>1</v>
      </c>
      <c r="C9" s="18" t="s">
        <v>5</v>
      </c>
      <c r="D9" s="18" t="s">
        <v>60</v>
      </c>
      <c r="E9" s="29" t="s">
        <v>104</v>
      </c>
      <c r="F9" s="29" t="s">
        <v>296</v>
      </c>
      <c r="G9" s="18">
        <v>2</v>
      </c>
      <c r="H9" s="18">
        <v>1</v>
      </c>
      <c r="I9" s="18" t="s">
        <v>9</v>
      </c>
      <c r="J9" s="18" t="s">
        <v>451</v>
      </c>
      <c r="K9" s="68">
        <v>100800</v>
      </c>
      <c r="L9" s="18">
        <v>2</v>
      </c>
      <c r="M9" s="18">
        <v>6</v>
      </c>
      <c r="N9" s="19">
        <v>45324</v>
      </c>
      <c r="O9" s="19">
        <v>45327</v>
      </c>
      <c r="P9" s="18">
        <f t="shared" si="0"/>
        <v>3</v>
      </c>
      <c r="Q9" s="30" t="s">
        <v>471</v>
      </c>
      <c r="T9" s="18">
        <f t="shared" si="1"/>
        <v>3</v>
      </c>
      <c r="X9" s="18" t="s">
        <v>53</v>
      </c>
      <c r="Y9" s="18" t="s">
        <v>51</v>
      </c>
      <c r="Z9" s="18" t="s">
        <v>65</v>
      </c>
      <c r="AA9" s="18">
        <v>0</v>
      </c>
      <c r="AB9" s="18">
        <v>0</v>
      </c>
      <c r="AC9" s="18">
        <v>0</v>
      </c>
      <c r="AD9" s="18" t="s">
        <v>66</v>
      </c>
      <c r="AE9" s="18">
        <v>0</v>
      </c>
      <c r="AF9" s="18">
        <f t="shared" si="2"/>
        <v>5</v>
      </c>
      <c r="AG9" s="18" t="str">
        <f t="shared" si="3"/>
        <v>LOW</v>
      </c>
    </row>
    <row r="10" spans="1:37" ht="28.8" x14ac:dyDescent="0.3">
      <c r="A10" s="66">
        <v>9</v>
      </c>
      <c r="B10" s="18" t="s">
        <v>1</v>
      </c>
      <c r="C10" s="18" t="s">
        <v>5</v>
      </c>
      <c r="D10" s="18" t="s">
        <v>60</v>
      </c>
      <c r="E10" s="29" t="s">
        <v>105</v>
      </c>
      <c r="F10" s="29" t="s">
        <v>297</v>
      </c>
      <c r="G10" s="18">
        <v>2</v>
      </c>
      <c r="H10" s="18">
        <v>1</v>
      </c>
      <c r="I10" s="18" t="s">
        <v>9</v>
      </c>
      <c r="J10" s="18" t="s">
        <v>450</v>
      </c>
      <c r="K10" s="68">
        <v>1157807.1599999999</v>
      </c>
      <c r="L10" s="18">
        <v>3</v>
      </c>
      <c r="M10" s="18">
        <v>36</v>
      </c>
      <c r="N10" s="19">
        <v>45302</v>
      </c>
      <c r="O10" s="19">
        <v>45307</v>
      </c>
      <c r="P10" s="18">
        <f t="shared" si="0"/>
        <v>5</v>
      </c>
      <c r="Q10" s="30" t="s">
        <v>472</v>
      </c>
      <c r="T10" s="18">
        <f t="shared" si="1"/>
        <v>5</v>
      </c>
      <c r="X10" s="18" t="s">
        <v>51</v>
      </c>
      <c r="Y10" s="18" t="s">
        <v>51</v>
      </c>
      <c r="Z10" s="18" t="s">
        <v>65</v>
      </c>
      <c r="AA10" s="18">
        <v>0</v>
      </c>
      <c r="AB10" s="18">
        <v>0</v>
      </c>
      <c r="AC10" s="18">
        <v>0</v>
      </c>
      <c r="AD10" s="18" t="s">
        <v>66</v>
      </c>
      <c r="AE10" s="18">
        <v>0</v>
      </c>
      <c r="AF10" s="18">
        <f t="shared" si="2"/>
        <v>6</v>
      </c>
      <c r="AG10" s="18" t="str">
        <f t="shared" si="3"/>
        <v>LOW</v>
      </c>
    </row>
    <row r="11" spans="1:37" ht="43.2" x14ac:dyDescent="0.3">
      <c r="A11" s="66">
        <v>10</v>
      </c>
      <c r="B11" s="18" t="s">
        <v>1</v>
      </c>
      <c r="C11" s="18" t="s">
        <v>5</v>
      </c>
      <c r="D11" s="18" t="s">
        <v>60</v>
      </c>
      <c r="E11" s="29" t="s">
        <v>106</v>
      </c>
      <c r="F11" s="29" t="s">
        <v>298</v>
      </c>
      <c r="G11" s="18">
        <v>2</v>
      </c>
      <c r="H11" s="18">
        <v>1</v>
      </c>
      <c r="I11" s="18" t="s">
        <v>9</v>
      </c>
      <c r="J11" s="18" t="s">
        <v>450</v>
      </c>
      <c r="K11" s="68">
        <v>612923.76</v>
      </c>
      <c r="L11" s="18">
        <v>3</v>
      </c>
      <c r="M11" s="18">
        <v>36</v>
      </c>
      <c r="N11" s="19">
        <v>45302</v>
      </c>
      <c r="O11" s="19">
        <v>45307</v>
      </c>
      <c r="P11" s="18">
        <f t="shared" si="0"/>
        <v>5</v>
      </c>
      <c r="Q11" s="30" t="s">
        <v>473</v>
      </c>
      <c r="S11" s="19">
        <v>45351</v>
      </c>
      <c r="T11" s="18">
        <f t="shared" si="1"/>
        <v>5</v>
      </c>
      <c r="X11" s="18" t="s">
        <v>51</v>
      </c>
      <c r="Y11" s="18" t="s">
        <v>51</v>
      </c>
      <c r="Z11" s="18" t="s">
        <v>65</v>
      </c>
      <c r="AA11" s="18">
        <v>0</v>
      </c>
      <c r="AB11" s="18">
        <v>0</v>
      </c>
      <c r="AC11" s="18">
        <v>0</v>
      </c>
      <c r="AD11" s="18" t="s">
        <v>66</v>
      </c>
      <c r="AE11" s="18">
        <v>0</v>
      </c>
      <c r="AF11" s="18">
        <f t="shared" si="2"/>
        <v>6</v>
      </c>
      <c r="AG11" s="18" t="str">
        <f t="shared" si="3"/>
        <v>LOW</v>
      </c>
    </row>
    <row r="12" spans="1:37" ht="57.6" x14ac:dyDescent="0.3">
      <c r="A12" s="66">
        <v>11</v>
      </c>
      <c r="B12" s="18" t="s">
        <v>1</v>
      </c>
      <c r="C12" s="18" t="s">
        <v>5</v>
      </c>
      <c r="D12" s="18" t="s">
        <v>60</v>
      </c>
      <c r="E12" s="29" t="s">
        <v>107</v>
      </c>
      <c r="F12" s="29" t="s">
        <v>299</v>
      </c>
      <c r="G12" s="18">
        <v>2</v>
      </c>
      <c r="H12" s="18">
        <v>1</v>
      </c>
      <c r="I12" s="18" t="s">
        <v>9</v>
      </c>
      <c r="J12" s="18" t="s">
        <v>451</v>
      </c>
      <c r="K12" s="68">
        <v>5262489</v>
      </c>
      <c r="L12" s="18">
        <v>3</v>
      </c>
      <c r="M12" s="18">
        <v>36</v>
      </c>
      <c r="N12" s="19">
        <v>45328</v>
      </c>
      <c r="O12" s="19">
        <v>45328</v>
      </c>
      <c r="P12" s="18">
        <f t="shared" si="0"/>
        <v>0</v>
      </c>
      <c r="Q12" s="30" t="s">
        <v>474</v>
      </c>
      <c r="S12" s="19">
        <v>45344</v>
      </c>
      <c r="T12" s="18">
        <f t="shared" si="1"/>
        <v>0</v>
      </c>
      <c r="X12" s="18" t="s">
        <v>53</v>
      </c>
      <c r="Y12" s="18" t="s">
        <v>51</v>
      </c>
      <c r="Z12" s="18" t="s">
        <v>65</v>
      </c>
      <c r="AA12" s="18">
        <v>0</v>
      </c>
      <c r="AB12" s="18">
        <v>0</v>
      </c>
      <c r="AC12" s="18">
        <v>0</v>
      </c>
      <c r="AD12" s="18" t="s">
        <v>66</v>
      </c>
      <c r="AE12" s="18">
        <v>0</v>
      </c>
      <c r="AF12" s="18">
        <f t="shared" si="2"/>
        <v>6</v>
      </c>
      <c r="AG12" s="18" t="str">
        <f t="shared" si="3"/>
        <v>LOW</v>
      </c>
    </row>
    <row r="13" spans="1:37" x14ac:dyDescent="0.3">
      <c r="A13" s="66">
        <v>12</v>
      </c>
      <c r="B13" s="18" t="s">
        <v>2</v>
      </c>
      <c r="C13" s="18" t="s">
        <v>5</v>
      </c>
      <c r="D13" s="18" t="s">
        <v>60</v>
      </c>
      <c r="E13" s="29" t="s">
        <v>108</v>
      </c>
      <c r="F13" s="29" t="s">
        <v>300</v>
      </c>
      <c r="G13" s="18">
        <v>2</v>
      </c>
      <c r="H13" s="18">
        <v>1</v>
      </c>
      <c r="I13" s="18" t="s">
        <v>9</v>
      </c>
      <c r="J13" s="18" t="s">
        <v>63</v>
      </c>
      <c r="K13" s="68">
        <v>1000000</v>
      </c>
      <c r="L13" s="18">
        <v>3</v>
      </c>
      <c r="M13" s="18">
        <v>36</v>
      </c>
      <c r="N13" s="19">
        <v>45247</v>
      </c>
      <c r="O13" s="19">
        <v>45251</v>
      </c>
      <c r="P13" s="18">
        <f t="shared" si="0"/>
        <v>4</v>
      </c>
      <c r="Q13" s="30" t="s">
        <v>475</v>
      </c>
      <c r="T13" s="18">
        <f t="shared" si="1"/>
        <v>4</v>
      </c>
      <c r="X13" s="18" t="s">
        <v>53</v>
      </c>
      <c r="Y13" s="18" t="s">
        <v>51</v>
      </c>
      <c r="Z13" s="18" t="s">
        <v>65</v>
      </c>
      <c r="AA13" s="18">
        <v>0</v>
      </c>
      <c r="AB13" s="18">
        <v>0</v>
      </c>
      <c r="AC13" s="18">
        <v>0</v>
      </c>
      <c r="AD13" s="18" t="s">
        <v>66</v>
      </c>
      <c r="AE13" s="18">
        <v>0</v>
      </c>
      <c r="AF13" s="18">
        <f t="shared" si="2"/>
        <v>6</v>
      </c>
      <c r="AG13" s="18" t="str">
        <f t="shared" si="3"/>
        <v>LOW</v>
      </c>
    </row>
    <row r="14" spans="1:37" ht="28.8" x14ac:dyDescent="0.3">
      <c r="A14" s="66">
        <v>13</v>
      </c>
      <c r="B14" s="18" t="s">
        <v>2</v>
      </c>
      <c r="C14" s="18" t="s">
        <v>5</v>
      </c>
      <c r="D14" s="18" t="s">
        <v>74</v>
      </c>
      <c r="E14" s="29" t="s">
        <v>1016</v>
      </c>
      <c r="F14" s="29" t="s">
        <v>117</v>
      </c>
      <c r="G14" s="18">
        <v>2</v>
      </c>
      <c r="H14" s="18">
        <v>1</v>
      </c>
      <c r="I14" s="18" t="s">
        <v>9</v>
      </c>
      <c r="J14" s="18" t="s">
        <v>63</v>
      </c>
      <c r="K14" s="68">
        <v>0</v>
      </c>
      <c r="L14" s="18">
        <v>0</v>
      </c>
      <c r="N14" s="19">
        <v>45329</v>
      </c>
      <c r="O14" s="19">
        <v>45329</v>
      </c>
      <c r="P14" s="18">
        <f t="shared" si="0"/>
        <v>0</v>
      </c>
      <c r="Q14" s="30" t="s">
        <v>476</v>
      </c>
      <c r="T14" s="18">
        <f t="shared" si="1"/>
        <v>0</v>
      </c>
      <c r="X14" s="18" t="s">
        <v>53</v>
      </c>
      <c r="Y14" s="18" t="s">
        <v>51</v>
      </c>
      <c r="Z14" s="18" t="s">
        <v>65</v>
      </c>
      <c r="AA14" s="18">
        <v>0</v>
      </c>
      <c r="AB14" s="18">
        <v>0</v>
      </c>
      <c r="AC14" s="18">
        <v>0</v>
      </c>
      <c r="AD14" s="18" t="s">
        <v>65</v>
      </c>
      <c r="AE14" s="18">
        <v>0</v>
      </c>
      <c r="AF14" s="18">
        <f t="shared" si="2"/>
        <v>3</v>
      </c>
      <c r="AG14" s="18" t="str">
        <f t="shared" si="3"/>
        <v>LOW</v>
      </c>
    </row>
    <row r="15" spans="1:37" x14ac:dyDescent="0.3">
      <c r="A15" s="66">
        <v>14</v>
      </c>
      <c r="B15" s="18" t="s">
        <v>2</v>
      </c>
      <c r="C15" s="18" t="s">
        <v>5</v>
      </c>
      <c r="D15" s="18" t="s">
        <v>60</v>
      </c>
      <c r="E15" s="29" t="s">
        <v>109</v>
      </c>
      <c r="F15" s="29" t="s">
        <v>301</v>
      </c>
      <c r="G15" s="18">
        <v>2</v>
      </c>
      <c r="H15" s="18">
        <v>1</v>
      </c>
      <c r="I15" s="18" t="s">
        <v>9</v>
      </c>
      <c r="J15" s="18" t="s">
        <v>63</v>
      </c>
      <c r="K15" s="68" t="s">
        <v>456</v>
      </c>
      <c r="L15" s="18">
        <v>0</v>
      </c>
      <c r="M15" s="18">
        <v>12</v>
      </c>
      <c r="N15" s="19">
        <v>45287</v>
      </c>
      <c r="O15" s="19">
        <v>45288</v>
      </c>
      <c r="P15" s="18">
        <f t="shared" si="0"/>
        <v>1</v>
      </c>
      <c r="Q15" s="30" t="s">
        <v>477</v>
      </c>
      <c r="T15" s="18">
        <f t="shared" si="1"/>
        <v>1</v>
      </c>
      <c r="X15" s="18" t="s">
        <v>53</v>
      </c>
      <c r="Y15" s="18" t="s">
        <v>51</v>
      </c>
      <c r="Z15" s="18" t="s">
        <v>65</v>
      </c>
      <c r="AA15" s="18">
        <v>0</v>
      </c>
      <c r="AB15" s="18">
        <v>0</v>
      </c>
      <c r="AC15" s="18">
        <v>0</v>
      </c>
      <c r="AD15" s="18" t="s">
        <v>65</v>
      </c>
      <c r="AE15" s="18">
        <v>0</v>
      </c>
      <c r="AF15" s="18">
        <f t="shared" si="2"/>
        <v>3</v>
      </c>
      <c r="AG15" s="18" t="str">
        <f t="shared" si="3"/>
        <v>LOW</v>
      </c>
    </row>
    <row r="16" spans="1:37" ht="28.8" x14ac:dyDescent="0.3">
      <c r="A16" s="66">
        <v>15</v>
      </c>
      <c r="B16" s="18" t="s">
        <v>2</v>
      </c>
      <c r="C16" s="18" t="s">
        <v>5</v>
      </c>
      <c r="D16" s="18" t="s">
        <v>60</v>
      </c>
      <c r="E16" s="29" t="s">
        <v>110</v>
      </c>
      <c r="F16" s="29" t="s">
        <v>302</v>
      </c>
      <c r="G16" s="18">
        <v>2</v>
      </c>
      <c r="H16" s="18">
        <v>1</v>
      </c>
      <c r="I16" s="18" t="s">
        <v>9</v>
      </c>
      <c r="J16" s="18" t="s">
        <v>63</v>
      </c>
      <c r="K16" s="68" t="s">
        <v>456</v>
      </c>
      <c r="L16" s="18">
        <v>0</v>
      </c>
      <c r="M16" s="18">
        <v>12</v>
      </c>
      <c r="N16" s="19">
        <v>45287</v>
      </c>
      <c r="O16" s="19">
        <v>45288</v>
      </c>
      <c r="P16" s="18">
        <f t="shared" si="0"/>
        <v>1</v>
      </c>
      <c r="Q16" s="30" t="s">
        <v>478</v>
      </c>
      <c r="T16" s="18">
        <f t="shared" si="1"/>
        <v>1</v>
      </c>
      <c r="X16" s="18" t="s">
        <v>53</v>
      </c>
      <c r="Y16" s="18" t="s">
        <v>51</v>
      </c>
      <c r="Z16" s="18" t="s">
        <v>65</v>
      </c>
      <c r="AA16" s="18">
        <v>0</v>
      </c>
      <c r="AB16" s="18">
        <v>0</v>
      </c>
      <c r="AC16" s="18">
        <v>0</v>
      </c>
      <c r="AD16" s="18" t="s">
        <v>65</v>
      </c>
      <c r="AE16" s="18">
        <v>0</v>
      </c>
      <c r="AF16" s="18">
        <f t="shared" si="2"/>
        <v>3</v>
      </c>
      <c r="AG16" s="18" t="str">
        <f t="shared" si="3"/>
        <v>LOW</v>
      </c>
    </row>
    <row r="17" spans="1:33" ht="57.6" x14ac:dyDescent="0.3">
      <c r="A17" s="66">
        <v>16</v>
      </c>
      <c r="B17" s="18" t="s">
        <v>1</v>
      </c>
      <c r="C17" s="18" t="s">
        <v>5</v>
      </c>
      <c r="D17" s="18" t="s">
        <v>60</v>
      </c>
      <c r="E17" s="29" t="s">
        <v>111</v>
      </c>
      <c r="F17" s="29" t="s">
        <v>303</v>
      </c>
      <c r="G17" s="18">
        <v>2</v>
      </c>
      <c r="H17" s="18">
        <v>1</v>
      </c>
      <c r="I17" s="18" t="s">
        <v>9</v>
      </c>
      <c r="J17" s="18" t="s">
        <v>63</v>
      </c>
      <c r="K17" s="68">
        <v>324000</v>
      </c>
      <c r="L17" s="18">
        <v>3</v>
      </c>
      <c r="M17" s="18">
        <v>36</v>
      </c>
      <c r="N17" s="19">
        <v>45260</v>
      </c>
      <c r="O17" s="19">
        <v>45264</v>
      </c>
      <c r="P17" s="18">
        <f t="shared" si="0"/>
        <v>4</v>
      </c>
      <c r="Q17" s="30" t="s">
        <v>479</v>
      </c>
      <c r="S17" s="19">
        <v>45345</v>
      </c>
      <c r="T17" s="18">
        <f t="shared" si="1"/>
        <v>4</v>
      </c>
      <c r="X17" s="18" t="s">
        <v>53</v>
      </c>
      <c r="Y17" s="18" t="s">
        <v>51</v>
      </c>
      <c r="Z17" s="18" t="s">
        <v>65</v>
      </c>
      <c r="AA17" s="18">
        <v>0</v>
      </c>
      <c r="AB17" s="18">
        <v>0</v>
      </c>
      <c r="AC17" s="18">
        <v>0</v>
      </c>
      <c r="AD17" s="18" t="s">
        <v>65</v>
      </c>
      <c r="AE17" s="18">
        <v>0</v>
      </c>
      <c r="AF17" s="18">
        <f t="shared" si="2"/>
        <v>6</v>
      </c>
      <c r="AG17" s="18" t="str">
        <f t="shared" si="3"/>
        <v>LOW</v>
      </c>
    </row>
    <row r="18" spans="1:33" x14ac:dyDescent="0.3">
      <c r="A18" s="66">
        <v>17</v>
      </c>
      <c r="B18" s="18" t="s">
        <v>1</v>
      </c>
      <c r="C18" s="18" t="s">
        <v>5</v>
      </c>
      <c r="D18" s="18" t="s">
        <v>72</v>
      </c>
      <c r="E18" s="29" t="s">
        <v>112</v>
      </c>
      <c r="F18" s="29" t="s">
        <v>304</v>
      </c>
      <c r="G18" s="18">
        <v>2</v>
      </c>
      <c r="H18" s="18">
        <v>1</v>
      </c>
      <c r="I18" s="18" t="s">
        <v>9</v>
      </c>
      <c r="J18" s="18" t="s">
        <v>63</v>
      </c>
      <c r="K18" s="68">
        <v>0</v>
      </c>
      <c r="L18" s="18">
        <v>0</v>
      </c>
      <c r="M18" s="18">
        <v>24</v>
      </c>
      <c r="N18" s="19">
        <v>45314</v>
      </c>
      <c r="O18" s="19">
        <v>45315</v>
      </c>
      <c r="P18" s="18">
        <f t="shared" si="0"/>
        <v>1</v>
      </c>
      <c r="Q18" s="30" t="s">
        <v>480</v>
      </c>
      <c r="T18" s="18">
        <f t="shared" si="1"/>
        <v>1</v>
      </c>
      <c r="X18" s="18" t="s">
        <v>53</v>
      </c>
      <c r="Y18" s="18" t="s">
        <v>51</v>
      </c>
      <c r="Z18" s="18" t="s">
        <v>65</v>
      </c>
      <c r="AA18" s="18">
        <v>0</v>
      </c>
      <c r="AB18" s="18">
        <v>0</v>
      </c>
      <c r="AC18" s="18">
        <v>0</v>
      </c>
      <c r="AD18" s="18" t="s">
        <v>65</v>
      </c>
      <c r="AE18" s="18">
        <v>0</v>
      </c>
      <c r="AF18" s="18">
        <f t="shared" si="2"/>
        <v>3</v>
      </c>
      <c r="AG18" s="18" t="str">
        <f t="shared" si="3"/>
        <v>LOW</v>
      </c>
    </row>
    <row r="19" spans="1:33" x14ac:dyDescent="0.3">
      <c r="A19" s="66">
        <v>18</v>
      </c>
      <c r="B19" s="18" t="s">
        <v>1</v>
      </c>
      <c r="C19" s="18" t="s">
        <v>5</v>
      </c>
      <c r="D19" s="18" t="s">
        <v>60</v>
      </c>
      <c r="E19" s="29" t="s">
        <v>107</v>
      </c>
      <c r="F19" s="29" t="s">
        <v>305</v>
      </c>
      <c r="G19" s="18">
        <v>2</v>
      </c>
      <c r="H19" s="18">
        <v>1</v>
      </c>
      <c r="I19" s="18" t="s">
        <v>9</v>
      </c>
      <c r="J19" s="18" t="s">
        <v>63</v>
      </c>
      <c r="K19" s="68">
        <v>4377120.84</v>
      </c>
      <c r="L19" s="18">
        <v>3</v>
      </c>
      <c r="M19" s="18">
        <v>36</v>
      </c>
      <c r="N19" s="19">
        <v>45279</v>
      </c>
      <c r="O19" s="19">
        <v>45320</v>
      </c>
      <c r="P19" s="18">
        <f t="shared" si="0"/>
        <v>41</v>
      </c>
      <c r="Q19" s="30" t="s">
        <v>481</v>
      </c>
      <c r="T19" s="18">
        <f t="shared" si="1"/>
        <v>41</v>
      </c>
      <c r="X19" s="18" t="s">
        <v>51</v>
      </c>
      <c r="Y19" s="18" t="s">
        <v>51</v>
      </c>
      <c r="Z19" s="18" t="s">
        <v>65</v>
      </c>
      <c r="AA19" s="18">
        <v>0</v>
      </c>
      <c r="AB19" s="18">
        <v>0</v>
      </c>
      <c r="AC19" s="18">
        <v>0</v>
      </c>
      <c r="AD19" s="18" t="s">
        <v>66</v>
      </c>
      <c r="AE19" s="18">
        <v>0</v>
      </c>
      <c r="AF19" s="18">
        <f t="shared" si="2"/>
        <v>6</v>
      </c>
      <c r="AG19" s="18" t="str">
        <f t="shared" si="3"/>
        <v>LOW</v>
      </c>
    </row>
    <row r="20" spans="1:33" x14ac:dyDescent="0.3">
      <c r="A20" s="66">
        <v>19</v>
      </c>
      <c r="B20" s="18" t="s">
        <v>1</v>
      </c>
      <c r="C20" s="18" t="s">
        <v>5</v>
      </c>
      <c r="D20" s="18" t="s">
        <v>60</v>
      </c>
      <c r="E20" s="29" t="s">
        <v>113</v>
      </c>
      <c r="F20" s="29" t="s">
        <v>306</v>
      </c>
      <c r="G20" s="18">
        <v>2</v>
      </c>
      <c r="H20" s="18">
        <v>1</v>
      </c>
      <c r="I20" s="18" t="s">
        <v>9</v>
      </c>
      <c r="J20" s="18" t="s">
        <v>63</v>
      </c>
      <c r="K20" s="68">
        <v>595584</v>
      </c>
      <c r="L20" s="18">
        <v>3</v>
      </c>
      <c r="M20" s="18">
        <v>36</v>
      </c>
      <c r="N20" s="19">
        <v>45308</v>
      </c>
      <c r="O20" s="19">
        <v>45313</v>
      </c>
      <c r="P20" s="18">
        <f t="shared" si="0"/>
        <v>5</v>
      </c>
      <c r="Q20" s="30" t="s">
        <v>482</v>
      </c>
      <c r="T20" s="18">
        <f t="shared" si="1"/>
        <v>5</v>
      </c>
      <c r="X20" s="18" t="s">
        <v>51</v>
      </c>
      <c r="Y20" s="18" t="s">
        <v>51</v>
      </c>
      <c r="Z20" s="18" t="s">
        <v>65</v>
      </c>
      <c r="AA20" s="18">
        <v>0</v>
      </c>
      <c r="AB20" s="18">
        <v>0</v>
      </c>
      <c r="AC20" s="18">
        <v>0</v>
      </c>
      <c r="AD20" s="18" t="s">
        <v>66</v>
      </c>
      <c r="AE20" s="18">
        <v>0</v>
      </c>
      <c r="AF20" s="18">
        <f t="shared" si="2"/>
        <v>6</v>
      </c>
      <c r="AG20" s="18" t="str">
        <f t="shared" si="3"/>
        <v>LOW</v>
      </c>
    </row>
    <row r="21" spans="1:33" ht="43.2" x14ac:dyDescent="0.3">
      <c r="A21" s="66">
        <v>20</v>
      </c>
      <c r="B21" s="18" t="s">
        <v>1</v>
      </c>
      <c r="C21" s="18" t="s">
        <v>5</v>
      </c>
      <c r="D21" s="18" t="s">
        <v>72</v>
      </c>
      <c r="E21" s="29" t="s">
        <v>114</v>
      </c>
      <c r="F21" s="29" t="s">
        <v>307</v>
      </c>
      <c r="G21" s="18">
        <v>2</v>
      </c>
      <c r="H21" s="18">
        <v>1</v>
      </c>
      <c r="I21" s="18" t="s">
        <v>9</v>
      </c>
      <c r="J21" s="18" t="s">
        <v>63</v>
      </c>
      <c r="K21" s="68">
        <v>0</v>
      </c>
      <c r="L21" s="18">
        <v>0</v>
      </c>
      <c r="M21" s="18">
        <v>12</v>
      </c>
      <c r="N21" s="19">
        <v>45313</v>
      </c>
      <c r="O21" s="19">
        <v>45317</v>
      </c>
      <c r="P21" s="18">
        <f t="shared" si="0"/>
        <v>4</v>
      </c>
      <c r="Q21" s="30" t="s">
        <v>483</v>
      </c>
      <c r="T21" s="18">
        <f t="shared" si="1"/>
        <v>4</v>
      </c>
      <c r="X21" s="18" t="s">
        <v>53</v>
      </c>
      <c r="Y21" s="18" t="s">
        <v>51</v>
      </c>
      <c r="Z21" s="18" t="s">
        <v>65</v>
      </c>
      <c r="AA21" s="18">
        <v>0</v>
      </c>
      <c r="AB21" s="18">
        <v>0</v>
      </c>
      <c r="AC21" s="18">
        <v>0</v>
      </c>
      <c r="AD21" s="18" t="s">
        <v>66</v>
      </c>
      <c r="AE21" s="18">
        <v>0</v>
      </c>
      <c r="AF21" s="18">
        <f t="shared" si="2"/>
        <v>3</v>
      </c>
      <c r="AG21" s="18" t="str">
        <f t="shared" si="3"/>
        <v>LOW</v>
      </c>
    </row>
    <row r="22" spans="1:33" ht="57.6" x14ac:dyDescent="0.3">
      <c r="A22" s="66">
        <v>21</v>
      </c>
      <c r="B22" s="18" t="s">
        <v>1</v>
      </c>
      <c r="C22" s="18" t="s">
        <v>5</v>
      </c>
      <c r="D22" s="18" t="s">
        <v>72</v>
      </c>
      <c r="E22" s="29" t="s">
        <v>115</v>
      </c>
      <c r="F22" s="29" t="s">
        <v>308</v>
      </c>
      <c r="G22" s="18">
        <v>2</v>
      </c>
      <c r="H22" s="18">
        <v>1</v>
      </c>
      <c r="I22" s="18" t="s">
        <v>9</v>
      </c>
      <c r="J22" s="18" t="s">
        <v>63</v>
      </c>
      <c r="K22" s="68">
        <v>523555.56</v>
      </c>
      <c r="L22" s="18">
        <v>3</v>
      </c>
      <c r="M22" s="18">
        <v>12</v>
      </c>
      <c r="N22" s="19">
        <v>45324</v>
      </c>
      <c r="O22" s="19">
        <v>45330</v>
      </c>
      <c r="P22" s="18">
        <f t="shared" si="0"/>
        <v>6</v>
      </c>
      <c r="Q22" s="30" t="s">
        <v>484</v>
      </c>
      <c r="S22" s="19">
        <v>45348</v>
      </c>
      <c r="T22" s="18">
        <f t="shared" si="1"/>
        <v>6</v>
      </c>
      <c r="X22" s="18" t="s">
        <v>53</v>
      </c>
      <c r="Y22" s="18" t="s">
        <v>51</v>
      </c>
      <c r="Z22" s="18" t="s">
        <v>65</v>
      </c>
      <c r="AA22" s="18">
        <v>0</v>
      </c>
      <c r="AB22" s="18">
        <v>0</v>
      </c>
      <c r="AC22" s="18">
        <v>0</v>
      </c>
      <c r="AD22" s="18" t="s">
        <v>65</v>
      </c>
      <c r="AE22" s="18">
        <v>0</v>
      </c>
      <c r="AF22" s="18">
        <f t="shared" si="2"/>
        <v>6</v>
      </c>
      <c r="AG22" s="18" t="str">
        <f t="shared" si="3"/>
        <v>LOW</v>
      </c>
    </row>
    <row r="23" spans="1:33" x14ac:dyDescent="0.3">
      <c r="A23" s="66">
        <v>22</v>
      </c>
      <c r="B23" s="18" t="s">
        <v>1</v>
      </c>
      <c r="C23" s="18" t="s">
        <v>5</v>
      </c>
      <c r="D23" s="18" t="s">
        <v>60</v>
      </c>
      <c r="E23" s="29" t="s">
        <v>116</v>
      </c>
      <c r="F23" s="29" t="s">
        <v>309</v>
      </c>
      <c r="G23" s="18">
        <v>2</v>
      </c>
      <c r="H23" s="18">
        <v>1</v>
      </c>
      <c r="I23" s="18" t="s">
        <v>9</v>
      </c>
      <c r="J23" s="18" t="s">
        <v>63</v>
      </c>
      <c r="K23" s="68" t="s">
        <v>456</v>
      </c>
      <c r="L23" s="18">
        <v>0</v>
      </c>
      <c r="M23" s="18">
        <v>36</v>
      </c>
      <c r="N23" s="19">
        <v>45279</v>
      </c>
      <c r="O23" s="19">
        <v>45293</v>
      </c>
      <c r="P23" s="18">
        <f t="shared" si="0"/>
        <v>14</v>
      </c>
      <c r="Q23" s="30" t="s">
        <v>485</v>
      </c>
      <c r="T23" s="18">
        <f t="shared" si="1"/>
        <v>14</v>
      </c>
      <c r="X23" s="18" t="s">
        <v>51</v>
      </c>
      <c r="Y23" s="18" t="s">
        <v>51</v>
      </c>
      <c r="Z23" s="18" t="s">
        <v>65</v>
      </c>
      <c r="AA23" s="18">
        <v>0</v>
      </c>
      <c r="AB23" s="18">
        <v>0</v>
      </c>
      <c r="AC23" s="18">
        <v>0</v>
      </c>
      <c r="AD23" s="18" t="s">
        <v>65</v>
      </c>
      <c r="AE23" s="18">
        <v>0</v>
      </c>
      <c r="AF23" s="18">
        <f t="shared" si="2"/>
        <v>3</v>
      </c>
      <c r="AG23" s="18" t="str">
        <f t="shared" si="3"/>
        <v>LOW</v>
      </c>
    </row>
    <row r="24" spans="1:33" ht="43.2" x14ac:dyDescent="0.3">
      <c r="A24" s="66">
        <v>23</v>
      </c>
      <c r="B24" s="18" t="s">
        <v>1</v>
      </c>
      <c r="C24" s="18" t="s">
        <v>5</v>
      </c>
      <c r="D24" s="18" t="s">
        <v>60</v>
      </c>
      <c r="E24" s="29" t="s">
        <v>107</v>
      </c>
      <c r="F24" s="29" t="s">
        <v>310</v>
      </c>
      <c r="G24" s="18">
        <v>2</v>
      </c>
      <c r="H24" s="18">
        <v>1</v>
      </c>
      <c r="I24" s="18" t="s">
        <v>9</v>
      </c>
      <c r="J24" s="18" t="s">
        <v>63</v>
      </c>
      <c r="K24" s="68">
        <v>650228.04</v>
      </c>
      <c r="L24" s="18">
        <v>3</v>
      </c>
      <c r="M24" s="18">
        <v>36</v>
      </c>
      <c r="N24" s="19">
        <v>45259</v>
      </c>
      <c r="O24" s="19">
        <v>45259</v>
      </c>
      <c r="P24" s="18">
        <f t="shared" si="0"/>
        <v>0</v>
      </c>
      <c r="Q24" s="30" t="s">
        <v>486</v>
      </c>
      <c r="T24" s="18">
        <f t="shared" si="1"/>
        <v>0</v>
      </c>
      <c r="X24" s="18" t="s">
        <v>53</v>
      </c>
      <c r="Y24" s="18" t="s">
        <v>51</v>
      </c>
      <c r="Z24" s="18" t="s">
        <v>65</v>
      </c>
      <c r="AA24" s="18">
        <v>0</v>
      </c>
      <c r="AB24" s="18">
        <v>0</v>
      </c>
      <c r="AC24" s="18">
        <v>0</v>
      </c>
      <c r="AD24" s="18" t="s">
        <v>65</v>
      </c>
      <c r="AE24" s="18">
        <v>0</v>
      </c>
      <c r="AF24" s="18">
        <f t="shared" si="2"/>
        <v>6</v>
      </c>
      <c r="AG24" s="18" t="str">
        <f t="shared" si="3"/>
        <v>LOW</v>
      </c>
    </row>
    <row r="25" spans="1:33" x14ac:dyDescent="0.3">
      <c r="A25" s="66">
        <v>24</v>
      </c>
      <c r="B25" s="18" t="s">
        <v>67</v>
      </c>
      <c r="C25" s="18" t="s">
        <v>4</v>
      </c>
      <c r="D25" s="18" t="s">
        <v>74</v>
      </c>
      <c r="E25" s="29" t="s">
        <v>1017</v>
      </c>
      <c r="F25" s="29" t="s">
        <v>117</v>
      </c>
      <c r="G25" s="18">
        <v>0</v>
      </c>
      <c r="H25" s="18">
        <v>0</v>
      </c>
      <c r="I25" s="18" t="s">
        <v>9</v>
      </c>
      <c r="J25" s="18" t="s">
        <v>63</v>
      </c>
      <c r="K25" s="68">
        <v>0</v>
      </c>
      <c r="L25" s="18">
        <v>0</v>
      </c>
      <c r="M25" s="18">
        <v>0</v>
      </c>
      <c r="N25" s="19">
        <v>45323</v>
      </c>
      <c r="O25" s="19">
        <v>45323</v>
      </c>
      <c r="P25" s="18">
        <f t="shared" si="0"/>
        <v>0</v>
      </c>
      <c r="Q25" s="30" t="s">
        <v>487</v>
      </c>
      <c r="T25" s="18">
        <f t="shared" si="1"/>
        <v>0</v>
      </c>
      <c r="X25" s="18" t="s">
        <v>53</v>
      </c>
      <c r="Y25" s="18" t="s">
        <v>51</v>
      </c>
      <c r="AA25" s="18">
        <v>0</v>
      </c>
      <c r="AB25" s="18">
        <v>0</v>
      </c>
      <c r="AC25" s="18">
        <v>0</v>
      </c>
      <c r="AD25" s="18" t="s">
        <v>65</v>
      </c>
      <c r="AE25" s="18">
        <v>0</v>
      </c>
      <c r="AF25" s="18">
        <f t="shared" si="2"/>
        <v>0</v>
      </c>
      <c r="AG25" s="18" t="str">
        <f t="shared" si="3"/>
        <v>LOW</v>
      </c>
    </row>
    <row r="26" spans="1:33" x14ac:dyDescent="0.3">
      <c r="A26" s="66">
        <v>25</v>
      </c>
      <c r="B26" s="18" t="s">
        <v>67</v>
      </c>
      <c r="C26" s="18" t="s">
        <v>4</v>
      </c>
      <c r="D26" s="18" t="s">
        <v>74</v>
      </c>
      <c r="E26" s="29" t="s">
        <v>1018</v>
      </c>
      <c r="F26" s="29" t="s">
        <v>117</v>
      </c>
      <c r="G26" s="18">
        <v>0</v>
      </c>
      <c r="H26" s="18">
        <v>0</v>
      </c>
      <c r="I26" s="18" t="s">
        <v>9</v>
      </c>
      <c r="J26" s="18" t="s">
        <v>63</v>
      </c>
      <c r="K26" s="68">
        <v>0</v>
      </c>
      <c r="L26" s="18">
        <v>0</v>
      </c>
      <c r="M26" s="18">
        <v>0</v>
      </c>
      <c r="N26" s="19">
        <v>45323</v>
      </c>
      <c r="O26" s="19">
        <v>45323</v>
      </c>
      <c r="P26" s="18">
        <f t="shared" si="0"/>
        <v>0</v>
      </c>
      <c r="Q26" s="30" t="s">
        <v>488</v>
      </c>
      <c r="S26" s="19">
        <v>45344</v>
      </c>
      <c r="T26" s="18">
        <f t="shared" si="1"/>
        <v>0</v>
      </c>
      <c r="X26" s="18" t="s">
        <v>53</v>
      </c>
      <c r="Y26" s="18" t="s">
        <v>51</v>
      </c>
      <c r="AA26" s="18">
        <v>0</v>
      </c>
      <c r="AB26" s="18">
        <v>0</v>
      </c>
      <c r="AC26" s="18">
        <v>0</v>
      </c>
      <c r="AD26" s="18" t="s">
        <v>65</v>
      </c>
      <c r="AE26" s="18">
        <v>0</v>
      </c>
      <c r="AF26" s="18">
        <f t="shared" si="2"/>
        <v>0</v>
      </c>
      <c r="AG26" s="18" t="str">
        <f t="shared" si="3"/>
        <v>LOW</v>
      </c>
    </row>
    <row r="27" spans="1:33" x14ac:dyDescent="0.3">
      <c r="A27" s="66">
        <v>26</v>
      </c>
      <c r="B27" s="18" t="s">
        <v>2</v>
      </c>
      <c r="C27" s="18" t="s">
        <v>4</v>
      </c>
      <c r="D27" s="18" t="s">
        <v>75</v>
      </c>
      <c r="E27" s="29" t="s">
        <v>1019</v>
      </c>
      <c r="F27" s="29" t="s">
        <v>117</v>
      </c>
      <c r="G27" s="18">
        <v>0</v>
      </c>
      <c r="H27" s="18">
        <v>0</v>
      </c>
      <c r="I27" s="18" t="s">
        <v>9</v>
      </c>
      <c r="J27" s="18" t="s">
        <v>63</v>
      </c>
      <c r="K27" s="68">
        <v>0</v>
      </c>
      <c r="L27" s="18">
        <v>0</v>
      </c>
      <c r="M27" s="18">
        <v>0</v>
      </c>
      <c r="N27" s="19">
        <v>45321</v>
      </c>
      <c r="O27" s="19">
        <v>45323</v>
      </c>
      <c r="P27" s="18">
        <f t="shared" si="0"/>
        <v>2</v>
      </c>
      <c r="Q27" s="30" t="s">
        <v>489</v>
      </c>
      <c r="T27" s="18">
        <f t="shared" si="1"/>
        <v>2</v>
      </c>
      <c r="X27" s="18" t="s">
        <v>51</v>
      </c>
      <c r="Y27" s="18" t="s">
        <v>51</v>
      </c>
      <c r="AA27" s="18">
        <v>0</v>
      </c>
      <c r="AB27" s="18">
        <v>0</v>
      </c>
      <c r="AC27" s="18">
        <v>0</v>
      </c>
      <c r="AD27" s="18" t="s">
        <v>65</v>
      </c>
      <c r="AE27" s="18">
        <v>0</v>
      </c>
      <c r="AF27" s="18">
        <f t="shared" si="2"/>
        <v>0</v>
      </c>
      <c r="AG27" s="18" t="str">
        <f t="shared" si="3"/>
        <v>LOW</v>
      </c>
    </row>
    <row r="28" spans="1:33" ht="28.8" x14ac:dyDescent="0.3">
      <c r="A28" s="66">
        <v>27</v>
      </c>
      <c r="B28" s="18" t="s">
        <v>67</v>
      </c>
      <c r="C28" s="18" t="s">
        <v>4</v>
      </c>
      <c r="D28" s="18" t="s">
        <v>76</v>
      </c>
      <c r="E28" s="29" t="s">
        <v>1020</v>
      </c>
      <c r="F28" s="29" t="s">
        <v>117</v>
      </c>
      <c r="G28" s="18">
        <v>0</v>
      </c>
      <c r="H28" s="18">
        <v>0</v>
      </c>
      <c r="I28" s="18" t="s">
        <v>9</v>
      </c>
      <c r="J28" s="18" t="s">
        <v>63</v>
      </c>
      <c r="K28" s="68">
        <v>0</v>
      </c>
      <c r="L28" s="18">
        <v>0</v>
      </c>
      <c r="M28" s="18">
        <v>0</v>
      </c>
      <c r="N28" s="19">
        <v>45323</v>
      </c>
      <c r="O28" s="19">
        <v>45323</v>
      </c>
      <c r="P28" s="18">
        <f t="shared" si="0"/>
        <v>0</v>
      </c>
      <c r="Q28" s="30" t="s">
        <v>490</v>
      </c>
      <c r="T28" s="18">
        <f t="shared" si="1"/>
        <v>0</v>
      </c>
      <c r="X28" s="18" t="s">
        <v>53</v>
      </c>
      <c r="Y28" s="18" t="s">
        <v>51</v>
      </c>
      <c r="AA28" s="18">
        <v>0</v>
      </c>
      <c r="AB28" s="18">
        <v>0</v>
      </c>
      <c r="AC28" s="18">
        <v>0</v>
      </c>
      <c r="AD28" s="18" t="s">
        <v>65</v>
      </c>
      <c r="AE28" s="18">
        <v>0</v>
      </c>
      <c r="AF28" s="18">
        <f t="shared" si="2"/>
        <v>0</v>
      </c>
      <c r="AG28" s="18" t="str">
        <f t="shared" si="3"/>
        <v>LOW</v>
      </c>
    </row>
    <row r="29" spans="1:33" x14ac:dyDescent="0.3">
      <c r="A29" s="66">
        <v>28</v>
      </c>
      <c r="B29" s="18" t="s">
        <v>1</v>
      </c>
      <c r="C29" s="18" t="s">
        <v>4</v>
      </c>
      <c r="D29" s="18" t="s">
        <v>10</v>
      </c>
      <c r="E29" s="29" t="s">
        <v>1021</v>
      </c>
      <c r="F29" s="29" t="s">
        <v>311</v>
      </c>
      <c r="G29" s="18">
        <v>0</v>
      </c>
      <c r="H29" s="18">
        <v>3</v>
      </c>
      <c r="I29" s="18" t="s">
        <v>10</v>
      </c>
      <c r="J29" s="18" t="s">
        <v>10</v>
      </c>
      <c r="K29" s="68">
        <v>0</v>
      </c>
      <c r="L29" s="18">
        <v>0</v>
      </c>
      <c r="N29" s="19">
        <v>45323</v>
      </c>
      <c r="O29" s="19">
        <v>45323</v>
      </c>
      <c r="P29" s="18">
        <f t="shared" si="0"/>
        <v>0</v>
      </c>
      <c r="Q29" s="30" t="s">
        <v>491</v>
      </c>
      <c r="T29" s="18">
        <f t="shared" si="1"/>
        <v>0</v>
      </c>
      <c r="X29" s="18" t="s">
        <v>53</v>
      </c>
      <c r="Y29" s="18" t="s">
        <v>51</v>
      </c>
      <c r="AA29" s="18">
        <v>0</v>
      </c>
      <c r="AB29" s="18">
        <v>0</v>
      </c>
      <c r="AC29" s="18">
        <v>0</v>
      </c>
      <c r="AD29" s="18" t="s">
        <v>65</v>
      </c>
      <c r="AE29" s="18">
        <v>0</v>
      </c>
      <c r="AF29" s="18">
        <f t="shared" si="2"/>
        <v>3</v>
      </c>
      <c r="AG29" s="18" t="str">
        <f t="shared" si="3"/>
        <v>LOW</v>
      </c>
    </row>
    <row r="30" spans="1:33" ht="28.8" x14ac:dyDescent="0.3">
      <c r="A30" s="66">
        <v>29</v>
      </c>
      <c r="B30" s="18" t="s">
        <v>2</v>
      </c>
      <c r="C30" s="18" t="s">
        <v>4</v>
      </c>
      <c r="D30" s="18" t="s">
        <v>74</v>
      </c>
      <c r="E30" s="29" t="s">
        <v>1022</v>
      </c>
      <c r="F30" s="29" t="s">
        <v>117</v>
      </c>
      <c r="G30" s="18">
        <v>0</v>
      </c>
      <c r="H30" s="18">
        <v>0</v>
      </c>
      <c r="I30" s="18" t="s">
        <v>9</v>
      </c>
      <c r="J30" s="18" t="s">
        <v>63</v>
      </c>
      <c r="K30" s="68">
        <v>0</v>
      </c>
      <c r="L30" s="18">
        <v>0</v>
      </c>
      <c r="N30" s="19">
        <v>45323</v>
      </c>
      <c r="O30" s="19">
        <v>45323</v>
      </c>
      <c r="P30" s="18">
        <f t="shared" si="0"/>
        <v>0</v>
      </c>
      <c r="Q30" s="30" t="s">
        <v>492</v>
      </c>
      <c r="T30" s="18">
        <f t="shared" si="1"/>
        <v>0</v>
      </c>
      <c r="X30" s="18" t="s">
        <v>53</v>
      </c>
      <c r="Y30" s="18" t="s">
        <v>51</v>
      </c>
      <c r="AA30" s="18">
        <v>0</v>
      </c>
      <c r="AB30" s="18">
        <v>0</v>
      </c>
      <c r="AC30" s="18">
        <v>0</v>
      </c>
      <c r="AD30" s="18" t="s">
        <v>65</v>
      </c>
      <c r="AE30" s="18">
        <v>0</v>
      </c>
      <c r="AF30" s="18">
        <f t="shared" si="2"/>
        <v>0</v>
      </c>
      <c r="AG30" s="18" t="str">
        <f t="shared" si="3"/>
        <v>LOW</v>
      </c>
    </row>
    <row r="31" spans="1:33" ht="43.2" x14ac:dyDescent="0.3">
      <c r="A31" s="66">
        <v>30</v>
      </c>
      <c r="B31" s="18" t="s">
        <v>2</v>
      </c>
      <c r="C31" s="18" t="s">
        <v>4</v>
      </c>
      <c r="D31" s="18" t="s">
        <v>74</v>
      </c>
      <c r="E31" s="29" t="s">
        <v>1023</v>
      </c>
      <c r="F31" s="29" t="s">
        <v>117</v>
      </c>
      <c r="G31" s="18">
        <v>0</v>
      </c>
      <c r="H31" s="18">
        <v>0</v>
      </c>
      <c r="I31" s="18" t="s">
        <v>9</v>
      </c>
      <c r="J31" s="18" t="s">
        <v>63</v>
      </c>
      <c r="K31" s="68">
        <v>0</v>
      </c>
      <c r="L31" s="18">
        <v>0</v>
      </c>
      <c r="N31" s="19">
        <v>45323</v>
      </c>
      <c r="O31" s="19">
        <v>45323</v>
      </c>
      <c r="P31" s="18">
        <f t="shared" si="0"/>
        <v>0</v>
      </c>
      <c r="Q31" s="30" t="s">
        <v>493</v>
      </c>
      <c r="T31" s="18">
        <f t="shared" si="1"/>
        <v>0</v>
      </c>
      <c r="X31" s="18" t="s">
        <v>53</v>
      </c>
      <c r="Y31" s="18" t="s">
        <v>51</v>
      </c>
      <c r="AA31" s="18">
        <v>0</v>
      </c>
      <c r="AB31" s="18">
        <v>0</v>
      </c>
      <c r="AC31" s="18">
        <v>0</v>
      </c>
      <c r="AD31" s="18" t="s">
        <v>65</v>
      </c>
      <c r="AE31" s="18">
        <v>0</v>
      </c>
      <c r="AF31" s="18">
        <f t="shared" si="2"/>
        <v>0</v>
      </c>
      <c r="AG31" s="18" t="str">
        <f t="shared" si="3"/>
        <v>LOW</v>
      </c>
    </row>
    <row r="32" spans="1:33" x14ac:dyDescent="0.3">
      <c r="A32" s="66">
        <v>31</v>
      </c>
      <c r="B32" s="18" t="s">
        <v>2</v>
      </c>
      <c r="C32" s="18" t="s">
        <v>4</v>
      </c>
      <c r="D32" s="18" t="s">
        <v>10</v>
      </c>
      <c r="E32" s="29" t="s">
        <v>1024</v>
      </c>
      <c r="F32" s="29" t="s">
        <v>117</v>
      </c>
      <c r="G32" s="18">
        <v>0</v>
      </c>
      <c r="H32" s="18">
        <v>0</v>
      </c>
      <c r="I32" s="18" t="s">
        <v>10</v>
      </c>
      <c r="J32" s="18" t="s">
        <v>10</v>
      </c>
      <c r="K32" s="68">
        <v>0</v>
      </c>
      <c r="L32" s="18">
        <v>0</v>
      </c>
      <c r="N32" s="19">
        <v>45323</v>
      </c>
      <c r="O32" s="19">
        <v>45323</v>
      </c>
      <c r="P32" s="18">
        <f t="shared" si="0"/>
        <v>0</v>
      </c>
      <c r="Q32" s="30" t="s">
        <v>494</v>
      </c>
      <c r="T32" s="18">
        <f t="shared" si="1"/>
        <v>0</v>
      </c>
      <c r="X32" s="18" t="s">
        <v>51</v>
      </c>
      <c r="Y32" s="18" t="s">
        <v>51</v>
      </c>
      <c r="AA32" s="18">
        <v>0</v>
      </c>
      <c r="AB32" s="18">
        <v>0</v>
      </c>
      <c r="AC32" s="18">
        <v>0</v>
      </c>
      <c r="AD32" s="18" t="s">
        <v>65</v>
      </c>
      <c r="AE32" s="18">
        <v>0</v>
      </c>
      <c r="AF32" s="18">
        <f t="shared" si="2"/>
        <v>0</v>
      </c>
      <c r="AG32" s="18" t="str">
        <f t="shared" si="3"/>
        <v>LOW</v>
      </c>
    </row>
    <row r="33" spans="1:33" x14ac:dyDescent="0.3">
      <c r="A33" s="66">
        <v>32</v>
      </c>
      <c r="B33" s="18" t="s">
        <v>1</v>
      </c>
      <c r="C33" s="18" t="s">
        <v>4</v>
      </c>
      <c r="D33" s="18" t="s">
        <v>10</v>
      </c>
      <c r="E33" s="29" t="s">
        <v>1025</v>
      </c>
      <c r="F33" s="29" t="s">
        <v>312</v>
      </c>
      <c r="G33" s="18">
        <v>0</v>
      </c>
      <c r="H33" s="18">
        <v>0</v>
      </c>
      <c r="I33" s="18" t="s">
        <v>10</v>
      </c>
      <c r="J33" s="18" t="s">
        <v>10</v>
      </c>
      <c r="K33" s="68">
        <v>0</v>
      </c>
      <c r="L33" s="18">
        <v>0</v>
      </c>
      <c r="M33" s="18">
        <v>3</v>
      </c>
      <c r="N33" s="19">
        <v>45323</v>
      </c>
      <c r="O33" s="19">
        <v>45323</v>
      </c>
      <c r="P33" s="18">
        <f t="shared" si="0"/>
        <v>0</v>
      </c>
      <c r="Q33" s="30" t="s">
        <v>495</v>
      </c>
      <c r="T33" s="18">
        <f t="shared" si="1"/>
        <v>0</v>
      </c>
      <c r="X33" s="18" t="s">
        <v>51</v>
      </c>
      <c r="Y33" s="18" t="s">
        <v>51</v>
      </c>
      <c r="AA33" s="18">
        <v>0</v>
      </c>
      <c r="AB33" s="18">
        <v>0</v>
      </c>
      <c r="AC33" s="18">
        <v>0</v>
      </c>
      <c r="AD33" s="18" t="s">
        <v>65</v>
      </c>
      <c r="AE33" s="18">
        <v>0</v>
      </c>
      <c r="AF33" s="18">
        <f t="shared" si="2"/>
        <v>0</v>
      </c>
      <c r="AG33" s="18" t="str">
        <f t="shared" si="3"/>
        <v>LOW</v>
      </c>
    </row>
    <row r="34" spans="1:33" ht="28.8" x14ac:dyDescent="0.3">
      <c r="A34" s="66">
        <v>33</v>
      </c>
      <c r="B34" s="18" t="s">
        <v>2</v>
      </c>
      <c r="C34" s="18" t="s">
        <v>4</v>
      </c>
      <c r="D34" s="18" t="s">
        <v>76</v>
      </c>
      <c r="E34" s="29" t="s">
        <v>1026</v>
      </c>
      <c r="F34" s="29" t="s">
        <v>117</v>
      </c>
      <c r="G34" s="18">
        <v>0</v>
      </c>
      <c r="H34" s="18">
        <v>0</v>
      </c>
      <c r="I34" s="18" t="s">
        <v>9</v>
      </c>
      <c r="J34" s="18" t="s">
        <v>63</v>
      </c>
      <c r="K34" s="68">
        <v>0</v>
      </c>
      <c r="L34" s="18">
        <v>0</v>
      </c>
      <c r="N34" s="19">
        <v>45323</v>
      </c>
      <c r="O34" s="19">
        <v>45323</v>
      </c>
      <c r="P34" s="18">
        <f t="shared" si="0"/>
        <v>0</v>
      </c>
      <c r="Q34" s="30" t="s">
        <v>496</v>
      </c>
      <c r="T34" s="18">
        <f t="shared" si="1"/>
        <v>0</v>
      </c>
      <c r="X34" s="18" t="s">
        <v>51</v>
      </c>
      <c r="Y34" s="18" t="s">
        <v>51</v>
      </c>
      <c r="AA34" s="18">
        <v>0</v>
      </c>
      <c r="AB34" s="18">
        <v>0</v>
      </c>
      <c r="AC34" s="18">
        <v>0</v>
      </c>
      <c r="AD34" s="18" t="s">
        <v>65</v>
      </c>
      <c r="AE34" s="18">
        <v>0</v>
      </c>
      <c r="AF34" s="18">
        <f t="shared" si="2"/>
        <v>0</v>
      </c>
      <c r="AG34" s="18" t="str">
        <f t="shared" si="3"/>
        <v>LOW</v>
      </c>
    </row>
    <row r="35" spans="1:33" ht="28.8" x14ac:dyDescent="0.3">
      <c r="A35" s="66">
        <v>34</v>
      </c>
      <c r="B35" s="18" t="s">
        <v>2</v>
      </c>
      <c r="C35" s="18" t="s">
        <v>4</v>
      </c>
      <c r="D35" s="18" t="s">
        <v>10</v>
      </c>
      <c r="E35" s="29" t="s">
        <v>1027</v>
      </c>
      <c r="F35" s="29" t="s">
        <v>117</v>
      </c>
      <c r="G35" s="18">
        <v>0</v>
      </c>
      <c r="H35" s="18">
        <v>0</v>
      </c>
      <c r="I35" s="18" t="s">
        <v>10</v>
      </c>
      <c r="J35" s="18" t="s">
        <v>10</v>
      </c>
      <c r="K35" s="68">
        <v>0</v>
      </c>
      <c r="L35" s="18">
        <v>0</v>
      </c>
      <c r="N35" s="19">
        <v>45323</v>
      </c>
      <c r="O35" s="19">
        <v>45330</v>
      </c>
      <c r="P35" s="18">
        <f t="shared" si="0"/>
        <v>7</v>
      </c>
      <c r="Q35" s="30" t="s">
        <v>497</v>
      </c>
      <c r="T35" s="18">
        <f t="shared" si="1"/>
        <v>7</v>
      </c>
      <c r="X35" s="18" t="s">
        <v>53</v>
      </c>
      <c r="Y35" s="18" t="s">
        <v>51</v>
      </c>
      <c r="AA35" s="18">
        <v>0</v>
      </c>
      <c r="AB35" s="18">
        <v>0</v>
      </c>
      <c r="AC35" s="18">
        <v>0</v>
      </c>
      <c r="AD35" s="18" t="s">
        <v>65</v>
      </c>
      <c r="AE35" s="18">
        <v>0</v>
      </c>
      <c r="AF35" s="18">
        <f t="shared" si="2"/>
        <v>0</v>
      </c>
      <c r="AG35" s="18" t="str">
        <f t="shared" si="3"/>
        <v>LOW</v>
      </c>
    </row>
    <row r="36" spans="1:33" x14ac:dyDescent="0.3">
      <c r="A36" s="66">
        <v>35</v>
      </c>
      <c r="B36" s="18" t="s">
        <v>2</v>
      </c>
      <c r="C36" s="18" t="s">
        <v>4</v>
      </c>
      <c r="D36" s="18" t="s">
        <v>74</v>
      </c>
      <c r="E36" s="29" t="s">
        <v>1028</v>
      </c>
      <c r="F36" s="29" t="s">
        <v>117</v>
      </c>
      <c r="G36" s="18">
        <v>0</v>
      </c>
      <c r="H36" s="18">
        <v>0</v>
      </c>
      <c r="I36" s="18" t="s">
        <v>9</v>
      </c>
      <c r="J36" s="18" t="s">
        <v>63</v>
      </c>
      <c r="K36" s="68">
        <v>0</v>
      </c>
      <c r="L36" s="18">
        <v>0</v>
      </c>
      <c r="N36" s="19">
        <v>45323</v>
      </c>
      <c r="O36" s="19">
        <v>45323</v>
      </c>
      <c r="P36" s="18">
        <f t="shared" si="0"/>
        <v>0</v>
      </c>
      <c r="Q36" s="30" t="s">
        <v>498</v>
      </c>
      <c r="T36" s="18">
        <f t="shared" si="1"/>
        <v>0</v>
      </c>
      <c r="X36" s="18" t="s">
        <v>53</v>
      </c>
      <c r="Y36" s="18" t="s">
        <v>51</v>
      </c>
      <c r="AA36" s="18">
        <v>0</v>
      </c>
      <c r="AB36" s="18">
        <v>0</v>
      </c>
      <c r="AC36" s="18">
        <v>0</v>
      </c>
      <c r="AD36" s="18" t="s">
        <v>65</v>
      </c>
      <c r="AE36" s="18">
        <v>0</v>
      </c>
      <c r="AF36" s="18">
        <f t="shared" si="2"/>
        <v>0</v>
      </c>
      <c r="AG36" s="18" t="str">
        <f t="shared" si="3"/>
        <v>LOW</v>
      </c>
    </row>
    <row r="37" spans="1:33" x14ac:dyDescent="0.3">
      <c r="A37" s="66">
        <v>36</v>
      </c>
      <c r="B37" s="18" t="s">
        <v>2</v>
      </c>
      <c r="C37" s="18" t="s">
        <v>4</v>
      </c>
      <c r="D37" s="18" t="s">
        <v>76</v>
      </c>
      <c r="E37" s="29" t="s">
        <v>1029</v>
      </c>
      <c r="F37" s="29" t="s">
        <v>117</v>
      </c>
      <c r="G37" s="18">
        <v>0</v>
      </c>
      <c r="H37" s="18">
        <v>0</v>
      </c>
      <c r="I37" s="18" t="s">
        <v>9</v>
      </c>
      <c r="J37" s="18" t="s">
        <v>63</v>
      </c>
      <c r="K37" s="68">
        <v>0</v>
      </c>
      <c r="L37" s="18">
        <v>0</v>
      </c>
      <c r="N37" s="19">
        <v>45323</v>
      </c>
      <c r="O37" s="19">
        <v>45323</v>
      </c>
      <c r="P37" s="18">
        <f t="shared" si="0"/>
        <v>0</v>
      </c>
      <c r="Q37" s="30" t="s">
        <v>499</v>
      </c>
      <c r="T37" s="18">
        <f t="shared" si="1"/>
        <v>0</v>
      </c>
      <c r="X37" s="18" t="s">
        <v>53</v>
      </c>
      <c r="Y37" s="18" t="s">
        <v>51</v>
      </c>
      <c r="AA37" s="18">
        <v>0</v>
      </c>
      <c r="AB37" s="18">
        <v>0</v>
      </c>
      <c r="AC37" s="18">
        <v>0</v>
      </c>
      <c r="AD37" s="18" t="s">
        <v>65</v>
      </c>
      <c r="AE37" s="18">
        <v>0</v>
      </c>
      <c r="AF37" s="18">
        <f t="shared" si="2"/>
        <v>0</v>
      </c>
      <c r="AG37" s="18" t="str">
        <f t="shared" si="3"/>
        <v>LOW</v>
      </c>
    </row>
    <row r="38" spans="1:33" ht="28.8" x14ac:dyDescent="0.3">
      <c r="A38" s="66">
        <v>37</v>
      </c>
      <c r="B38" s="18" t="s">
        <v>2</v>
      </c>
      <c r="C38" s="18" t="s">
        <v>4</v>
      </c>
      <c r="D38" s="18" t="s">
        <v>74</v>
      </c>
      <c r="E38" s="29" t="s">
        <v>1030</v>
      </c>
      <c r="F38" s="29" t="s">
        <v>117</v>
      </c>
      <c r="G38" s="18">
        <v>0</v>
      </c>
      <c r="H38" s="18">
        <v>0</v>
      </c>
      <c r="I38" s="18" t="s">
        <v>9</v>
      </c>
      <c r="J38" s="18" t="s">
        <v>63</v>
      </c>
      <c r="K38" s="68">
        <v>0</v>
      </c>
      <c r="L38" s="18">
        <v>0</v>
      </c>
      <c r="N38" s="19">
        <v>45323</v>
      </c>
      <c r="O38" s="19">
        <v>45323</v>
      </c>
      <c r="P38" s="18">
        <f t="shared" si="0"/>
        <v>0</v>
      </c>
      <c r="Q38" s="30" t="s">
        <v>500</v>
      </c>
      <c r="T38" s="18">
        <f t="shared" si="1"/>
        <v>0</v>
      </c>
      <c r="X38" s="18" t="s">
        <v>53</v>
      </c>
      <c r="Y38" s="18" t="s">
        <v>51</v>
      </c>
      <c r="AA38" s="18">
        <v>0</v>
      </c>
      <c r="AB38" s="18">
        <v>0</v>
      </c>
      <c r="AC38" s="18">
        <v>0</v>
      </c>
      <c r="AD38" s="18" t="s">
        <v>65</v>
      </c>
      <c r="AE38" s="18">
        <v>0</v>
      </c>
      <c r="AF38" s="18">
        <f t="shared" si="2"/>
        <v>0</v>
      </c>
      <c r="AG38" s="18" t="str">
        <f t="shared" si="3"/>
        <v>LOW</v>
      </c>
    </row>
    <row r="39" spans="1:33" x14ac:dyDescent="0.3">
      <c r="A39" s="66">
        <v>38</v>
      </c>
      <c r="B39" s="18" t="s">
        <v>2</v>
      </c>
      <c r="C39" s="18" t="s">
        <v>4</v>
      </c>
      <c r="D39" s="18" t="s">
        <v>74</v>
      </c>
      <c r="E39" s="29" t="s">
        <v>1031</v>
      </c>
      <c r="F39" s="29" t="s">
        <v>117</v>
      </c>
      <c r="G39" s="18">
        <v>0</v>
      </c>
      <c r="H39" s="18">
        <v>0</v>
      </c>
      <c r="I39" s="18" t="s">
        <v>9</v>
      </c>
      <c r="J39" s="18" t="s">
        <v>63</v>
      </c>
      <c r="K39" s="68">
        <v>0</v>
      </c>
      <c r="L39" s="18">
        <v>0</v>
      </c>
      <c r="N39" s="19">
        <v>45323</v>
      </c>
      <c r="O39" s="19">
        <v>45323</v>
      </c>
      <c r="P39" s="18">
        <f t="shared" si="0"/>
        <v>0</v>
      </c>
      <c r="Q39" s="30" t="s">
        <v>501</v>
      </c>
      <c r="T39" s="18">
        <f t="shared" si="1"/>
        <v>0</v>
      </c>
      <c r="X39" s="18" t="s">
        <v>53</v>
      </c>
      <c r="Y39" s="18" t="s">
        <v>51</v>
      </c>
      <c r="AA39" s="18">
        <v>0</v>
      </c>
      <c r="AB39" s="18">
        <v>0</v>
      </c>
      <c r="AC39" s="18">
        <v>0</v>
      </c>
      <c r="AD39" s="18" t="s">
        <v>65</v>
      </c>
      <c r="AE39" s="18">
        <v>0</v>
      </c>
      <c r="AF39" s="18">
        <f t="shared" si="2"/>
        <v>0</v>
      </c>
      <c r="AG39" s="18" t="str">
        <f t="shared" si="3"/>
        <v>LOW</v>
      </c>
    </row>
    <row r="40" spans="1:33" x14ac:dyDescent="0.3">
      <c r="A40" s="66">
        <v>39</v>
      </c>
      <c r="B40" s="18" t="s">
        <v>2</v>
      </c>
      <c r="C40" s="18" t="s">
        <v>4</v>
      </c>
      <c r="D40" s="18" t="s">
        <v>10</v>
      </c>
      <c r="E40" s="29" t="s">
        <v>1032</v>
      </c>
      <c r="F40" s="29" t="s">
        <v>117</v>
      </c>
      <c r="G40" s="18">
        <v>0</v>
      </c>
      <c r="H40" s="18">
        <v>0</v>
      </c>
      <c r="I40" s="18" t="s">
        <v>10</v>
      </c>
      <c r="J40" s="18" t="s">
        <v>10</v>
      </c>
      <c r="K40" s="68">
        <v>0</v>
      </c>
      <c r="L40" s="18">
        <v>0</v>
      </c>
      <c r="N40" s="19">
        <v>45324</v>
      </c>
      <c r="O40" s="19">
        <v>45324</v>
      </c>
      <c r="P40" s="18">
        <f t="shared" si="0"/>
        <v>0</v>
      </c>
      <c r="Q40" s="30" t="s">
        <v>502</v>
      </c>
      <c r="T40" s="18">
        <f t="shared" si="1"/>
        <v>0</v>
      </c>
      <c r="X40" s="18" t="s">
        <v>53</v>
      </c>
      <c r="Y40" s="18" t="s">
        <v>51</v>
      </c>
      <c r="AA40" s="18">
        <v>0</v>
      </c>
      <c r="AB40" s="18">
        <v>0</v>
      </c>
      <c r="AC40" s="18">
        <v>0</v>
      </c>
      <c r="AD40" s="18" t="s">
        <v>65</v>
      </c>
      <c r="AE40" s="18">
        <v>0</v>
      </c>
      <c r="AF40" s="18">
        <f t="shared" si="2"/>
        <v>0</v>
      </c>
      <c r="AG40" s="18" t="str">
        <f t="shared" si="3"/>
        <v>LOW</v>
      </c>
    </row>
    <row r="41" spans="1:33" ht="28.8" x14ac:dyDescent="0.3">
      <c r="A41" s="66">
        <v>40</v>
      </c>
      <c r="B41" s="18" t="s">
        <v>1</v>
      </c>
      <c r="C41" s="18" t="s">
        <v>4</v>
      </c>
      <c r="D41" s="18" t="s">
        <v>76</v>
      </c>
      <c r="E41" s="29" t="s">
        <v>1033</v>
      </c>
      <c r="F41" s="29" t="s">
        <v>117</v>
      </c>
      <c r="G41" s="18">
        <v>0</v>
      </c>
      <c r="H41" s="18">
        <v>0</v>
      </c>
      <c r="I41" s="18" t="s">
        <v>9</v>
      </c>
      <c r="J41" s="18" t="s">
        <v>63</v>
      </c>
      <c r="K41" s="68">
        <v>0</v>
      </c>
      <c r="L41" s="18">
        <v>0</v>
      </c>
      <c r="N41" s="19">
        <v>45324</v>
      </c>
      <c r="O41" s="19">
        <v>45330</v>
      </c>
      <c r="P41" s="18">
        <f t="shared" si="0"/>
        <v>6</v>
      </c>
      <c r="Q41" s="30" t="s">
        <v>503</v>
      </c>
      <c r="T41" s="18">
        <f t="shared" si="1"/>
        <v>6</v>
      </c>
      <c r="X41" s="18" t="s">
        <v>53</v>
      </c>
      <c r="Y41" s="18" t="s">
        <v>51</v>
      </c>
      <c r="AA41" s="18">
        <v>0</v>
      </c>
      <c r="AB41" s="18">
        <v>0</v>
      </c>
      <c r="AC41" s="18">
        <v>0</v>
      </c>
      <c r="AD41" s="18" t="s">
        <v>65</v>
      </c>
      <c r="AE41" s="18">
        <v>0</v>
      </c>
      <c r="AF41" s="18">
        <f t="shared" si="2"/>
        <v>0</v>
      </c>
      <c r="AG41" s="18" t="str">
        <f t="shared" si="3"/>
        <v>LOW</v>
      </c>
    </row>
    <row r="42" spans="1:33" x14ac:dyDescent="0.3">
      <c r="A42" s="66">
        <v>41</v>
      </c>
      <c r="B42" s="18" t="s">
        <v>2</v>
      </c>
      <c r="C42" s="18" t="s">
        <v>4</v>
      </c>
      <c r="D42" s="18" t="s">
        <v>72</v>
      </c>
      <c r="E42" s="29" t="s">
        <v>1034</v>
      </c>
      <c r="F42" s="29" t="s">
        <v>117</v>
      </c>
      <c r="G42" s="18">
        <v>0</v>
      </c>
      <c r="H42" s="18">
        <v>0</v>
      </c>
      <c r="I42" s="18" t="s">
        <v>9</v>
      </c>
      <c r="J42" s="18" t="s">
        <v>63</v>
      </c>
      <c r="K42" s="68">
        <v>0</v>
      </c>
      <c r="L42" s="18">
        <v>0</v>
      </c>
      <c r="N42" s="19">
        <v>45327</v>
      </c>
      <c r="O42" s="19">
        <v>45327</v>
      </c>
      <c r="P42" s="18">
        <f t="shared" si="0"/>
        <v>0</v>
      </c>
      <c r="Q42" s="30" t="s">
        <v>504</v>
      </c>
      <c r="S42" s="19">
        <v>45349</v>
      </c>
      <c r="T42" s="18">
        <f t="shared" si="1"/>
        <v>0</v>
      </c>
      <c r="X42" s="18" t="s">
        <v>53</v>
      </c>
      <c r="Y42" s="18" t="s">
        <v>51</v>
      </c>
      <c r="AA42" s="18">
        <v>0</v>
      </c>
      <c r="AB42" s="18">
        <v>0</v>
      </c>
      <c r="AC42" s="18">
        <v>0</v>
      </c>
      <c r="AD42" s="18" t="s">
        <v>65</v>
      </c>
      <c r="AE42" s="18">
        <v>0</v>
      </c>
      <c r="AF42" s="18">
        <f t="shared" si="2"/>
        <v>0</v>
      </c>
      <c r="AG42" s="18" t="str">
        <f t="shared" si="3"/>
        <v>LOW</v>
      </c>
    </row>
    <row r="43" spans="1:33" x14ac:dyDescent="0.3">
      <c r="A43" s="66">
        <v>42</v>
      </c>
      <c r="B43" s="18" t="s">
        <v>2</v>
      </c>
      <c r="C43" s="18" t="s">
        <v>6</v>
      </c>
      <c r="D43" s="18" t="s">
        <v>76</v>
      </c>
      <c r="E43" s="29" t="s">
        <v>1035</v>
      </c>
      <c r="F43" s="29" t="s">
        <v>117</v>
      </c>
      <c r="G43" s="18">
        <v>0</v>
      </c>
      <c r="H43" s="18">
        <v>0</v>
      </c>
      <c r="I43" s="18" t="s">
        <v>9</v>
      </c>
      <c r="J43" s="18" t="s">
        <v>63</v>
      </c>
      <c r="K43" s="68">
        <v>0</v>
      </c>
      <c r="L43" s="18">
        <v>0</v>
      </c>
      <c r="N43" s="19">
        <v>45323</v>
      </c>
      <c r="O43" s="19">
        <v>45323</v>
      </c>
      <c r="P43" s="18">
        <f t="shared" si="0"/>
        <v>0</v>
      </c>
      <c r="Q43" s="30" t="s">
        <v>505</v>
      </c>
      <c r="T43" s="18">
        <f t="shared" si="1"/>
        <v>0</v>
      </c>
      <c r="X43" s="18" t="s">
        <v>51</v>
      </c>
      <c r="Y43" s="18" t="s">
        <v>51</v>
      </c>
      <c r="AA43" s="18">
        <v>0</v>
      </c>
      <c r="AB43" s="18">
        <v>0</v>
      </c>
      <c r="AC43" s="18">
        <v>0</v>
      </c>
      <c r="AD43" s="18" t="s">
        <v>65</v>
      </c>
      <c r="AE43" s="18">
        <v>0</v>
      </c>
      <c r="AF43" s="18">
        <f t="shared" si="2"/>
        <v>0</v>
      </c>
      <c r="AG43" s="18" t="str">
        <f t="shared" si="3"/>
        <v>LOW</v>
      </c>
    </row>
    <row r="44" spans="1:33" x14ac:dyDescent="0.3">
      <c r="A44" s="66">
        <v>43</v>
      </c>
      <c r="B44" s="18" t="s">
        <v>2</v>
      </c>
      <c r="C44" s="18" t="s">
        <v>6</v>
      </c>
      <c r="D44" s="18" t="s">
        <v>77</v>
      </c>
      <c r="E44" s="29" t="s">
        <v>1036</v>
      </c>
      <c r="F44" s="29" t="s">
        <v>117</v>
      </c>
      <c r="G44" s="18">
        <v>0</v>
      </c>
      <c r="H44" s="18">
        <v>0</v>
      </c>
      <c r="I44" s="18" t="s">
        <v>9</v>
      </c>
      <c r="J44" s="18" t="s">
        <v>63</v>
      </c>
      <c r="K44" s="68">
        <v>0</v>
      </c>
      <c r="L44" s="18">
        <v>0</v>
      </c>
      <c r="N44" s="19">
        <v>45323</v>
      </c>
      <c r="O44" s="19">
        <v>45323</v>
      </c>
      <c r="P44" s="18">
        <f t="shared" si="0"/>
        <v>0</v>
      </c>
      <c r="Q44" s="30" t="s">
        <v>506</v>
      </c>
      <c r="T44" s="18">
        <f t="shared" si="1"/>
        <v>0</v>
      </c>
      <c r="X44" s="18" t="s">
        <v>51</v>
      </c>
      <c r="Y44" s="18" t="s">
        <v>51</v>
      </c>
      <c r="AA44" s="18">
        <v>0</v>
      </c>
      <c r="AB44" s="18">
        <v>0</v>
      </c>
      <c r="AC44" s="18">
        <v>0</v>
      </c>
      <c r="AD44" s="18" t="s">
        <v>65</v>
      </c>
      <c r="AE44" s="18">
        <v>0</v>
      </c>
      <c r="AF44" s="18">
        <f t="shared" si="2"/>
        <v>0</v>
      </c>
      <c r="AG44" s="18" t="str">
        <f t="shared" si="3"/>
        <v>LOW</v>
      </c>
    </row>
    <row r="45" spans="1:33" ht="28.8" x14ac:dyDescent="0.3">
      <c r="A45" s="66">
        <v>44</v>
      </c>
      <c r="B45" s="18" t="s">
        <v>2</v>
      </c>
      <c r="C45" s="18" t="s">
        <v>6</v>
      </c>
      <c r="D45" s="18" t="s">
        <v>74</v>
      </c>
      <c r="E45" s="29" t="s">
        <v>1037</v>
      </c>
      <c r="F45" s="29" t="s">
        <v>117</v>
      </c>
      <c r="G45" s="18">
        <v>0</v>
      </c>
      <c r="H45" s="18">
        <v>0</v>
      </c>
      <c r="I45" s="18" t="s">
        <v>9</v>
      </c>
      <c r="J45" s="18" t="s">
        <v>63</v>
      </c>
      <c r="K45" s="68">
        <v>0</v>
      </c>
      <c r="L45" s="18">
        <v>0</v>
      </c>
      <c r="N45" s="19">
        <v>45323</v>
      </c>
      <c r="O45" s="19">
        <v>45323</v>
      </c>
      <c r="P45" s="18">
        <f t="shared" si="0"/>
        <v>0</v>
      </c>
      <c r="Q45" s="30" t="s">
        <v>507</v>
      </c>
      <c r="T45" s="18">
        <f t="shared" si="1"/>
        <v>0</v>
      </c>
      <c r="X45" s="18" t="s">
        <v>51</v>
      </c>
      <c r="Y45" s="18" t="s">
        <v>51</v>
      </c>
      <c r="AA45" s="18">
        <v>0</v>
      </c>
      <c r="AB45" s="18">
        <v>0</v>
      </c>
      <c r="AC45" s="18">
        <v>0</v>
      </c>
      <c r="AD45" s="18" t="s">
        <v>65</v>
      </c>
      <c r="AE45" s="18">
        <v>0</v>
      </c>
      <c r="AF45" s="18">
        <f t="shared" si="2"/>
        <v>0</v>
      </c>
      <c r="AG45" s="18" t="str">
        <f t="shared" si="3"/>
        <v>LOW</v>
      </c>
    </row>
    <row r="46" spans="1:33" ht="28.8" x14ac:dyDescent="0.3">
      <c r="A46" s="66">
        <v>45</v>
      </c>
      <c r="B46" s="18" t="s">
        <v>2</v>
      </c>
      <c r="C46" s="18" t="s">
        <v>6</v>
      </c>
      <c r="D46" s="18" t="s">
        <v>74</v>
      </c>
      <c r="E46" s="29" t="s">
        <v>1038</v>
      </c>
      <c r="F46" s="29" t="s">
        <v>117</v>
      </c>
      <c r="G46" s="18">
        <v>0</v>
      </c>
      <c r="H46" s="18">
        <v>0</v>
      </c>
      <c r="I46" s="18" t="s">
        <v>9</v>
      </c>
      <c r="J46" s="18" t="s">
        <v>63</v>
      </c>
      <c r="K46" s="68">
        <v>0</v>
      </c>
      <c r="L46" s="18">
        <v>0</v>
      </c>
      <c r="N46" s="19">
        <v>45323</v>
      </c>
      <c r="O46" s="19">
        <v>45323</v>
      </c>
      <c r="P46" s="18">
        <f t="shared" si="0"/>
        <v>0</v>
      </c>
      <c r="Q46" s="30" t="s">
        <v>508</v>
      </c>
      <c r="T46" s="18">
        <f t="shared" si="1"/>
        <v>0</v>
      </c>
      <c r="X46" s="18" t="s">
        <v>51</v>
      </c>
      <c r="Y46" s="18" t="s">
        <v>51</v>
      </c>
      <c r="AA46" s="18">
        <v>0</v>
      </c>
      <c r="AB46" s="18">
        <v>0</v>
      </c>
      <c r="AC46" s="18">
        <v>0</v>
      </c>
      <c r="AD46" s="18" t="s">
        <v>65</v>
      </c>
      <c r="AE46" s="18">
        <v>0</v>
      </c>
      <c r="AF46" s="18">
        <f t="shared" si="2"/>
        <v>0</v>
      </c>
      <c r="AG46" s="18" t="str">
        <f t="shared" si="3"/>
        <v>LOW</v>
      </c>
    </row>
    <row r="47" spans="1:33" ht="28.8" x14ac:dyDescent="0.3">
      <c r="A47" s="66">
        <v>46</v>
      </c>
      <c r="B47" s="18" t="s">
        <v>2</v>
      </c>
      <c r="C47" s="18" t="s">
        <v>6</v>
      </c>
      <c r="D47" s="18" t="s">
        <v>74</v>
      </c>
      <c r="E47" s="29" t="s">
        <v>1039</v>
      </c>
      <c r="F47" s="29" t="s">
        <v>117</v>
      </c>
      <c r="G47" s="18">
        <v>0</v>
      </c>
      <c r="H47" s="18">
        <v>0</v>
      </c>
      <c r="I47" s="18" t="s">
        <v>9</v>
      </c>
      <c r="J47" s="18" t="s">
        <v>63</v>
      </c>
      <c r="K47" s="68">
        <v>0</v>
      </c>
      <c r="L47" s="18">
        <v>0</v>
      </c>
      <c r="N47" s="19">
        <v>45323</v>
      </c>
      <c r="O47" s="19">
        <v>45323</v>
      </c>
      <c r="P47" s="18">
        <f t="shared" si="0"/>
        <v>0</v>
      </c>
      <c r="Q47" s="30" t="s">
        <v>509</v>
      </c>
      <c r="T47" s="18">
        <f t="shared" si="1"/>
        <v>0</v>
      </c>
      <c r="X47" s="18" t="s">
        <v>51</v>
      </c>
      <c r="Y47" s="18" t="s">
        <v>51</v>
      </c>
      <c r="AA47" s="18">
        <v>0</v>
      </c>
      <c r="AB47" s="18">
        <v>0</v>
      </c>
      <c r="AC47" s="18">
        <v>0</v>
      </c>
      <c r="AD47" s="18" t="s">
        <v>65</v>
      </c>
      <c r="AE47" s="18">
        <v>0</v>
      </c>
      <c r="AF47" s="18">
        <f t="shared" si="2"/>
        <v>0</v>
      </c>
      <c r="AG47" s="18" t="str">
        <f t="shared" si="3"/>
        <v>LOW</v>
      </c>
    </row>
    <row r="48" spans="1:33" ht="28.8" x14ac:dyDescent="0.3">
      <c r="A48" s="66">
        <v>47</v>
      </c>
      <c r="B48" s="18" t="s">
        <v>2</v>
      </c>
      <c r="C48" s="18" t="s">
        <v>6</v>
      </c>
      <c r="D48" s="18" t="s">
        <v>60</v>
      </c>
      <c r="E48" s="29" t="s">
        <v>1040</v>
      </c>
      <c r="F48" s="29" t="s">
        <v>117</v>
      </c>
      <c r="G48" s="18">
        <v>0</v>
      </c>
      <c r="H48" s="18">
        <v>0</v>
      </c>
      <c r="I48" s="18" t="s">
        <v>9</v>
      </c>
      <c r="J48" s="18" t="s">
        <v>63</v>
      </c>
      <c r="K48" s="68">
        <v>0</v>
      </c>
      <c r="L48" s="18">
        <v>0</v>
      </c>
      <c r="N48" s="19">
        <v>45323</v>
      </c>
      <c r="O48" s="19">
        <v>45323</v>
      </c>
      <c r="P48" s="18">
        <f t="shared" si="0"/>
        <v>0</v>
      </c>
      <c r="Q48" s="30" t="s">
        <v>510</v>
      </c>
      <c r="T48" s="18">
        <f t="shared" si="1"/>
        <v>0</v>
      </c>
      <c r="X48" s="18" t="s">
        <v>51</v>
      </c>
      <c r="Y48" s="18" t="s">
        <v>51</v>
      </c>
      <c r="AA48" s="18">
        <v>0</v>
      </c>
      <c r="AB48" s="18">
        <v>0</v>
      </c>
      <c r="AC48" s="18">
        <v>0</v>
      </c>
      <c r="AD48" s="18" t="s">
        <v>65</v>
      </c>
      <c r="AE48" s="18">
        <v>0</v>
      </c>
      <c r="AF48" s="18">
        <f t="shared" si="2"/>
        <v>0</v>
      </c>
      <c r="AG48" s="18" t="str">
        <f t="shared" si="3"/>
        <v>LOW</v>
      </c>
    </row>
    <row r="49" spans="1:33" ht="28.8" x14ac:dyDescent="0.3">
      <c r="A49" s="66">
        <v>48</v>
      </c>
      <c r="B49" s="18" t="s">
        <v>2</v>
      </c>
      <c r="C49" s="18" t="s">
        <v>6</v>
      </c>
      <c r="D49" s="18" t="s">
        <v>74</v>
      </c>
      <c r="E49" s="29" t="s">
        <v>1041</v>
      </c>
      <c r="F49" s="29" t="s">
        <v>117</v>
      </c>
      <c r="G49" s="18">
        <v>0</v>
      </c>
      <c r="H49" s="18">
        <v>0</v>
      </c>
      <c r="I49" s="18" t="s">
        <v>9</v>
      </c>
      <c r="J49" s="18" t="s">
        <v>63</v>
      </c>
      <c r="K49" s="68">
        <v>0</v>
      </c>
      <c r="L49" s="18">
        <v>0</v>
      </c>
      <c r="N49" s="19">
        <v>45323</v>
      </c>
      <c r="O49" s="19">
        <v>45323</v>
      </c>
      <c r="P49" s="18">
        <f t="shared" si="0"/>
        <v>0</v>
      </c>
      <c r="Q49" s="30" t="s">
        <v>511</v>
      </c>
      <c r="T49" s="18">
        <f t="shared" si="1"/>
        <v>0</v>
      </c>
      <c r="X49" s="18" t="s">
        <v>51</v>
      </c>
      <c r="Y49" s="18" t="s">
        <v>51</v>
      </c>
      <c r="AA49" s="18">
        <v>0</v>
      </c>
      <c r="AB49" s="18">
        <v>0</v>
      </c>
      <c r="AC49" s="18">
        <v>0</v>
      </c>
      <c r="AD49" s="18" t="s">
        <v>65</v>
      </c>
      <c r="AE49" s="18">
        <v>0</v>
      </c>
      <c r="AF49" s="18">
        <f t="shared" si="2"/>
        <v>0</v>
      </c>
      <c r="AG49" s="18" t="str">
        <f t="shared" si="3"/>
        <v>LOW</v>
      </c>
    </row>
    <row r="50" spans="1:33" x14ac:dyDescent="0.3">
      <c r="A50" s="66">
        <v>49</v>
      </c>
      <c r="B50" s="18" t="s">
        <v>2</v>
      </c>
      <c r="C50" s="18" t="s">
        <v>6</v>
      </c>
      <c r="D50" s="18" t="s">
        <v>74</v>
      </c>
      <c r="E50" s="29" t="s">
        <v>1042</v>
      </c>
      <c r="F50" s="29" t="s">
        <v>117</v>
      </c>
      <c r="G50" s="18">
        <v>0</v>
      </c>
      <c r="H50" s="18">
        <v>0</v>
      </c>
      <c r="I50" s="18" t="s">
        <v>9</v>
      </c>
      <c r="J50" s="18" t="s">
        <v>63</v>
      </c>
      <c r="K50" s="68">
        <v>0</v>
      </c>
      <c r="L50" s="18">
        <v>0</v>
      </c>
      <c r="N50" s="19">
        <v>45323</v>
      </c>
      <c r="O50" s="19">
        <v>45323</v>
      </c>
      <c r="P50" s="18">
        <f t="shared" si="0"/>
        <v>0</v>
      </c>
      <c r="Q50" s="30" t="s">
        <v>512</v>
      </c>
      <c r="T50" s="18">
        <f t="shared" si="1"/>
        <v>0</v>
      </c>
      <c r="X50" s="18" t="s">
        <v>51</v>
      </c>
      <c r="Y50" s="18" t="s">
        <v>51</v>
      </c>
      <c r="AA50" s="18">
        <v>0</v>
      </c>
      <c r="AB50" s="18">
        <v>0</v>
      </c>
      <c r="AC50" s="18">
        <v>0</v>
      </c>
      <c r="AD50" s="18" t="s">
        <v>65</v>
      </c>
      <c r="AE50" s="18">
        <v>0</v>
      </c>
      <c r="AF50" s="18">
        <f t="shared" si="2"/>
        <v>0</v>
      </c>
      <c r="AG50" s="18" t="str">
        <f t="shared" si="3"/>
        <v>LOW</v>
      </c>
    </row>
    <row r="51" spans="1:33" x14ac:dyDescent="0.3">
      <c r="A51" s="66">
        <v>50</v>
      </c>
      <c r="B51" s="18" t="s">
        <v>2</v>
      </c>
      <c r="C51" s="18" t="s">
        <v>6</v>
      </c>
      <c r="D51" s="18" t="s">
        <v>74</v>
      </c>
      <c r="E51" s="29" t="s">
        <v>1043</v>
      </c>
      <c r="F51" s="29" t="s">
        <v>117</v>
      </c>
      <c r="G51" s="18">
        <v>0</v>
      </c>
      <c r="H51" s="18">
        <v>0</v>
      </c>
      <c r="I51" s="18" t="s">
        <v>9</v>
      </c>
      <c r="J51" s="18" t="s">
        <v>63</v>
      </c>
      <c r="K51" s="68">
        <v>0</v>
      </c>
      <c r="L51" s="18">
        <v>0</v>
      </c>
      <c r="N51" s="19">
        <v>45323</v>
      </c>
      <c r="O51" s="19">
        <v>45323</v>
      </c>
      <c r="P51" s="18">
        <f t="shared" si="0"/>
        <v>0</v>
      </c>
      <c r="Q51" s="30" t="s">
        <v>513</v>
      </c>
      <c r="T51" s="18">
        <f t="shared" si="1"/>
        <v>0</v>
      </c>
      <c r="X51" s="18" t="s">
        <v>51</v>
      </c>
      <c r="Y51" s="18" t="s">
        <v>51</v>
      </c>
      <c r="AA51" s="18">
        <v>0</v>
      </c>
      <c r="AB51" s="18">
        <v>0</v>
      </c>
      <c r="AC51" s="18">
        <v>0</v>
      </c>
      <c r="AD51" s="18" t="s">
        <v>65</v>
      </c>
      <c r="AE51" s="18">
        <v>0</v>
      </c>
      <c r="AF51" s="18">
        <f t="shared" si="2"/>
        <v>0</v>
      </c>
      <c r="AG51" s="18" t="str">
        <f t="shared" si="3"/>
        <v>LOW</v>
      </c>
    </row>
    <row r="52" spans="1:33" x14ac:dyDescent="0.3">
      <c r="A52" s="66">
        <v>51</v>
      </c>
      <c r="B52" s="18" t="s">
        <v>2</v>
      </c>
      <c r="C52" s="18" t="s">
        <v>6</v>
      </c>
      <c r="D52" s="18" t="s">
        <v>74</v>
      </c>
      <c r="E52" s="29" t="s">
        <v>1044</v>
      </c>
      <c r="F52" s="29" t="s">
        <v>117</v>
      </c>
      <c r="G52" s="18">
        <v>0</v>
      </c>
      <c r="H52" s="18">
        <v>0</v>
      </c>
      <c r="I52" s="18" t="s">
        <v>9</v>
      </c>
      <c r="J52" s="18" t="s">
        <v>63</v>
      </c>
      <c r="K52" s="68">
        <v>0</v>
      </c>
      <c r="L52" s="18">
        <v>0</v>
      </c>
      <c r="N52" s="19">
        <v>45327</v>
      </c>
      <c r="O52" s="19">
        <v>45327</v>
      </c>
      <c r="P52" s="18">
        <f t="shared" si="0"/>
        <v>0</v>
      </c>
      <c r="Q52" s="30" t="s">
        <v>514</v>
      </c>
      <c r="T52" s="18">
        <f t="shared" si="1"/>
        <v>0</v>
      </c>
      <c r="X52" s="18" t="s">
        <v>51</v>
      </c>
      <c r="Y52" s="18" t="s">
        <v>51</v>
      </c>
      <c r="AA52" s="18">
        <v>0</v>
      </c>
      <c r="AB52" s="18">
        <v>0</v>
      </c>
      <c r="AC52" s="18">
        <v>0</v>
      </c>
      <c r="AD52" s="18" t="s">
        <v>65</v>
      </c>
      <c r="AE52" s="18">
        <v>0</v>
      </c>
      <c r="AF52" s="18">
        <f t="shared" si="2"/>
        <v>0</v>
      </c>
      <c r="AG52" s="18" t="str">
        <f t="shared" si="3"/>
        <v>LOW</v>
      </c>
    </row>
    <row r="53" spans="1:33" ht="28.8" x14ac:dyDescent="0.3">
      <c r="A53" s="66">
        <v>52</v>
      </c>
      <c r="B53" s="18" t="s">
        <v>2</v>
      </c>
      <c r="C53" s="18" t="s">
        <v>6</v>
      </c>
      <c r="D53" s="18" t="s">
        <v>74</v>
      </c>
      <c r="E53" s="29" t="s">
        <v>1045</v>
      </c>
      <c r="F53" s="29" t="s">
        <v>117</v>
      </c>
      <c r="G53" s="18">
        <v>0</v>
      </c>
      <c r="H53" s="18">
        <v>0</v>
      </c>
      <c r="I53" s="18" t="s">
        <v>9</v>
      </c>
      <c r="J53" s="18" t="s">
        <v>63</v>
      </c>
      <c r="K53" s="68">
        <v>0</v>
      </c>
      <c r="L53" s="18">
        <v>0</v>
      </c>
      <c r="N53" s="19">
        <v>45327</v>
      </c>
      <c r="O53" s="19">
        <v>45327</v>
      </c>
      <c r="P53" s="18">
        <f t="shared" si="0"/>
        <v>0</v>
      </c>
      <c r="Q53" s="30" t="s">
        <v>515</v>
      </c>
      <c r="T53" s="18">
        <f t="shared" si="1"/>
        <v>0</v>
      </c>
      <c r="X53" s="18" t="s">
        <v>51</v>
      </c>
      <c r="Y53" s="18" t="s">
        <v>51</v>
      </c>
      <c r="AA53" s="18">
        <v>0</v>
      </c>
      <c r="AB53" s="18">
        <v>0</v>
      </c>
      <c r="AC53" s="18">
        <v>0</v>
      </c>
      <c r="AD53" s="18" t="s">
        <v>65</v>
      </c>
      <c r="AE53" s="18">
        <v>0</v>
      </c>
      <c r="AF53" s="18">
        <f t="shared" si="2"/>
        <v>0</v>
      </c>
      <c r="AG53" s="18" t="str">
        <f t="shared" si="3"/>
        <v>LOW</v>
      </c>
    </row>
    <row r="54" spans="1:33" x14ac:dyDescent="0.3">
      <c r="A54" s="66">
        <v>53</v>
      </c>
      <c r="B54" s="18" t="s">
        <v>2</v>
      </c>
      <c r="C54" s="18" t="s">
        <v>6</v>
      </c>
      <c r="D54" s="18" t="s">
        <v>71</v>
      </c>
      <c r="E54" s="29" t="s">
        <v>1124</v>
      </c>
      <c r="F54" s="29" t="s">
        <v>117</v>
      </c>
      <c r="G54" s="18">
        <v>0</v>
      </c>
      <c r="H54" s="18">
        <v>0</v>
      </c>
      <c r="I54" s="18" t="s">
        <v>9</v>
      </c>
      <c r="J54" s="18" t="s">
        <v>63</v>
      </c>
      <c r="K54" s="68">
        <v>0</v>
      </c>
      <c r="L54" s="18">
        <v>0</v>
      </c>
      <c r="N54" s="19">
        <v>45327</v>
      </c>
      <c r="O54" s="19">
        <v>45327</v>
      </c>
      <c r="P54" s="18">
        <f t="shared" si="0"/>
        <v>0</v>
      </c>
      <c r="Q54" s="30" t="s">
        <v>516</v>
      </c>
      <c r="T54" s="18">
        <f t="shared" si="1"/>
        <v>0</v>
      </c>
      <c r="X54" s="18" t="s">
        <v>51</v>
      </c>
      <c r="Y54" s="18" t="s">
        <v>51</v>
      </c>
      <c r="AA54" s="18">
        <v>0</v>
      </c>
      <c r="AB54" s="18">
        <v>0</v>
      </c>
      <c r="AC54" s="18">
        <v>0</v>
      </c>
      <c r="AD54" s="18" t="s">
        <v>65</v>
      </c>
      <c r="AE54" s="18">
        <v>0</v>
      </c>
      <c r="AF54" s="18">
        <f t="shared" si="2"/>
        <v>0</v>
      </c>
      <c r="AG54" s="18" t="str">
        <f t="shared" si="3"/>
        <v>LOW</v>
      </c>
    </row>
    <row r="55" spans="1:33" x14ac:dyDescent="0.3">
      <c r="A55" s="66">
        <v>54</v>
      </c>
      <c r="B55" s="18" t="s">
        <v>2</v>
      </c>
      <c r="C55" s="18" t="s">
        <v>6</v>
      </c>
      <c r="D55" s="18" t="s">
        <v>74</v>
      </c>
      <c r="E55" s="29" t="s">
        <v>1046</v>
      </c>
      <c r="F55" s="29" t="s">
        <v>117</v>
      </c>
      <c r="G55" s="18">
        <v>0</v>
      </c>
      <c r="H55" s="18">
        <v>0</v>
      </c>
      <c r="I55" s="18" t="s">
        <v>9</v>
      </c>
      <c r="J55" s="18" t="s">
        <v>63</v>
      </c>
      <c r="K55" s="68">
        <v>0</v>
      </c>
      <c r="L55" s="18">
        <v>0</v>
      </c>
      <c r="N55" s="19">
        <v>45327</v>
      </c>
      <c r="O55" s="19">
        <v>45327</v>
      </c>
      <c r="P55" s="18">
        <f t="shared" si="0"/>
        <v>0</v>
      </c>
      <c r="Q55" s="30" t="s">
        <v>517</v>
      </c>
      <c r="T55" s="18">
        <f t="shared" si="1"/>
        <v>0</v>
      </c>
      <c r="X55" s="18" t="s">
        <v>51</v>
      </c>
      <c r="Y55" s="18" t="s">
        <v>51</v>
      </c>
      <c r="AA55" s="18">
        <v>0</v>
      </c>
      <c r="AB55" s="18">
        <v>0</v>
      </c>
      <c r="AC55" s="18">
        <v>0</v>
      </c>
      <c r="AD55" s="18" t="s">
        <v>65</v>
      </c>
      <c r="AE55" s="18">
        <v>0</v>
      </c>
      <c r="AF55" s="18">
        <f t="shared" si="2"/>
        <v>0</v>
      </c>
      <c r="AG55" s="18" t="str">
        <f t="shared" si="3"/>
        <v>LOW</v>
      </c>
    </row>
    <row r="56" spans="1:33" x14ac:dyDescent="0.3">
      <c r="A56" s="66">
        <v>55</v>
      </c>
      <c r="B56" s="18" t="s">
        <v>2</v>
      </c>
      <c r="C56" s="18" t="s">
        <v>6</v>
      </c>
      <c r="D56" s="18" t="s">
        <v>71</v>
      </c>
      <c r="E56" s="29" t="s">
        <v>1125</v>
      </c>
      <c r="F56" s="29" t="s">
        <v>117</v>
      </c>
      <c r="G56" s="18">
        <v>0</v>
      </c>
      <c r="H56" s="18">
        <v>0</v>
      </c>
      <c r="I56" s="18" t="s">
        <v>9</v>
      </c>
      <c r="J56" s="18" t="s">
        <v>452</v>
      </c>
      <c r="K56" s="68">
        <v>0</v>
      </c>
      <c r="L56" s="18">
        <v>0</v>
      </c>
      <c r="N56" s="19">
        <v>45328</v>
      </c>
      <c r="O56" s="19">
        <v>45328</v>
      </c>
      <c r="P56" s="18">
        <f t="shared" si="0"/>
        <v>0</v>
      </c>
      <c r="Q56" s="30" t="s">
        <v>518</v>
      </c>
      <c r="T56" s="18">
        <f t="shared" si="1"/>
        <v>0</v>
      </c>
      <c r="X56" s="18" t="s">
        <v>51</v>
      </c>
      <c r="Y56" s="18" t="s">
        <v>51</v>
      </c>
      <c r="AA56" s="18">
        <v>0</v>
      </c>
      <c r="AB56" s="18">
        <v>0</v>
      </c>
      <c r="AC56" s="18">
        <v>0</v>
      </c>
      <c r="AD56" s="18" t="s">
        <v>65</v>
      </c>
      <c r="AE56" s="18">
        <v>0</v>
      </c>
      <c r="AF56" s="18">
        <f t="shared" si="2"/>
        <v>0</v>
      </c>
      <c r="AG56" s="18" t="str">
        <f t="shared" si="3"/>
        <v>LOW</v>
      </c>
    </row>
    <row r="57" spans="1:33" x14ac:dyDescent="0.3">
      <c r="A57" s="66">
        <v>56</v>
      </c>
      <c r="B57" s="18" t="s">
        <v>2</v>
      </c>
      <c r="C57" s="18" t="s">
        <v>6</v>
      </c>
      <c r="D57" s="18" t="s">
        <v>74</v>
      </c>
      <c r="E57" s="29" t="s">
        <v>1047</v>
      </c>
      <c r="F57" s="29" t="s">
        <v>117</v>
      </c>
      <c r="G57" s="18">
        <v>0</v>
      </c>
      <c r="H57" s="18">
        <v>0</v>
      </c>
      <c r="I57" s="18" t="s">
        <v>9</v>
      </c>
      <c r="J57" s="18" t="s">
        <v>63</v>
      </c>
      <c r="K57" s="68">
        <v>0</v>
      </c>
      <c r="L57" s="18">
        <v>0</v>
      </c>
      <c r="N57" s="19">
        <v>45328</v>
      </c>
      <c r="O57" s="19">
        <v>45328</v>
      </c>
      <c r="P57" s="18">
        <f t="shared" si="0"/>
        <v>0</v>
      </c>
      <c r="Q57" s="30" t="s">
        <v>519</v>
      </c>
      <c r="T57" s="18">
        <f t="shared" si="1"/>
        <v>0</v>
      </c>
      <c r="X57" s="18" t="s">
        <v>51</v>
      </c>
      <c r="Y57" s="18" t="s">
        <v>51</v>
      </c>
      <c r="AA57" s="18">
        <v>0</v>
      </c>
      <c r="AB57" s="18">
        <v>0</v>
      </c>
      <c r="AC57" s="18">
        <v>0</v>
      </c>
      <c r="AD57" s="18" t="s">
        <v>65</v>
      </c>
      <c r="AE57" s="18">
        <v>0</v>
      </c>
      <c r="AF57" s="18">
        <f t="shared" si="2"/>
        <v>0</v>
      </c>
      <c r="AG57" s="18" t="str">
        <f t="shared" si="3"/>
        <v>LOW</v>
      </c>
    </row>
    <row r="58" spans="1:33" ht="28.8" x14ac:dyDescent="0.3">
      <c r="A58" s="66">
        <v>57</v>
      </c>
      <c r="B58" s="18" t="s">
        <v>2</v>
      </c>
      <c r="C58" s="18" t="s">
        <v>6</v>
      </c>
      <c r="D58" s="18" t="s">
        <v>74</v>
      </c>
      <c r="E58" s="29" t="s">
        <v>1048</v>
      </c>
      <c r="F58" s="29" t="s">
        <v>117</v>
      </c>
      <c r="G58" s="18">
        <v>0</v>
      </c>
      <c r="H58" s="18">
        <v>0</v>
      </c>
      <c r="I58" s="18" t="s">
        <v>9</v>
      </c>
      <c r="J58" s="18" t="s">
        <v>63</v>
      </c>
      <c r="K58" s="68">
        <v>0</v>
      </c>
      <c r="L58" s="18">
        <v>0</v>
      </c>
      <c r="N58" s="19">
        <v>45328</v>
      </c>
      <c r="O58" s="19">
        <v>45328</v>
      </c>
      <c r="P58" s="18">
        <f t="shared" si="0"/>
        <v>0</v>
      </c>
      <c r="Q58" s="30" t="s">
        <v>520</v>
      </c>
      <c r="T58" s="18">
        <f t="shared" si="1"/>
        <v>0</v>
      </c>
      <c r="X58" s="18" t="s">
        <v>51</v>
      </c>
      <c r="Y58" s="18" t="s">
        <v>51</v>
      </c>
      <c r="AA58" s="18">
        <v>0</v>
      </c>
      <c r="AB58" s="18">
        <v>0</v>
      </c>
      <c r="AC58" s="18">
        <v>0</v>
      </c>
      <c r="AD58" s="18" t="s">
        <v>65</v>
      </c>
      <c r="AE58" s="18">
        <v>0</v>
      </c>
      <c r="AF58" s="18">
        <f t="shared" si="2"/>
        <v>0</v>
      </c>
      <c r="AG58" s="18" t="str">
        <f t="shared" si="3"/>
        <v>LOW</v>
      </c>
    </row>
    <row r="59" spans="1:33" x14ac:dyDescent="0.3">
      <c r="A59" s="66">
        <v>58</v>
      </c>
      <c r="B59" s="18" t="s">
        <v>2</v>
      </c>
      <c r="C59" s="18" t="s">
        <v>6</v>
      </c>
      <c r="D59" s="18" t="s">
        <v>74</v>
      </c>
      <c r="E59" s="29" t="s">
        <v>1049</v>
      </c>
      <c r="F59" s="29" t="s">
        <v>117</v>
      </c>
      <c r="G59" s="18">
        <v>0</v>
      </c>
      <c r="H59" s="18">
        <v>0</v>
      </c>
      <c r="I59" s="18" t="s">
        <v>9</v>
      </c>
      <c r="J59" s="18" t="s">
        <v>63</v>
      </c>
      <c r="K59" s="68">
        <v>0</v>
      </c>
      <c r="L59" s="18">
        <v>0</v>
      </c>
      <c r="N59" s="19">
        <v>45328</v>
      </c>
      <c r="O59" s="19">
        <v>45328</v>
      </c>
      <c r="P59" s="18">
        <f t="shared" si="0"/>
        <v>0</v>
      </c>
      <c r="Q59" s="30" t="s">
        <v>521</v>
      </c>
      <c r="T59" s="18">
        <f t="shared" si="1"/>
        <v>0</v>
      </c>
      <c r="X59" s="18" t="s">
        <v>51</v>
      </c>
      <c r="Y59" s="18" t="s">
        <v>51</v>
      </c>
      <c r="AA59" s="18">
        <v>0</v>
      </c>
      <c r="AB59" s="18">
        <v>0</v>
      </c>
      <c r="AC59" s="18">
        <v>0</v>
      </c>
      <c r="AD59" s="18" t="s">
        <v>65</v>
      </c>
      <c r="AE59" s="18">
        <v>0</v>
      </c>
      <c r="AF59" s="18">
        <f t="shared" si="2"/>
        <v>0</v>
      </c>
      <c r="AG59" s="18" t="str">
        <f t="shared" si="3"/>
        <v>LOW</v>
      </c>
    </row>
    <row r="60" spans="1:33" ht="28.8" x14ac:dyDescent="0.3">
      <c r="A60" s="66">
        <v>59</v>
      </c>
      <c r="B60" s="18" t="s">
        <v>2</v>
      </c>
      <c r="C60" s="18" t="s">
        <v>6</v>
      </c>
      <c r="D60" s="18" t="s">
        <v>74</v>
      </c>
      <c r="E60" s="29" t="s">
        <v>1050</v>
      </c>
      <c r="F60" s="29" t="s">
        <v>117</v>
      </c>
      <c r="G60" s="18">
        <v>0</v>
      </c>
      <c r="H60" s="18">
        <v>0</v>
      </c>
      <c r="I60" s="18" t="s">
        <v>9</v>
      </c>
      <c r="J60" s="18" t="s">
        <v>63</v>
      </c>
      <c r="K60" s="68">
        <v>0</v>
      </c>
      <c r="L60" s="18">
        <v>0</v>
      </c>
      <c r="N60" s="19">
        <v>45328</v>
      </c>
      <c r="O60" s="19">
        <v>45328</v>
      </c>
      <c r="P60" s="18">
        <f t="shared" si="0"/>
        <v>0</v>
      </c>
      <c r="Q60" s="30" t="s">
        <v>522</v>
      </c>
      <c r="T60" s="18">
        <f t="shared" si="1"/>
        <v>0</v>
      </c>
      <c r="X60" s="18" t="s">
        <v>51</v>
      </c>
      <c r="Y60" s="18" t="s">
        <v>51</v>
      </c>
      <c r="AA60" s="18">
        <v>0</v>
      </c>
      <c r="AB60" s="18">
        <v>0</v>
      </c>
      <c r="AC60" s="18">
        <v>0</v>
      </c>
      <c r="AD60" s="18" t="s">
        <v>65</v>
      </c>
      <c r="AE60" s="18">
        <v>0</v>
      </c>
      <c r="AF60" s="18">
        <f t="shared" si="2"/>
        <v>0</v>
      </c>
      <c r="AG60" s="18" t="str">
        <f t="shared" si="3"/>
        <v>LOW</v>
      </c>
    </row>
    <row r="61" spans="1:33" x14ac:dyDescent="0.3">
      <c r="A61" s="66">
        <v>60</v>
      </c>
      <c r="B61" s="18" t="s">
        <v>2</v>
      </c>
      <c r="C61" s="18" t="s">
        <v>6</v>
      </c>
      <c r="D61" s="18" t="s">
        <v>74</v>
      </c>
      <c r="E61" s="29" t="s">
        <v>1051</v>
      </c>
      <c r="F61" s="29" t="s">
        <v>117</v>
      </c>
      <c r="G61" s="18">
        <v>0</v>
      </c>
      <c r="H61" s="18">
        <v>0</v>
      </c>
      <c r="I61" s="18" t="s">
        <v>9</v>
      </c>
      <c r="J61" s="18" t="s">
        <v>63</v>
      </c>
      <c r="K61" s="68">
        <v>0</v>
      </c>
      <c r="L61" s="18">
        <v>0</v>
      </c>
      <c r="N61" s="19">
        <v>45328</v>
      </c>
      <c r="O61" s="19">
        <v>45328</v>
      </c>
      <c r="P61" s="18">
        <f t="shared" si="0"/>
        <v>0</v>
      </c>
      <c r="Q61" s="30" t="s">
        <v>523</v>
      </c>
      <c r="T61" s="18">
        <f t="shared" si="1"/>
        <v>0</v>
      </c>
      <c r="X61" s="18" t="s">
        <v>51</v>
      </c>
      <c r="Y61" s="18" t="s">
        <v>51</v>
      </c>
      <c r="AA61" s="18">
        <v>0</v>
      </c>
      <c r="AB61" s="18">
        <v>0</v>
      </c>
      <c r="AC61" s="18">
        <v>0</v>
      </c>
      <c r="AD61" s="18" t="s">
        <v>65</v>
      </c>
      <c r="AE61" s="18">
        <v>0</v>
      </c>
      <c r="AF61" s="18">
        <f t="shared" si="2"/>
        <v>0</v>
      </c>
      <c r="AG61" s="18" t="str">
        <f t="shared" si="3"/>
        <v>LOW</v>
      </c>
    </row>
    <row r="62" spans="1:33" ht="28.8" x14ac:dyDescent="0.3">
      <c r="A62" s="66">
        <v>61</v>
      </c>
      <c r="B62" s="18" t="s">
        <v>2</v>
      </c>
      <c r="C62" s="18" t="s">
        <v>6</v>
      </c>
      <c r="D62" s="18" t="s">
        <v>74</v>
      </c>
      <c r="E62" s="29" t="s">
        <v>1052</v>
      </c>
      <c r="F62" s="29" t="s">
        <v>117</v>
      </c>
      <c r="G62" s="18">
        <v>0</v>
      </c>
      <c r="H62" s="18">
        <v>0</v>
      </c>
      <c r="I62" s="18" t="s">
        <v>9</v>
      </c>
      <c r="J62" s="18" t="s">
        <v>63</v>
      </c>
      <c r="K62" s="68">
        <v>0</v>
      </c>
      <c r="L62" s="18">
        <v>0</v>
      </c>
      <c r="N62" s="19">
        <v>45328</v>
      </c>
      <c r="O62" s="19">
        <v>45328</v>
      </c>
      <c r="P62" s="18">
        <f t="shared" si="0"/>
        <v>0</v>
      </c>
      <c r="Q62" s="30" t="s">
        <v>524</v>
      </c>
      <c r="T62" s="18">
        <f t="shared" si="1"/>
        <v>0</v>
      </c>
      <c r="X62" s="18" t="s">
        <v>51</v>
      </c>
      <c r="Y62" s="18" t="s">
        <v>51</v>
      </c>
      <c r="AA62" s="18">
        <v>0</v>
      </c>
      <c r="AB62" s="18">
        <v>0</v>
      </c>
      <c r="AC62" s="18">
        <v>0</v>
      </c>
      <c r="AD62" s="18" t="s">
        <v>65</v>
      </c>
      <c r="AE62" s="18">
        <v>0</v>
      </c>
      <c r="AF62" s="18">
        <f t="shared" si="2"/>
        <v>0</v>
      </c>
      <c r="AG62" s="18" t="str">
        <f t="shared" si="3"/>
        <v>LOW</v>
      </c>
    </row>
    <row r="63" spans="1:33" x14ac:dyDescent="0.3">
      <c r="A63" s="66">
        <v>62</v>
      </c>
      <c r="B63" s="18" t="s">
        <v>2</v>
      </c>
      <c r="C63" s="18" t="s">
        <v>6</v>
      </c>
      <c r="D63" s="18" t="s">
        <v>74</v>
      </c>
      <c r="E63" s="29" t="s">
        <v>1053</v>
      </c>
      <c r="F63" s="29" t="s">
        <v>117</v>
      </c>
      <c r="G63" s="18">
        <v>0</v>
      </c>
      <c r="H63" s="18">
        <v>0</v>
      </c>
      <c r="I63" s="18" t="s">
        <v>9</v>
      </c>
      <c r="J63" s="18" t="s">
        <v>63</v>
      </c>
      <c r="K63" s="68">
        <v>0</v>
      </c>
      <c r="L63" s="18">
        <v>0</v>
      </c>
      <c r="N63" s="19">
        <v>45328</v>
      </c>
      <c r="O63" s="19">
        <v>45328</v>
      </c>
      <c r="P63" s="18">
        <f t="shared" si="0"/>
        <v>0</v>
      </c>
      <c r="Q63" s="30" t="s">
        <v>519</v>
      </c>
      <c r="T63" s="18">
        <f t="shared" si="1"/>
        <v>0</v>
      </c>
      <c r="X63" s="18" t="s">
        <v>51</v>
      </c>
      <c r="Y63" s="18" t="s">
        <v>51</v>
      </c>
      <c r="AA63" s="18">
        <v>0</v>
      </c>
      <c r="AB63" s="18">
        <v>0</v>
      </c>
      <c r="AC63" s="18">
        <v>0</v>
      </c>
      <c r="AD63" s="18" t="s">
        <v>65</v>
      </c>
      <c r="AE63" s="18">
        <v>0</v>
      </c>
      <c r="AF63" s="18">
        <f t="shared" si="2"/>
        <v>0</v>
      </c>
      <c r="AG63" s="18" t="str">
        <f t="shared" si="3"/>
        <v>LOW</v>
      </c>
    </row>
    <row r="64" spans="1:33" ht="28.8" x14ac:dyDescent="0.3">
      <c r="A64" s="66">
        <v>63</v>
      </c>
      <c r="B64" s="18" t="s">
        <v>2</v>
      </c>
      <c r="C64" s="18" t="s">
        <v>6</v>
      </c>
      <c r="D64" s="18" t="s">
        <v>74</v>
      </c>
      <c r="E64" s="29" t="s">
        <v>1054</v>
      </c>
      <c r="F64" s="29" t="s">
        <v>117</v>
      </c>
      <c r="G64" s="18">
        <v>0</v>
      </c>
      <c r="H64" s="18">
        <v>0</v>
      </c>
      <c r="I64" s="18" t="s">
        <v>9</v>
      </c>
      <c r="J64" s="18" t="s">
        <v>63</v>
      </c>
      <c r="K64" s="68">
        <v>0</v>
      </c>
      <c r="L64" s="18">
        <v>0</v>
      </c>
      <c r="N64" s="19">
        <v>45328</v>
      </c>
      <c r="O64" s="19">
        <v>45328</v>
      </c>
      <c r="P64" s="18">
        <f t="shared" si="0"/>
        <v>0</v>
      </c>
      <c r="Q64" s="30" t="s">
        <v>525</v>
      </c>
      <c r="T64" s="18">
        <f t="shared" si="1"/>
        <v>0</v>
      </c>
      <c r="X64" s="18" t="s">
        <v>51</v>
      </c>
      <c r="Y64" s="18" t="s">
        <v>51</v>
      </c>
      <c r="AA64" s="18">
        <v>0</v>
      </c>
      <c r="AB64" s="18">
        <v>0</v>
      </c>
      <c r="AC64" s="18">
        <v>0</v>
      </c>
      <c r="AD64" s="18" t="s">
        <v>65</v>
      </c>
      <c r="AE64" s="18">
        <v>0</v>
      </c>
      <c r="AF64" s="18">
        <f t="shared" si="2"/>
        <v>0</v>
      </c>
      <c r="AG64" s="18" t="str">
        <f t="shared" si="3"/>
        <v>LOW</v>
      </c>
    </row>
    <row r="65" spans="1:33" x14ac:dyDescent="0.3">
      <c r="A65" s="66">
        <v>64</v>
      </c>
      <c r="B65" s="18" t="s">
        <v>2</v>
      </c>
      <c r="C65" s="18" t="s">
        <v>6</v>
      </c>
      <c r="D65" s="18" t="s">
        <v>74</v>
      </c>
      <c r="E65" s="29" t="s">
        <v>1055</v>
      </c>
      <c r="F65" s="29" t="s">
        <v>117</v>
      </c>
      <c r="G65" s="18">
        <v>0</v>
      </c>
      <c r="H65" s="18">
        <v>0</v>
      </c>
      <c r="I65" s="18" t="s">
        <v>9</v>
      </c>
      <c r="J65" s="18" t="s">
        <v>63</v>
      </c>
      <c r="K65" s="68">
        <v>0</v>
      </c>
      <c r="L65" s="18">
        <v>0</v>
      </c>
      <c r="N65" s="19">
        <v>45329</v>
      </c>
      <c r="O65" s="19">
        <v>45329</v>
      </c>
      <c r="P65" s="18">
        <f t="shared" si="0"/>
        <v>0</v>
      </c>
      <c r="Q65" s="30" t="s">
        <v>526</v>
      </c>
      <c r="T65" s="18">
        <f t="shared" si="1"/>
        <v>0</v>
      </c>
      <c r="X65" s="18" t="s">
        <v>51</v>
      </c>
      <c r="Y65" s="18" t="s">
        <v>51</v>
      </c>
      <c r="AA65" s="18">
        <v>0</v>
      </c>
      <c r="AB65" s="18">
        <v>0</v>
      </c>
      <c r="AC65" s="18">
        <v>0</v>
      </c>
      <c r="AD65" s="18" t="s">
        <v>65</v>
      </c>
      <c r="AE65" s="18">
        <v>0</v>
      </c>
      <c r="AF65" s="18">
        <f t="shared" si="2"/>
        <v>0</v>
      </c>
      <c r="AG65" s="18" t="str">
        <f t="shared" si="3"/>
        <v>LOW</v>
      </c>
    </row>
    <row r="66" spans="1:33" x14ac:dyDescent="0.3">
      <c r="A66" s="66">
        <v>65</v>
      </c>
      <c r="B66" s="18" t="s">
        <v>2</v>
      </c>
      <c r="C66" s="18" t="s">
        <v>6</v>
      </c>
      <c r="D66" s="18" t="s">
        <v>78</v>
      </c>
      <c r="E66" s="29" t="s">
        <v>1056</v>
      </c>
      <c r="F66" s="29" t="s">
        <v>117</v>
      </c>
      <c r="G66" s="18">
        <v>0</v>
      </c>
      <c r="H66" s="18">
        <v>0</v>
      </c>
      <c r="I66" s="18" t="s">
        <v>9</v>
      </c>
      <c r="J66" s="18" t="s">
        <v>63</v>
      </c>
      <c r="K66" s="68">
        <v>0</v>
      </c>
      <c r="L66" s="18">
        <v>0</v>
      </c>
      <c r="N66" s="19">
        <v>45329</v>
      </c>
      <c r="O66" s="19">
        <v>45329</v>
      </c>
      <c r="P66" s="18">
        <f t="shared" ref="P66:P129" si="4">$O66-$N66</f>
        <v>0</v>
      </c>
      <c r="Q66" s="30" t="s">
        <v>527</v>
      </c>
      <c r="T66" s="18">
        <f t="shared" ref="T66:T129" si="5">IF(AND(O66&lt;&gt; "",N66&lt;&gt;""),O66-N66,"")</f>
        <v>0</v>
      </c>
      <c r="X66" s="18" t="s">
        <v>51</v>
      </c>
      <c r="Y66" s="18" t="s">
        <v>51</v>
      </c>
      <c r="AA66" s="18">
        <v>0</v>
      </c>
      <c r="AB66" s="18">
        <v>0</v>
      </c>
      <c r="AC66" s="18">
        <v>0</v>
      </c>
      <c r="AD66" s="18" t="s">
        <v>65</v>
      </c>
      <c r="AE66" s="18">
        <v>0</v>
      </c>
      <c r="AF66" s="18">
        <f t="shared" ref="AF66:AF129" si="6">SUM($G66,$H66,$L66,$AA66,$AB66,$AC66,$AE66)</f>
        <v>0</v>
      </c>
      <c r="AG66" s="18" t="str">
        <f t="shared" ref="AG66:AG129" si="7">IF(AF66&lt;=15,"LOW",IF(AF66&gt;=31,"HIGH","MIDIUM"))</f>
        <v>LOW</v>
      </c>
    </row>
    <row r="67" spans="1:33" ht="28.8" x14ac:dyDescent="0.3">
      <c r="A67" s="66">
        <v>66</v>
      </c>
      <c r="B67" s="18" t="s">
        <v>2</v>
      </c>
      <c r="C67" s="18" t="s">
        <v>6</v>
      </c>
      <c r="D67" s="18" t="s">
        <v>71</v>
      </c>
      <c r="E67" s="29" t="s">
        <v>1057</v>
      </c>
      <c r="F67" s="29" t="s">
        <v>117</v>
      </c>
      <c r="G67" s="18">
        <v>0</v>
      </c>
      <c r="H67" s="18">
        <v>0</v>
      </c>
      <c r="I67" s="18" t="s">
        <v>9</v>
      </c>
      <c r="J67" s="18" t="s">
        <v>452</v>
      </c>
      <c r="K67" s="68">
        <v>0</v>
      </c>
      <c r="L67" s="18">
        <v>0</v>
      </c>
      <c r="N67" s="19">
        <v>45329</v>
      </c>
      <c r="O67" s="19">
        <v>45329</v>
      </c>
      <c r="P67" s="18">
        <f t="shared" si="4"/>
        <v>0</v>
      </c>
      <c r="Q67" s="30" t="s">
        <v>528</v>
      </c>
      <c r="T67" s="18">
        <f t="shared" si="5"/>
        <v>0</v>
      </c>
      <c r="X67" s="18" t="s">
        <v>51</v>
      </c>
      <c r="Y67" s="18" t="s">
        <v>51</v>
      </c>
      <c r="AA67" s="18">
        <v>0</v>
      </c>
      <c r="AB67" s="18">
        <v>0</v>
      </c>
      <c r="AC67" s="18">
        <v>0</v>
      </c>
      <c r="AD67" s="18" t="s">
        <v>65</v>
      </c>
      <c r="AE67" s="18">
        <v>0</v>
      </c>
      <c r="AF67" s="18">
        <f t="shared" si="6"/>
        <v>0</v>
      </c>
      <c r="AG67" s="18" t="str">
        <f t="shared" si="7"/>
        <v>LOW</v>
      </c>
    </row>
    <row r="68" spans="1:33" ht="28.8" x14ac:dyDescent="0.3">
      <c r="A68" s="66">
        <v>67</v>
      </c>
      <c r="B68" s="18" t="s">
        <v>2</v>
      </c>
      <c r="C68" s="18" t="s">
        <v>6</v>
      </c>
      <c r="D68" s="18" t="s">
        <v>74</v>
      </c>
      <c r="E68" s="29" t="s">
        <v>1058</v>
      </c>
      <c r="F68" s="29" t="s">
        <v>117</v>
      </c>
      <c r="G68" s="18">
        <v>0</v>
      </c>
      <c r="H68" s="18">
        <v>0</v>
      </c>
      <c r="I68" s="18" t="s">
        <v>9</v>
      </c>
      <c r="J68" s="18" t="s">
        <v>63</v>
      </c>
      <c r="K68" s="68">
        <v>0</v>
      </c>
      <c r="L68" s="18">
        <v>0</v>
      </c>
      <c r="N68" s="19">
        <v>45329</v>
      </c>
      <c r="O68" s="19">
        <v>45329</v>
      </c>
      <c r="P68" s="18">
        <f t="shared" si="4"/>
        <v>0</v>
      </c>
      <c r="Q68" s="30" t="s">
        <v>529</v>
      </c>
      <c r="T68" s="18">
        <f t="shared" si="5"/>
        <v>0</v>
      </c>
      <c r="X68" s="18" t="s">
        <v>51</v>
      </c>
      <c r="Y68" s="18" t="s">
        <v>51</v>
      </c>
      <c r="AA68" s="18">
        <v>0</v>
      </c>
      <c r="AB68" s="18">
        <v>0</v>
      </c>
      <c r="AC68" s="18">
        <v>0</v>
      </c>
      <c r="AD68" s="18" t="s">
        <v>65</v>
      </c>
      <c r="AE68" s="18">
        <v>0</v>
      </c>
      <c r="AF68" s="18">
        <f t="shared" si="6"/>
        <v>0</v>
      </c>
      <c r="AG68" s="18" t="str">
        <f t="shared" si="7"/>
        <v>LOW</v>
      </c>
    </row>
    <row r="69" spans="1:33" ht="28.8" x14ac:dyDescent="0.3">
      <c r="A69" s="66">
        <v>68</v>
      </c>
      <c r="B69" s="18" t="s">
        <v>2</v>
      </c>
      <c r="C69" s="18" t="s">
        <v>6</v>
      </c>
      <c r="D69" s="18" t="s">
        <v>74</v>
      </c>
      <c r="E69" s="29" t="s">
        <v>1059</v>
      </c>
      <c r="F69" s="29" t="s">
        <v>117</v>
      </c>
      <c r="G69" s="18">
        <v>0</v>
      </c>
      <c r="H69" s="18">
        <v>0</v>
      </c>
      <c r="I69" s="18" t="s">
        <v>9</v>
      </c>
      <c r="J69" s="18" t="s">
        <v>63</v>
      </c>
      <c r="K69" s="68">
        <v>0</v>
      </c>
      <c r="L69" s="18">
        <v>0</v>
      </c>
      <c r="N69" s="19">
        <v>45329</v>
      </c>
      <c r="O69" s="19">
        <v>45329</v>
      </c>
      <c r="P69" s="18">
        <f t="shared" si="4"/>
        <v>0</v>
      </c>
      <c r="Q69" s="30" t="s">
        <v>530</v>
      </c>
      <c r="T69" s="18">
        <f t="shared" si="5"/>
        <v>0</v>
      </c>
      <c r="X69" s="18" t="s">
        <v>51</v>
      </c>
      <c r="Y69" s="18" t="s">
        <v>51</v>
      </c>
      <c r="AA69" s="18">
        <v>0</v>
      </c>
      <c r="AB69" s="18">
        <v>0</v>
      </c>
      <c r="AC69" s="18">
        <v>0</v>
      </c>
      <c r="AD69" s="18" t="s">
        <v>65</v>
      </c>
      <c r="AE69" s="18">
        <v>0</v>
      </c>
      <c r="AF69" s="18">
        <f t="shared" si="6"/>
        <v>0</v>
      </c>
      <c r="AG69" s="18" t="str">
        <f t="shared" si="7"/>
        <v>LOW</v>
      </c>
    </row>
    <row r="70" spans="1:33" x14ac:dyDescent="0.3">
      <c r="A70" s="66">
        <v>69</v>
      </c>
      <c r="B70" s="18" t="s">
        <v>2</v>
      </c>
      <c r="C70" s="18" t="s">
        <v>6</v>
      </c>
      <c r="D70" s="18" t="s">
        <v>74</v>
      </c>
      <c r="E70" s="29" t="s">
        <v>1060</v>
      </c>
      <c r="F70" s="29" t="s">
        <v>117</v>
      </c>
      <c r="G70" s="18">
        <v>0</v>
      </c>
      <c r="H70" s="18">
        <v>0</v>
      </c>
      <c r="I70" s="18" t="s">
        <v>9</v>
      </c>
      <c r="J70" s="18" t="s">
        <v>63</v>
      </c>
      <c r="K70" s="68">
        <v>0</v>
      </c>
      <c r="L70" s="18">
        <v>0</v>
      </c>
      <c r="N70" s="19">
        <v>45329</v>
      </c>
      <c r="O70" s="19">
        <v>45329</v>
      </c>
      <c r="P70" s="18">
        <f t="shared" si="4"/>
        <v>0</v>
      </c>
      <c r="Q70" s="30" t="s">
        <v>531</v>
      </c>
      <c r="T70" s="18">
        <f t="shared" si="5"/>
        <v>0</v>
      </c>
      <c r="X70" s="18" t="s">
        <v>51</v>
      </c>
      <c r="Y70" s="18" t="s">
        <v>51</v>
      </c>
      <c r="AA70" s="18">
        <v>0</v>
      </c>
      <c r="AB70" s="18">
        <v>0</v>
      </c>
      <c r="AC70" s="18">
        <v>0</v>
      </c>
      <c r="AD70" s="18" t="s">
        <v>65</v>
      </c>
      <c r="AE70" s="18">
        <v>0</v>
      </c>
      <c r="AF70" s="18">
        <f t="shared" si="6"/>
        <v>0</v>
      </c>
      <c r="AG70" s="18" t="str">
        <f t="shared" si="7"/>
        <v>LOW</v>
      </c>
    </row>
    <row r="71" spans="1:33" ht="28.8" x14ac:dyDescent="0.3">
      <c r="A71" s="66">
        <v>70</v>
      </c>
      <c r="B71" s="18" t="s">
        <v>2</v>
      </c>
      <c r="C71" s="18" t="s">
        <v>6</v>
      </c>
      <c r="D71" s="18" t="s">
        <v>74</v>
      </c>
      <c r="E71" s="29" t="s">
        <v>1061</v>
      </c>
      <c r="F71" s="29" t="s">
        <v>117</v>
      </c>
      <c r="G71" s="18">
        <v>0</v>
      </c>
      <c r="H71" s="18">
        <v>0</v>
      </c>
      <c r="I71" s="18" t="s">
        <v>9</v>
      </c>
      <c r="J71" s="18" t="s">
        <v>63</v>
      </c>
      <c r="K71" s="68">
        <v>0</v>
      </c>
      <c r="L71" s="18">
        <v>0</v>
      </c>
      <c r="N71" s="19">
        <v>45329</v>
      </c>
      <c r="O71" s="19">
        <v>45329</v>
      </c>
      <c r="P71" s="18">
        <f t="shared" si="4"/>
        <v>0</v>
      </c>
      <c r="Q71" s="30" t="s">
        <v>525</v>
      </c>
      <c r="T71" s="18">
        <f t="shared" si="5"/>
        <v>0</v>
      </c>
      <c r="X71" s="18" t="s">
        <v>51</v>
      </c>
      <c r="Y71" s="18" t="s">
        <v>51</v>
      </c>
      <c r="AA71" s="18">
        <v>0</v>
      </c>
      <c r="AB71" s="18">
        <v>0</v>
      </c>
      <c r="AC71" s="18">
        <v>0</v>
      </c>
      <c r="AD71" s="18" t="s">
        <v>65</v>
      </c>
      <c r="AE71" s="18">
        <v>0</v>
      </c>
      <c r="AF71" s="18">
        <f t="shared" si="6"/>
        <v>0</v>
      </c>
      <c r="AG71" s="18" t="str">
        <f t="shared" si="7"/>
        <v>LOW</v>
      </c>
    </row>
    <row r="72" spans="1:33" x14ac:dyDescent="0.3">
      <c r="A72" s="66">
        <v>71</v>
      </c>
      <c r="B72" s="18" t="s">
        <v>2</v>
      </c>
      <c r="C72" s="18" t="s">
        <v>6</v>
      </c>
      <c r="D72" s="18" t="s">
        <v>74</v>
      </c>
      <c r="E72" s="29" t="s">
        <v>1062</v>
      </c>
      <c r="F72" s="29" t="s">
        <v>117</v>
      </c>
      <c r="G72" s="18">
        <v>0</v>
      </c>
      <c r="H72" s="18">
        <v>0</v>
      </c>
      <c r="I72" s="18" t="s">
        <v>9</v>
      </c>
      <c r="J72" s="18" t="s">
        <v>63</v>
      </c>
      <c r="K72" s="68">
        <v>0</v>
      </c>
      <c r="L72" s="18">
        <v>0</v>
      </c>
      <c r="N72" s="19">
        <v>45329</v>
      </c>
      <c r="O72" s="19">
        <v>45329</v>
      </c>
      <c r="P72" s="18">
        <f t="shared" si="4"/>
        <v>0</v>
      </c>
      <c r="Q72" s="30" t="s">
        <v>532</v>
      </c>
      <c r="T72" s="18">
        <f t="shared" si="5"/>
        <v>0</v>
      </c>
      <c r="X72" s="18" t="s">
        <v>51</v>
      </c>
      <c r="Y72" s="18" t="s">
        <v>51</v>
      </c>
      <c r="AA72" s="18">
        <v>0</v>
      </c>
      <c r="AB72" s="18">
        <v>0</v>
      </c>
      <c r="AC72" s="18">
        <v>0</v>
      </c>
      <c r="AD72" s="18" t="s">
        <v>65</v>
      </c>
      <c r="AE72" s="18">
        <v>0</v>
      </c>
      <c r="AF72" s="18">
        <f t="shared" si="6"/>
        <v>0</v>
      </c>
      <c r="AG72" s="18" t="str">
        <f t="shared" si="7"/>
        <v>LOW</v>
      </c>
    </row>
    <row r="73" spans="1:33" x14ac:dyDescent="0.3">
      <c r="A73" s="66">
        <v>72</v>
      </c>
      <c r="B73" s="18" t="s">
        <v>2</v>
      </c>
      <c r="C73" s="18" t="s">
        <v>6</v>
      </c>
      <c r="D73" s="18" t="s">
        <v>74</v>
      </c>
      <c r="E73" s="29" t="s">
        <v>1063</v>
      </c>
      <c r="F73" s="29" t="s">
        <v>117</v>
      </c>
      <c r="G73" s="18">
        <v>0</v>
      </c>
      <c r="H73" s="18">
        <v>0</v>
      </c>
      <c r="I73" s="18" t="s">
        <v>9</v>
      </c>
      <c r="J73" s="18" t="s">
        <v>63</v>
      </c>
      <c r="K73" s="68">
        <v>0</v>
      </c>
      <c r="L73" s="18">
        <v>0</v>
      </c>
      <c r="N73" s="19">
        <v>45329</v>
      </c>
      <c r="O73" s="19">
        <v>45329</v>
      </c>
      <c r="P73" s="18">
        <f t="shared" si="4"/>
        <v>0</v>
      </c>
      <c r="Q73" s="30" t="s">
        <v>533</v>
      </c>
      <c r="T73" s="18">
        <f t="shared" si="5"/>
        <v>0</v>
      </c>
      <c r="X73" s="18" t="s">
        <v>51</v>
      </c>
      <c r="Y73" s="18" t="s">
        <v>51</v>
      </c>
      <c r="AA73" s="18">
        <v>0</v>
      </c>
      <c r="AB73" s="18">
        <v>0</v>
      </c>
      <c r="AC73" s="18">
        <v>0</v>
      </c>
      <c r="AD73" s="18" t="s">
        <v>65</v>
      </c>
      <c r="AE73" s="18">
        <v>0</v>
      </c>
      <c r="AF73" s="18">
        <f t="shared" si="6"/>
        <v>0</v>
      </c>
      <c r="AG73" s="18" t="str">
        <f t="shared" si="7"/>
        <v>LOW</v>
      </c>
    </row>
    <row r="74" spans="1:33" ht="28.8" x14ac:dyDescent="0.3">
      <c r="A74" s="66">
        <v>73</v>
      </c>
      <c r="B74" s="18" t="s">
        <v>2</v>
      </c>
      <c r="C74" s="18" t="s">
        <v>6</v>
      </c>
      <c r="D74" s="18" t="s">
        <v>74</v>
      </c>
      <c r="E74" s="29" t="s">
        <v>1064</v>
      </c>
      <c r="F74" s="29" t="s">
        <v>117</v>
      </c>
      <c r="G74" s="18">
        <v>0</v>
      </c>
      <c r="H74" s="18">
        <v>0</v>
      </c>
      <c r="I74" s="18" t="s">
        <v>9</v>
      </c>
      <c r="J74" s="18" t="s">
        <v>63</v>
      </c>
      <c r="K74" s="68">
        <v>0</v>
      </c>
      <c r="L74" s="18">
        <v>0</v>
      </c>
      <c r="N74" s="19">
        <v>45330</v>
      </c>
      <c r="O74" s="19">
        <v>45330</v>
      </c>
      <c r="P74" s="18">
        <f t="shared" si="4"/>
        <v>0</v>
      </c>
      <c r="Q74" s="30" t="s">
        <v>534</v>
      </c>
      <c r="T74" s="18">
        <f t="shared" si="5"/>
        <v>0</v>
      </c>
      <c r="X74" s="18" t="s">
        <v>51</v>
      </c>
      <c r="Y74" s="18" t="s">
        <v>51</v>
      </c>
      <c r="AA74" s="18">
        <v>0</v>
      </c>
      <c r="AB74" s="18">
        <v>0</v>
      </c>
      <c r="AC74" s="18">
        <v>0</v>
      </c>
      <c r="AD74" s="18" t="s">
        <v>65</v>
      </c>
      <c r="AE74" s="18">
        <v>0</v>
      </c>
      <c r="AF74" s="18">
        <f t="shared" si="6"/>
        <v>0</v>
      </c>
      <c r="AG74" s="18" t="str">
        <f t="shared" si="7"/>
        <v>LOW</v>
      </c>
    </row>
    <row r="75" spans="1:33" ht="43.2" x14ac:dyDescent="0.3">
      <c r="A75" s="66">
        <v>74</v>
      </c>
      <c r="B75" s="18" t="s">
        <v>2</v>
      </c>
      <c r="C75" s="18" t="s">
        <v>6</v>
      </c>
      <c r="D75" s="18" t="s">
        <v>74</v>
      </c>
      <c r="E75" s="29" t="s">
        <v>1065</v>
      </c>
      <c r="F75" s="29" t="s">
        <v>117</v>
      </c>
      <c r="G75" s="18">
        <v>0</v>
      </c>
      <c r="H75" s="18">
        <v>0</v>
      </c>
      <c r="I75" s="18" t="s">
        <v>9</v>
      </c>
      <c r="J75" s="18" t="s">
        <v>63</v>
      </c>
      <c r="K75" s="68">
        <v>0</v>
      </c>
      <c r="L75" s="18">
        <v>0</v>
      </c>
      <c r="N75" s="19">
        <v>45330</v>
      </c>
      <c r="O75" s="19">
        <v>45330</v>
      </c>
      <c r="P75" s="18">
        <f t="shared" si="4"/>
        <v>0</v>
      </c>
      <c r="Q75" s="30" t="s">
        <v>535</v>
      </c>
      <c r="T75" s="18">
        <f t="shared" si="5"/>
        <v>0</v>
      </c>
      <c r="X75" s="18" t="s">
        <v>51</v>
      </c>
      <c r="Y75" s="18" t="s">
        <v>51</v>
      </c>
      <c r="AA75" s="18">
        <v>0</v>
      </c>
      <c r="AB75" s="18">
        <v>0</v>
      </c>
      <c r="AC75" s="18">
        <v>0</v>
      </c>
      <c r="AD75" s="18" t="s">
        <v>65</v>
      </c>
      <c r="AE75" s="18">
        <v>0</v>
      </c>
      <c r="AF75" s="18">
        <f t="shared" si="6"/>
        <v>0</v>
      </c>
      <c r="AG75" s="18" t="str">
        <f t="shared" si="7"/>
        <v>LOW</v>
      </c>
    </row>
    <row r="76" spans="1:33" ht="28.8" x14ac:dyDescent="0.3">
      <c r="A76" s="66">
        <v>75</v>
      </c>
      <c r="B76" s="18" t="s">
        <v>2</v>
      </c>
      <c r="C76" s="18" t="s">
        <v>6</v>
      </c>
      <c r="D76" s="18" t="s">
        <v>74</v>
      </c>
      <c r="E76" s="29" t="s">
        <v>1066</v>
      </c>
      <c r="F76" s="29" t="s">
        <v>117</v>
      </c>
      <c r="G76" s="18">
        <v>0</v>
      </c>
      <c r="H76" s="18">
        <v>0</v>
      </c>
      <c r="I76" s="18" t="s">
        <v>9</v>
      </c>
      <c r="J76" s="18" t="s">
        <v>63</v>
      </c>
      <c r="K76" s="68">
        <v>0</v>
      </c>
      <c r="L76" s="18">
        <v>0</v>
      </c>
      <c r="N76" s="19">
        <v>45330</v>
      </c>
      <c r="O76" s="19">
        <v>45330</v>
      </c>
      <c r="P76" s="18">
        <f t="shared" si="4"/>
        <v>0</v>
      </c>
      <c r="Q76" s="30" t="s">
        <v>536</v>
      </c>
      <c r="T76" s="18">
        <f t="shared" si="5"/>
        <v>0</v>
      </c>
      <c r="X76" s="18" t="s">
        <v>51</v>
      </c>
      <c r="Y76" s="18" t="s">
        <v>51</v>
      </c>
      <c r="AA76" s="18">
        <v>0</v>
      </c>
      <c r="AB76" s="18">
        <v>0</v>
      </c>
      <c r="AC76" s="18">
        <v>0</v>
      </c>
      <c r="AD76" s="18" t="s">
        <v>65</v>
      </c>
      <c r="AE76" s="18">
        <v>0</v>
      </c>
      <c r="AF76" s="18">
        <f t="shared" si="6"/>
        <v>0</v>
      </c>
      <c r="AG76" s="18" t="str">
        <f t="shared" si="7"/>
        <v>LOW</v>
      </c>
    </row>
    <row r="77" spans="1:33" x14ac:dyDescent="0.3">
      <c r="A77" s="66">
        <v>76</v>
      </c>
      <c r="B77" s="18" t="s">
        <v>2</v>
      </c>
      <c r="C77" s="18" t="s">
        <v>6</v>
      </c>
      <c r="D77" s="18" t="s">
        <v>74</v>
      </c>
      <c r="E77" s="29" t="s">
        <v>1067</v>
      </c>
      <c r="F77" s="29" t="s">
        <v>117</v>
      </c>
      <c r="G77" s="18">
        <v>0</v>
      </c>
      <c r="H77" s="18">
        <v>0</v>
      </c>
      <c r="I77" s="18" t="s">
        <v>9</v>
      </c>
      <c r="J77" s="18" t="s">
        <v>63</v>
      </c>
      <c r="K77" s="68">
        <v>0</v>
      </c>
      <c r="L77" s="18">
        <v>0</v>
      </c>
      <c r="N77" s="19">
        <v>45330</v>
      </c>
      <c r="O77" s="19">
        <v>45330</v>
      </c>
      <c r="P77" s="18">
        <f t="shared" si="4"/>
        <v>0</v>
      </c>
      <c r="Q77" s="30" t="s">
        <v>537</v>
      </c>
      <c r="T77" s="18">
        <f t="shared" si="5"/>
        <v>0</v>
      </c>
      <c r="X77" s="18" t="s">
        <v>51</v>
      </c>
      <c r="Y77" s="18" t="s">
        <v>51</v>
      </c>
      <c r="AA77" s="18">
        <v>0</v>
      </c>
      <c r="AB77" s="18">
        <v>0</v>
      </c>
      <c r="AC77" s="18">
        <v>0</v>
      </c>
      <c r="AD77" s="18" t="s">
        <v>65</v>
      </c>
      <c r="AE77" s="18">
        <v>0</v>
      </c>
      <c r="AF77" s="18">
        <f t="shared" si="6"/>
        <v>0</v>
      </c>
      <c r="AG77" s="18" t="str">
        <f t="shared" si="7"/>
        <v>LOW</v>
      </c>
    </row>
    <row r="78" spans="1:33" x14ac:dyDescent="0.3">
      <c r="A78" s="66">
        <v>77</v>
      </c>
      <c r="B78" s="18" t="s">
        <v>2</v>
      </c>
      <c r="C78" s="18" t="s">
        <v>6</v>
      </c>
      <c r="D78" s="18" t="s">
        <v>74</v>
      </c>
      <c r="E78" s="29" t="s">
        <v>1068</v>
      </c>
      <c r="F78" s="29" t="s">
        <v>117</v>
      </c>
      <c r="G78" s="18">
        <v>0</v>
      </c>
      <c r="H78" s="18">
        <v>0</v>
      </c>
      <c r="I78" s="18" t="s">
        <v>9</v>
      </c>
      <c r="J78" s="18" t="s">
        <v>63</v>
      </c>
      <c r="K78" s="68">
        <v>0</v>
      </c>
      <c r="L78" s="18">
        <v>0</v>
      </c>
      <c r="N78" s="19">
        <v>45330</v>
      </c>
      <c r="O78" s="19">
        <v>45330</v>
      </c>
      <c r="P78" s="18">
        <f t="shared" si="4"/>
        <v>0</v>
      </c>
      <c r="Q78" s="30" t="s">
        <v>538</v>
      </c>
      <c r="T78" s="18">
        <f t="shared" si="5"/>
        <v>0</v>
      </c>
      <c r="X78" s="18" t="s">
        <v>51</v>
      </c>
      <c r="Y78" s="18" t="s">
        <v>51</v>
      </c>
      <c r="AA78" s="18">
        <v>0</v>
      </c>
      <c r="AB78" s="18">
        <v>0</v>
      </c>
      <c r="AC78" s="18">
        <v>0</v>
      </c>
      <c r="AD78" s="18" t="s">
        <v>65</v>
      </c>
      <c r="AE78" s="18">
        <v>0</v>
      </c>
      <c r="AF78" s="18">
        <f t="shared" si="6"/>
        <v>0</v>
      </c>
      <c r="AG78" s="18" t="str">
        <f t="shared" si="7"/>
        <v>LOW</v>
      </c>
    </row>
    <row r="79" spans="1:33" x14ac:dyDescent="0.3">
      <c r="A79" s="66">
        <v>78</v>
      </c>
      <c r="B79" s="18" t="s">
        <v>2</v>
      </c>
      <c r="C79" s="18" t="s">
        <v>6</v>
      </c>
      <c r="D79" s="18" t="s">
        <v>74</v>
      </c>
      <c r="E79" s="29" t="s">
        <v>1069</v>
      </c>
      <c r="F79" s="29" t="s">
        <v>117</v>
      </c>
      <c r="G79" s="18">
        <v>0</v>
      </c>
      <c r="H79" s="18">
        <v>0</v>
      </c>
      <c r="I79" s="18" t="s">
        <v>9</v>
      </c>
      <c r="J79" s="18" t="s">
        <v>63</v>
      </c>
      <c r="K79" s="68">
        <v>0</v>
      </c>
      <c r="L79" s="18">
        <v>0</v>
      </c>
      <c r="N79" s="19">
        <v>45330</v>
      </c>
      <c r="O79" s="19">
        <v>45330</v>
      </c>
      <c r="P79" s="18">
        <f t="shared" si="4"/>
        <v>0</v>
      </c>
      <c r="Q79" s="30" t="s">
        <v>539</v>
      </c>
      <c r="T79" s="18">
        <f t="shared" si="5"/>
        <v>0</v>
      </c>
      <c r="X79" s="18" t="s">
        <v>51</v>
      </c>
      <c r="Y79" s="18" t="s">
        <v>51</v>
      </c>
      <c r="AA79" s="18">
        <v>0</v>
      </c>
      <c r="AB79" s="18">
        <v>0</v>
      </c>
      <c r="AC79" s="18">
        <v>0</v>
      </c>
      <c r="AD79" s="18" t="s">
        <v>65</v>
      </c>
      <c r="AE79" s="18">
        <v>0</v>
      </c>
      <c r="AF79" s="18">
        <f t="shared" si="6"/>
        <v>0</v>
      </c>
      <c r="AG79" s="18" t="str">
        <f t="shared" si="7"/>
        <v>LOW</v>
      </c>
    </row>
    <row r="80" spans="1:33" x14ac:dyDescent="0.3">
      <c r="A80" s="66">
        <v>79</v>
      </c>
      <c r="B80" s="18" t="s">
        <v>2</v>
      </c>
      <c r="C80" s="18" t="s">
        <v>6</v>
      </c>
      <c r="D80" s="18" t="s">
        <v>74</v>
      </c>
      <c r="E80" s="29" t="s">
        <v>1070</v>
      </c>
      <c r="F80" s="29" t="s">
        <v>117</v>
      </c>
      <c r="G80" s="18">
        <v>0</v>
      </c>
      <c r="H80" s="18">
        <v>0</v>
      </c>
      <c r="I80" s="18" t="s">
        <v>9</v>
      </c>
      <c r="J80" s="18" t="s">
        <v>63</v>
      </c>
      <c r="K80" s="68">
        <v>0</v>
      </c>
      <c r="L80" s="18">
        <v>0</v>
      </c>
      <c r="N80" s="19">
        <v>45330</v>
      </c>
      <c r="O80" s="19">
        <v>45330</v>
      </c>
      <c r="P80" s="18">
        <f t="shared" si="4"/>
        <v>0</v>
      </c>
      <c r="Q80" s="30" t="s">
        <v>540</v>
      </c>
      <c r="T80" s="18">
        <f t="shared" si="5"/>
        <v>0</v>
      </c>
      <c r="X80" s="18" t="s">
        <v>51</v>
      </c>
      <c r="Y80" s="18" t="s">
        <v>51</v>
      </c>
      <c r="AA80" s="18">
        <v>0</v>
      </c>
      <c r="AB80" s="18">
        <v>0</v>
      </c>
      <c r="AC80" s="18">
        <v>0</v>
      </c>
      <c r="AD80" s="18" t="s">
        <v>65</v>
      </c>
      <c r="AE80" s="18">
        <v>0</v>
      </c>
      <c r="AF80" s="18">
        <f t="shared" si="6"/>
        <v>0</v>
      </c>
      <c r="AG80" s="18" t="str">
        <f t="shared" si="7"/>
        <v>LOW</v>
      </c>
    </row>
    <row r="81" spans="1:33" x14ac:dyDescent="0.3">
      <c r="A81" s="66">
        <v>80</v>
      </c>
      <c r="B81" s="18" t="s">
        <v>2</v>
      </c>
      <c r="C81" s="18" t="s">
        <v>4</v>
      </c>
      <c r="D81" s="18" t="s">
        <v>10</v>
      </c>
      <c r="E81" s="29" t="s">
        <v>1071</v>
      </c>
      <c r="F81" s="29" t="s">
        <v>117</v>
      </c>
      <c r="G81" s="18">
        <v>0</v>
      </c>
      <c r="H81" s="18">
        <v>0</v>
      </c>
      <c r="I81" s="18" t="s">
        <v>10</v>
      </c>
      <c r="J81" s="18" t="s">
        <v>10</v>
      </c>
      <c r="K81" s="68">
        <v>0</v>
      </c>
      <c r="L81" s="18">
        <v>0</v>
      </c>
      <c r="N81" s="19">
        <v>45326</v>
      </c>
      <c r="O81" s="19">
        <v>45328</v>
      </c>
      <c r="P81" s="18">
        <f t="shared" si="4"/>
        <v>2</v>
      </c>
      <c r="Q81" s="30" t="s">
        <v>541</v>
      </c>
      <c r="S81" s="19">
        <v>45341</v>
      </c>
      <c r="T81" s="18">
        <f t="shared" si="5"/>
        <v>2</v>
      </c>
      <c r="X81" s="18" t="s">
        <v>53</v>
      </c>
      <c r="Y81" s="18" t="s">
        <v>51</v>
      </c>
      <c r="AA81" s="18">
        <v>0</v>
      </c>
      <c r="AB81" s="18">
        <v>0</v>
      </c>
      <c r="AC81" s="18">
        <v>0</v>
      </c>
      <c r="AD81" s="18" t="s">
        <v>65</v>
      </c>
      <c r="AE81" s="18">
        <v>0</v>
      </c>
      <c r="AF81" s="18">
        <f t="shared" si="6"/>
        <v>0</v>
      </c>
      <c r="AG81" s="18" t="str">
        <f t="shared" si="7"/>
        <v>LOW</v>
      </c>
    </row>
    <row r="82" spans="1:33" x14ac:dyDescent="0.3">
      <c r="A82" s="66">
        <v>81</v>
      </c>
      <c r="B82" s="18" t="s">
        <v>2</v>
      </c>
      <c r="C82" s="18" t="s">
        <v>4</v>
      </c>
      <c r="D82" s="18" t="s">
        <v>10</v>
      </c>
      <c r="E82" s="29" t="s">
        <v>1072</v>
      </c>
      <c r="F82" s="29" t="s">
        <v>117</v>
      </c>
      <c r="G82" s="18">
        <v>0</v>
      </c>
      <c r="H82" s="18">
        <v>0</v>
      </c>
      <c r="I82" s="18" t="s">
        <v>10</v>
      </c>
      <c r="J82" s="18" t="s">
        <v>10</v>
      </c>
      <c r="K82" s="68">
        <v>0</v>
      </c>
      <c r="L82" s="18">
        <v>0</v>
      </c>
      <c r="N82" s="19">
        <v>45327</v>
      </c>
      <c r="O82" s="19">
        <v>45327</v>
      </c>
      <c r="P82" s="18">
        <f t="shared" si="4"/>
        <v>0</v>
      </c>
      <c r="Q82" s="30" t="s">
        <v>542</v>
      </c>
      <c r="T82" s="18">
        <f t="shared" si="5"/>
        <v>0</v>
      </c>
      <c r="X82" s="18" t="s">
        <v>53</v>
      </c>
      <c r="Y82" s="18" t="s">
        <v>51</v>
      </c>
      <c r="AA82" s="18">
        <v>0</v>
      </c>
      <c r="AB82" s="18">
        <v>0</v>
      </c>
      <c r="AC82" s="18">
        <v>0</v>
      </c>
      <c r="AD82" s="18" t="s">
        <v>65</v>
      </c>
      <c r="AE82" s="18">
        <v>0</v>
      </c>
      <c r="AF82" s="18">
        <f t="shared" si="6"/>
        <v>0</v>
      </c>
      <c r="AG82" s="18" t="str">
        <f t="shared" si="7"/>
        <v>LOW</v>
      </c>
    </row>
    <row r="83" spans="1:33" x14ac:dyDescent="0.3">
      <c r="A83" s="66">
        <v>82</v>
      </c>
      <c r="B83" s="18" t="s">
        <v>2</v>
      </c>
      <c r="C83" s="18" t="s">
        <v>4</v>
      </c>
      <c r="D83" s="18" t="s">
        <v>10</v>
      </c>
      <c r="E83" s="29" t="s">
        <v>1073</v>
      </c>
      <c r="F83" s="29" t="s">
        <v>117</v>
      </c>
      <c r="G83" s="18">
        <v>0</v>
      </c>
      <c r="H83" s="18">
        <v>0</v>
      </c>
      <c r="I83" s="18" t="s">
        <v>10</v>
      </c>
      <c r="J83" s="18" t="s">
        <v>10</v>
      </c>
      <c r="K83" s="68">
        <v>0</v>
      </c>
      <c r="L83" s="18">
        <v>0</v>
      </c>
      <c r="N83" s="19">
        <v>45327</v>
      </c>
      <c r="O83" s="19">
        <v>45327</v>
      </c>
      <c r="P83" s="18">
        <f t="shared" si="4"/>
        <v>0</v>
      </c>
      <c r="Q83" s="30" t="s">
        <v>543</v>
      </c>
      <c r="T83" s="18">
        <f t="shared" si="5"/>
        <v>0</v>
      </c>
      <c r="X83" s="18" t="s">
        <v>53</v>
      </c>
      <c r="Y83" s="18" t="s">
        <v>51</v>
      </c>
      <c r="AA83" s="18">
        <v>0</v>
      </c>
      <c r="AB83" s="18">
        <v>0</v>
      </c>
      <c r="AC83" s="18">
        <v>0</v>
      </c>
      <c r="AD83" s="18" t="s">
        <v>65</v>
      </c>
      <c r="AE83" s="18">
        <v>0</v>
      </c>
      <c r="AF83" s="18">
        <f t="shared" si="6"/>
        <v>0</v>
      </c>
      <c r="AG83" s="18" t="str">
        <f t="shared" si="7"/>
        <v>LOW</v>
      </c>
    </row>
    <row r="84" spans="1:33" ht="28.8" x14ac:dyDescent="0.3">
      <c r="A84" s="66">
        <v>83</v>
      </c>
      <c r="B84" s="18" t="s">
        <v>2</v>
      </c>
      <c r="C84" s="18" t="s">
        <v>4</v>
      </c>
      <c r="D84" s="18" t="s">
        <v>10</v>
      </c>
      <c r="E84" s="29" t="s">
        <v>1074</v>
      </c>
      <c r="F84" s="29" t="s">
        <v>117</v>
      </c>
      <c r="G84" s="18">
        <v>0</v>
      </c>
      <c r="H84" s="18">
        <v>0</v>
      </c>
      <c r="I84" s="18" t="s">
        <v>10</v>
      </c>
      <c r="J84" s="18" t="s">
        <v>10</v>
      </c>
      <c r="K84" s="68">
        <v>0</v>
      </c>
      <c r="L84" s="18">
        <v>0</v>
      </c>
      <c r="N84" s="19">
        <v>45327</v>
      </c>
      <c r="O84" s="19">
        <v>45337</v>
      </c>
      <c r="P84" s="18">
        <f t="shared" si="4"/>
        <v>10</v>
      </c>
      <c r="Q84" s="30" t="s">
        <v>544</v>
      </c>
      <c r="T84" s="18">
        <f t="shared" si="5"/>
        <v>10</v>
      </c>
      <c r="X84" s="18" t="s">
        <v>53</v>
      </c>
      <c r="Y84" s="18" t="s">
        <v>51</v>
      </c>
      <c r="AA84" s="18">
        <v>0</v>
      </c>
      <c r="AB84" s="18">
        <v>0</v>
      </c>
      <c r="AC84" s="18">
        <v>0</v>
      </c>
      <c r="AD84" s="18" t="s">
        <v>65</v>
      </c>
      <c r="AE84" s="18">
        <v>0</v>
      </c>
      <c r="AF84" s="18">
        <f t="shared" si="6"/>
        <v>0</v>
      </c>
      <c r="AG84" s="18" t="str">
        <f t="shared" si="7"/>
        <v>LOW</v>
      </c>
    </row>
    <row r="85" spans="1:33" ht="43.2" x14ac:dyDescent="0.3">
      <c r="A85" s="66">
        <v>84</v>
      </c>
      <c r="B85" s="18" t="s">
        <v>2</v>
      </c>
      <c r="C85" s="18" t="s">
        <v>4</v>
      </c>
      <c r="D85" s="18" t="s">
        <v>74</v>
      </c>
      <c r="E85" s="29" t="s">
        <v>1075</v>
      </c>
      <c r="F85" s="29" t="s">
        <v>117</v>
      </c>
      <c r="G85" s="18">
        <v>0</v>
      </c>
      <c r="H85" s="18">
        <v>0</v>
      </c>
      <c r="I85" s="18" t="s">
        <v>9</v>
      </c>
      <c r="J85" s="18" t="s">
        <v>63</v>
      </c>
      <c r="K85" s="68">
        <v>0</v>
      </c>
      <c r="L85" s="18">
        <v>0</v>
      </c>
      <c r="N85" s="19">
        <v>45327</v>
      </c>
      <c r="O85" s="19">
        <v>45327</v>
      </c>
      <c r="P85" s="18">
        <f t="shared" si="4"/>
        <v>0</v>
      </c>
      <c r="Q85" s="30" t="s">
        <v>545</v>
      </c>
      <c r="T85" s="18">
        <f t="shared" si="5"/>
        <v>0</v>
      </c>
      <c r="X85" s="18" t="s">
        <v>53</v>
      </c>
      <c r="Y85" s="18" t="s">
        <v>51</v>
      </c>
      <c r="AA85" s="18">
        <v>0</v>
      </c>
      <c r="AB85" s="18">
        <v>0</v>
      </c>
      <c r="AC85" s="18">
        <v>0</v>
      </c>
      <c r="AD85" s="18" t="s">
        <v>65</v>
      </c>
      <c r="AE85" s="18">
        <v>0</v>
      </c>
      <c r="AF85" s="18">
        <f t="shared" si="6"/>
        <v>0</v>
      </c>
      <c r="AG85" s="18" t="str">
        <f t="shared" si="7"/>
        <v>LOW</v>
      </c>
    </row>
    <row r="86" spans="1:33" ht="28.8" x14ac:dyDescent="0.3">
      <c r="A86" s="66">
        <v>85</v>
      </c>
      <c r="B86" s="18" t="s">
        <v>2</v>
      </c>
      <c r="C86" s="18" t="s">
        <v>4</v>
      </c>
      <c r="D86" s="18" t="s">
        <v>74</v>
      </c>
      <c r="E86" s="29" t="s">
        <v>1076</v>
      </c>
      <c r="F86" s="29" t="s">
        <v>117</v>
      </c>
      <c r="G86" s="18">
        <v>0</v>
      </c>
      <c r="H86" s="18">
        <v>0</v>
      </c>
      <c r="I86" s="18" t="s">
        <v>9</v>
      </c>
      <c r="J86" s="18" t="s">
        <v>63</v>
      </c>
      <c r="K86" s="68">
        <v>0</v>
      </c>
      <c r="L86" s="18">
        <v>0</v>
      </c>
      <c r="N86" s="19">
        <v>45327</v>
      </c>
      <c r="O86" s="19">
        <v>45327</v>
      </c>
      <c r="P86" s="18">
        <f t="shared" si="4"/>
        <v>0</v>
      </c>
      <c r="Q86" s="30" t="s">
        <v>546</v>
      </c>
      <c r="S86" s="19">
        <v>45351</v>
      </c>
      <c r="T86" s="18">
        <f t="shared" si="5"/>
        <v>0</v>
      </c>
      <c r="X86" s="18" t="s">
        <v>53</v>
      </c>
      <c r="Y86" s="18" t="s">
        <v>51</v>
      </c>
      <c r="AA86" s="18">
        <v>0</v>
      </c>
      <c r="AB86" s="18">
        <v>0</v>
      </c>
      <c r="AC86" s="18">
        <v>0</v>
      </c>
      <c r="AD86" s="18" t="s">
        <v>65</v>
      </c>
      <c r="AE86" s="18">
        <v>0</v>
      </c>
      <c r="AF86" s="18">
        <f t="shared" si="6"/>
        <v>0</v>
      </c>
      <c r="AG86" s="18" t="str">
        <f t="shared" si="7"/>
        <v>LOW</v>
      </c>
    </row>
    <row r="87" spans="1:33" ht="28.8" x14ac:dyDescent="0.3">
      <c r="A87" s="66">
        <v>86</v>
      </c>
      <c r="B87" s="18" t="s">
        <v>2</v>
      </c>
      <c r="C87" s="18" t="s">
        <v>4</v>
      </c>
      <c r="D87" s="18" t="s">
        <v>74</v>
      </c>
      <c r="E87" s="29" t="s">
        <v>1077</v>
      </c>
      <c r="F87" s="29" t="s">
        <v>117</v>
      </c>
      <c r="G87" s="18">
        <v>0</v>
      </c>
      <c r="H87" s="18">
        <v>0</v>
      </c>
      <c r="I87" s="18" t="s">
        <v>9</v>
      </c>
      <c r="J87" s="18" t="s">
        <v>63</v>
      </c>
      <c r="K87" s="68">
        <v>0</v>
      </c>
      <c r="L87" s="18">
        <v>0</v>
      </c>
      <c r="N87" s="19">
        <v>45327</v>
      </c>
      <c r="O87" s="19">
        <v>45327</v>
      </c>
      <c r="P87" s="18">
        <f t="shared" si="4"/>
        <v>0</v>
      </c>
      <c r="Q87" s="30" t="s">
        <v>547</v>
      </c>
      <c r="T87" s="18">
        <f t="shared" si="5"/>
        <v>0</v>
      </c>
      <c r="X87" s="18" t="s">
        <v>51</v>
      </c>
      <c r="Y87" s="18" t="s">
        <v>51</v>
      </c>
      <c r="AA87" s="18">
        <v>0</v>
      </c>
      <c r="AB87" s="18">
        <v>0</v>
      </c>
      <c r="AC87" s="18">
        <v>0</v>
      </c>
      <c r="AD87" s="18" t="s">
        <v>65</v>
      </c>
      <c r="AE87" s="18">
        <v>0</v>
      </c>
      <c r="AF87" s="18">
        <f t="shared" si="6"/>
        <v>0</v>
      </c>
      <c r="AG87" s="18" t="str">
        <f t="shared" si="7"/>
        <v>LOW</v>
      </c>
    </row>
    <row r="88" spans="1:33" ht="28.8" x14ac:dyDescent="0.3">
      <c r="A88" s="66">
        <v>87</v>
      </c>
      <c r="B88" s="18" t="s">
        <v>2</v>
      </c>
      <c r="C88" s="18" t="s">
        <v>4</v>
      </c>
      <c r="D88" s="18" t="s">
        <v>74</v>
      </c>
      <c r="E88" s="29" t="s">
        <v>1078</v>
      </c>
      <c r="F88" s="29" t="s">
        <v>117</v>
      </c>
      <c r="G88" s="18">
        <v>0</v>
      </c>
      <c r="H88" s="18">
        <v>0</v>
      </c>
      <c r="I88" s="18" t="s">
        <v>9</v>
      </c>
      <c r="J88" s="18" t="s">
        <v>63</v>
      </c>
      <c r="K88" s="68">
        <v>0</v>
      </c>
      <c r="L88" s="18">
        <v>0</v>
      </c>
      <c r="N88" s="19">
        <v>45327</v>
      </c>
      <c r="O88" s="19">
        <v>45327</v>
      </c>
      <c r="P88" s="18">
        <f t="shared" si="4"/>
        <v>0</v>
      </c>
      <c r="Q88" s="30" t="s">
        <v>548</v>
      </c>
      <c r="S88" s="19">
        <v>45352</v>
      </c>
      <c r="T88" s="18">
        <f t="shared" si="5"/>
        <v>0</v>
      </c>
      <c r="X88" s="18" t="s">
        <v>53</v>
      </c>
      <c r="Y88" s="18" t="s">
        <v>51</v>
      </c>
      <c r="AA88" s="18">
        <v>0</v>
      </c>
      <c r="AB88" s="18">
        <v>0</v>
      </c>
      <c r="AC88" s="18">
        <v>0</v>
      </c>
      <c r="AD88" s="18" t="s">
        <v>65</v>
      </c>
      <c r="AE88" s="18">
        <v>0</v>
      </c>
      <c r="AF88" s="18">
        <f t="shared" si="6"/>
        <v>0</v>
      </c>
      <c r="AG88" s="18" t="str">
        <f t="shared" si="7"/>
        <v>LOW</v>
      </c>
    </row>
    <row r="89" spans="1:33" ht="43.2" x14ac:dyDescent="0.3">
      <c r="A89" s="66">
        <v>88</v>
      </c>
      <c r="B89" s="18" t="s">
        <v>2</v>
      </c>
      <c r="C89" s="18" t="s">
        <v>4</v>
      </c>
      <c r="D89" s="18" t="s">
        <v>74</v>
      </c>
      <c r="E89" s="29" t="s">
        <v>1079</v>
      </c>
      <c r="F89" s="29" t="s">
        <v>117</v>
      </c>
      <c r="G89" s="18">
        <v>0</v>
      </c>
      <c r="H89" s="18">
        <v>0</v>
      </c>
      <c r="I89" s="18" t="s">
        <v>9</v>
      </c>
      <c r="J89" s="18" t="s">
        <v>452</v>
      </c>
      <c r="K89" s="68">
        <v>0</v>
      </c>
      <c r="L89" s="18">
        <v>0</v>
      </c>
      <c r="N89" s="19">
        <v>45327</v>
      </c>
      <c r="O89" s="19">
        <v>45327</v>
      </c>
      <c r="P89" s="18">
        <f t="shared" si="4"/>
        <v>0</v>
      </c>
      <c r="Q89" s="30" t="s">
        <v>549</v>
      </c>
      <c r="S89" s="19">
        <v>45352</v>
      </c>
      <c r="T89" s="18">
        <f t="shared" si="5"/>
        <v>0</v>
      </c>
      <c r="X89" s="18" t="s">
        <v>53</v>
      </c>
      <c r="Y89" s="18" t="s">
        <v>51</v>
      </c>
      <c r="AA89" s="18">
        <v>0</v>
      </c>
      <c r="AB89" s="18">
        <v>0</v>
      </c>
      <c r="AC89" s="18">
        <v>0</v>
      </c>
      <c r="AD89" s="18" t="s">
        <v>65</v>
      </c>
      <c r="AE89" s="18">
        <v>0</v>
      </c>
      <c r="AF89" s="18">
        <f t="shared" si="6"/>
        <v>0</v>
      </c>
      <c r="AG89" s="18" t="str">
        <f t="shared" si="7"/>
        <v>LOW</v>
      </c>
    </row>
    <row r="90" spans="1:33" ht="28.8" x14ac:dyDescent="0.3">
      <c r="A90" s="66">
        <v>89</v>
      </c>
      <c r="B90" s="18" t="s">
        <v>2</v>
      </c>
      <c r="C90" s="18" t="s">
        <v>4</v>
      </c>
      <c r="D90" s="18" t="s">
        <v>74</v>
      </c>
      <c r="E90" s="29" t="s">
        <v>1080</v>
      </c>
      <c r="F90" s="29" t="s">
        <v>117</v>
      </c>
      <c r="G90" s="18">
        <v>0</v>
      </c>
      <c r="H90" s="18">
        <v>0</v>
      </c>
      <c r="I90" s="18" t="s">
        <v>9</v>
      </c>
      <c r="J90" s="18" t="s">
        <v>450</v>
      </c>
      <c r="K90" s="68">
        <v>0</v>
      </c>
      <c r="L90" s="18">
        <v>0</v>
      </c>
      <c r="N90" s="19">
        <v>45327</v>
      </c>
      <c r="O90" s="19">
        <v>45336</v>
      </c>
      <c r="P90" s="18">
        <f t="shared" si="4"/>
        <v>9</v>
      </c>
      <c r="Q90" s="30" t="s">
        <v>550</v>
      </c>
      <c r="S90" s="19">
        <v>45348</v>
      </c>
      <c r="T90" s="18">
        <f t="shared" si="5"/>
        <v>9</v>
      </c>
      <c r="X90" s="18" t="s">
        <v>53</v>
      </c>
      <c r="Y90" s="18" t="s">
        <v>51</v>
      </c>
      <c r="AA90" s="18">
        <v>0</v>
      </c>
      <c r="AB90" s="18">
        <v>0</v>
      </c>
      <c r="AC90" s="18">
        <v>0</v>
      </c>
      <c r="AD90" s="18" t="s">
        <v>65</v>
      </c>
      <c r="AE90" s="18">
        <v>0</v>
      </c>
      <c r="AF90" s="18">
        <f t="shared" si="6"/>
        <v>0</v>
      </c>
      <c r="AG90" s="18" t="str">
        <f t="shared" si="7"/>
        <v>LOW</v>
      </c>
    </row>
    <row r="91" spans="1:33" ht="28.8" x14ac:dyDescent="0.3">
      <c r="A91" s="66">
        <v>90</v>
      </c>
      <c r="B91" s="18" t="s">
        <v>2</v>
      </c>
      <c r="C91" s="18" t="s">
        <v>4</v>
      </c>
      <c r="D91" s="18" t="s">
        <v>75</v>
      </c>
      <c r="E91" s="29" t="s">
        <v>1081</v>
      </c>
      <c r="F91" s="29" t="s">
        <v>117</v>
      </c>
      <c r="G91" s="18">
        <v>0</v>
      </c>
      <c r="H91" s="18">
        <v>0</v>
      </c>
      <c r="I91" s="18" t="s">
        <v>9</v>
      </c>
      <c r="J91" s="18" t="s">
        <v>63</v>
      </c>
      <c r="K91" s="68">
        <v>0</v>
      </c>
      <c r="L91" s="18">
        <v>0</v>
      </c>
      <c r="N91" s="19">
        <v>45327</v>
      </c>
      <c r="O91" s="19">
        <v>45337</v>
      </c>
      <c r="P91" s="18">
        <f t="shared" si="4"/>
        <v>10</v>
      </c>
      <c r="Q91" s="30" t="s">
        <v>551</v>
      </c>
      <c r="S91" s="19">
        <v>45347</v>
      </c>
      <c r="T91" s="18">
        <f t="shared" si="5"/>
        <v>10</v>
      </c>
      <c r="X91" s="18" t="s">
        <v>53</v>
      </c>
      <c r="Y91" s="18" t="s">
        <v>51</v>
      </c>
      <c r="AA91" s="18">
        <v>0</v>
      </c>
      <c r="AB91" s="18">
        <v>0</v>
      </c>
      <c r="AC91" s="18">
        <v>0</v>
      </c>
      <c r="AD91" s="18" t="s">
        <v>65</v>
      </c>
      <c r="AE91" s="18">
        <v>0</v>
      </c>
      <c r="AF91" s="18">
        <f t="shared" si="6"/>
        <v>0</v>
      </c>
      <c r="AG91" s="18" t="str">
        <f t="shared" si="7"/>
        <v>LOW</v>
      </c>
    </row>
    <row r="92" spans="1:33" ht="43.2" x14ac:dyDescent="0.3">
      <c r="A92" s="66">
        <v>91</v>
      </c>
      <c r="B92" s="18" t="s">
        <v>1</v>
      </c>
      <c r="C92" s="18" t="s">
        <v>4</v>
      </c>
      <c r="D92" s="18" t="s">
        <v>75</v>
      </c>
      <c r="E92" s="29" t="s">
        <v>1082</v>
      </c>
      <c r="F92" s="29" t="s">
        <v>313</v>
      </c>
      <c r="G92" s="18">
        <v>0</v>
      </c>
      <c r="H92" s="18">
        <v>0</v>
      </c>
      <c r="I92" s="18" t="s">
        <v>9</v>
      </c>
      <c r="J92" s="18" t="s">
        <v>63</v>
      </c>
      <c r="K92" s="68">
        <v>0</v>
      </c>
      <c r="L92" s="18">
        <v>0</v>
      </c>
      <c r="M92" s="18">
        <v>24</v>
      </c>
      <c r="N92" s="19">
        <v>45327</v>
      </c>
      <c r="O92" s="19">
        <v>45338</v>
      </c>
      <c r="P92" s="18">
        <f t="shared" si="4"/>
        <v>11</v>
      </c>
      <c r="Q92" s="30" t="s">
        <v>552</v>
      </c>
      <c r="S92" s="19">
        <v>45349</v>
      </c>
      <c r="T92" s="18">
        <f t="shared" si="5"/>
        <v>11</v>
      </c>
      <c r="X92" s="18" t="s">
        <v>51</v>
      </c>
      <c r="Y92" s="18" t="s">
        <v>51</v>
      </c>
      <c r="AA92" s="18">
        <v>0</v>
      </c>
      <c r="AB92" s="18">
        <v>0</v>
      </c>
      <c r="AC92" s="18">
        <v>0</v>
      </c>
      <c r="AD92" s="18" t="s">
        <v>65</v>
      </c>
      <c r="AE92" s="18">
        <v>0</v>
      </c>
      <c r="AF92" s="18">
        <f t="shared" si="6"/>
        <v>0</v>
      </c>
      <c r="AG92" s="18" t="str">
        <f t="shared" si="7"/>
        <v>LOW</v>
      </c>
    </row>
    <row r="93" spans="1:33" ht="28.8" x14ac:dyDescent="0.3">
      <c r="A93" s="66">
        <v>92</v>
      </c>
      <c r="B93" s="18" t="s">
        <v>1</v>
      </c>
      <c r="C93" s="18" t="s">
        <v>4</v>
      </c>
      <c r="D93" s="18" t="s">
        <v>72</v>
      </c>
      <c r="E93" s="29" t="s">
        <v>1083</v>
      </c>
      <c r="F93" s="29" t="s">
        <v>117</v>
      </c>
      <c r="G93" s="18">
        <v>0</v>
      </c>
      <c r="H93" s="18">
        <v>0</v>
      </c>
      <c r="I93" s="18" t="s">
        <v>9</v>
      </c>
      <c r="J93" s="18" t="s">
        <v>453</v>
      </c>
      <c r="K93" s="68">
        <v>1456063.2</v>
      </c>
      <c r="L93" s="18">
        <v>3</v>
      </c>
      <c r="M93" s="18">
        <v>36</v>
      </c>
      <c r="N93" s="19">
        <v>45327</v>
      </c>
      <c r="O93" s="19">
        <v>45338</v>
      </c>
      <c r="P93" s="18">
        <f t="shared" si="4"/>
        <v>11</v>
      </c>
      <c r="Q93" s="30" t="s">
        <v>553</v>
      </c>
      <c r="T93" s="18">
        <f t="shared" si="5"/>
        <v>11</v>
      </c>
      <c r="X93" s="18" t="s">
        <v>53</v>
      </c>
      <c r="Y93" s="18" t="s">
        <v>51</v>
      </c>
      <c r="AA93" s="18">
        <v>0</v>
      </c>
      <c r="AB93" s="18">
        <v>0</v>
      </c>
      <c r="AC93" s="18">
        <v>0</v>
      </c>
      <c r="AD93" s="18" t="s">
        <v>65</v>
      </c>
      <c r="AE93" s="18">
        <v>0</v>
      </c>
      <c r="AF93" s="18">
        <f t="shared" si="6"/>
        <v>3</v>
      </c>
      <c r="AG93" s="18" t="str">
        <f t="shared" si="7"/>
        <v>LOW</v>
      </c>
    </row>
    <row r="94" spans="1:33" ht="28.8" x14ac:dyDescent="0.3">
      <c r="A94" s="66">
        <v>93</v>
      </c>
      <c r="B94" s="18" t="s">
        <v>2</v>
      </c>
      <c r="C94" s="18" t="s">
        <v>4</v>
      </c>
      <c r="D94" s="18" t="s">
        <v>10</v>
      </c>
      <c r="E94" s="29" t="s">
        <v>1084</v>
      </c>
      <c r="F94" s="29" t="s">
        <v>117</v>
      </c>
      <c r="G94" s="18">
        <v>0</v>
      </c>
      <c r="H94" s="18">
        <v>0</v>
      </c>
      <c r="I94" s="18" t="s">
        <v>10</v>
      </c>
      <c r="J94" s="18" t="s">
        <v>10</v>
      </c>
      <c r="K94" s="68">
        <v>0</v>
      </c>
      <c r="L94" s="18">
        <v>0</v>
      </c>
      <c r="N94" s="19">
        <v>45328</v>
      </c>
      <c r="O94" s="19">
        <v>45328</v>
      </c>
      <c r="P94" s="18">
        <f t="shared" si="4"/>
        <v>0</v>
      </c>
      <c r="Q94" s="30" t="s">
        <v>554</v>
      </c>
      <c r="S94" s="19">
        <v>45344</v>
      </c>
      <c r="T94" s="18">
        <f t="shared" si="5"/>
        <v>0</v>
      </c>
      <c r="X94" s="18" t="s">
        <v>51</v>
      </c>
      <c r="Y94" s="18" t="s">
        <v>51</v>
      </c>
      <c r="AA94" s="18">
        <v>0</v>
      </c>
      <c r="AB94" s="18">
        <v>0</v>
      </c>
      <c r="AC94" s="18">
        <v>0</v>
      </c>
      <c r="AD94" s="18" t="s">
        <v>65</v>
      </c>
      <c r="AE94" s="18">
        <v>0</v>
      </c>
      <c r="AF94" s="18">
        <f t="shared" si="6"/>
        <v>0</v>
      </c>
      <c r="AG94" s="18" t="str">
        <f t="shared" si="7"/>
        <v>LOW</v>
      </c>
    </row>
    <row r="95" spans="1:33" ht="28.8" x14ac:dyDescent="0.3">
      <c r="A95" s="66">
        <v>94</v>
      </c>
      <c r="B95" s="18" t="s">
        <v>2</v>
      </c>
      <c r="C95" s="18" t="s">
        <v>4</v>
      </c>
      <c r="D95" s="18" t="s">
        <v>76</v>
      </c>
      <c r="E95" s="29" t="s">
        <v>1085</v>
      </c>
      <c r="F95" s="29" t="s">
        <v>117</v>
      </c>
      <c r="G95" s="18">
        <v>0</v>
      </c>
      <c r="H95" s="18">
        <v>0</v>
      </c>
      <c r="I95" s="18" t="s">
        <v>9</v>
      </c>
      <c r="J95" s="18" t="s">
        <v>63</v>
      </c>
      <c r="K95" s="68">
        <v>0</v>
      </c>
      <c r="L95" s="18">
        <v>0</v>
      </c>
      <c r="N95" s="19">
        <v>45328</v>
      </c>
      <c r="O95" s="19">
        <v>45328</v>
      </c>
      <c r="P95" s="18">
        <f t="shared" si="4"/>
        <v>0</v>
      </c>
      <c r="Q95" s="30" t="s">
        <v>555</v>
      </c>
      <c r="T95" s="18">
        <f t="shared" si="5"/>
        <v>0</v>
      </c>
      <c r="X95" s="18" t="s">
        <v>51</v>
      </c>
      <c r="Y95" s="18" t="s">
        <v>51</v>
      </c>
      <c r="AA95" s="18">
        <v>0</v>
      </c>
      <c r="AB95" s="18">
        <v>0</v>
      </c>
      <c r="AC95" s="18">
        <v>0</v>
      </c>
      <c r="AD95" s="18" t="s">
        <v>65</v>
      </c>
      <c r="AE95" s="18">
        <v>0</v>
      </c>
      <c r="AF95" s="18">
        <f t="shared" si="6"/>
        <v>0</v>
      </c>
      <c r="AG95" s="18" t="str">
        <f t="shared" si="7"/>
        <v>LOW</v>
      </c>
    </row>
    <row r="96" spans="1:33" x14ac:dyDescent="0.3">
      <c r="A96" s="66">
        <v>95</v>
      </c>
      <c r="B96" s="18" t="s">
        <v>2</v>
      </c>
      <c r="C96" s="18" t="s">
        <v>4</v>
      </c>
      <c r="D96" s="18" t="s">
        <v>74</v>
      </c>
      <c r="E96" s="29" t="s">
        <v>1086</v>
      </c>
      <c r="F96" s="29" t="s">
        <v>117</v>
      </c>
      <c r="G96" s="18">
        <v>0</v>
      </c>
      <c r="H96" s="18">
        <v>0</v>
      </c>
      <c r="I96" s="18" t="s">
        <v>9</v>
      </c>
      <c r="J96" s="18" t="s">
        <v>63</v>
      </c>
      <c r="K96" s="68">
        <v>0</v>
      </c>
      <c r="L96" s="18">
        <v>0</v>
      </c>
      <c r="N96" s="19">
        <v>45328</v>
      </c>
      <c r="O96" s="19">
        <v>45328</v>
      </c>
      <c r="P96" s="18">
        <f t="shared" si="4"/>
        <v>0</v>
      </c>
      <c r="Q96" s="30" t="s">
        <v>556</v>
      </c>
      <c r="T96" s="18">
        <f t="shared" si="5"/>
        <v>0</v>
      </c>
      <c r="X96" s="18" t="s">
        <v>51</v>
      </c>
      <c r="Y96" s="18" t="s">
        <v>51</v>
      </c>
      <c r="AA96" s="18">
        <v>0</v>
      </c>
      <c r="AB96" s="18">
        <v>0</v>
      </c>
      <c r="AC96" s="18">
        <v>0</v>
      </c>
      <c r="AD96" s="18" t="s">
        <v>65</v>
      </c>
      <c r="AE96" s="18">
        <v>0</v>
      </c>
      <c r="AF96" s="18">
        <f t="shared" si="6"/>
        <v>0</v>
      </c>
      <c r="AG96" s="18" t="str">
        <f t="shared" si="7"/>
        <v>LOW</v>
      </c>
    </row>
    <row r="97" spans="1:33" ht="28.8" x14ac:dyDescent="0.3">
      <c r="A97" s="66">
        <v>96</v>
      </c>
      <c r="B97" s="18" t="s">
        <v>2</v>
      </c>
      <c r="C97" s="18" t="s">
        <v>4</v>
      </c>
      <c r="D97" s="18" t="s">
        <v>74</v>
      </c>
      <c r="E97" s="29" t="s">
        <v>1087</v>
      </c>
      <c r="F97" s="29" t="s">
        <v>117</v>
      </c>
      <c r="G97" s="18">
        <v>0</v>
      </c>
      <c r="H97" s="18">
        <v>0</v>
      </c>
      <c r="I97" s="18" t="s">
        <v>9</v>
      </c>
      <c r="J97" s="18" t="s">
        <v>63</v>
      </c>
      <c r="K97" s="68">
        <v>0</v>
      </c>
      <c r="L97" s="18">
        <v>0</v>
      </c>
      <c r="N97" s="19">
        <v>45328</v>
      </c>
      <c r="O97" s="19">
        <v>45328</v>
      </c>
      <c r="P97" s="18">
        <f t="shared" si="4"/>
        <v>0</v>
      </c>
      <c r="Q97" s="30" t="s">
        <v>557</v>
      </c>
      <c r="S97" s="19">
        <v>45348</v>
      </c>
      <c r="T97" s="18">
        <f t="shared" si="5"/>
        <v>0</v>
      </c>
      <c r="X97" s="18" t="s">
        <v>51</v>
      </c>
      <c r="Y97" s="18" t="s">
        <v>51</v>
      </c>
      <c r="AA97" s="18">
        <v>0</v>
      </c>
      <c r="AB97" s="18">
        <v>0</v>
      </c>
      <c r="AC97" s="18">
        <v>0</v>
      </c>
      <c r="AD97" s="18" t="s">
        <v>65</v>
      </c>
      <c r="AE97" s="18">
        <v>0</v>
      </c>
      <c r="AF97" s="18">
        <f t="shared" si="6"/>
        <v>0</v>
      </c>
      <c r="AG97" s="18" t="str">
        <f t="shared" si="7"/>
        <v>LOW</v>
      </c>
    </row>
    <row r="98" spans="1:33" ht="28.8" x14ac:dyDescent="0.3">
      <c r="A98" s="66">
        <v>97</v>
      </c>
      <c r="B98" s="18" t="s">
        <v>2</v>
      </c>
      <c r="C98" s="18" t="s">
        <v>4</v>
      </c>
      <c r="D98" s="18" t="s">
        <v>74</v>
      </c>
      <c r="E98" s="29" t="s">
        <v>1088</v>
      </c>
      <c r="F98" s="29" t="s">
        <v>117</v>
      </c>
      <c r="G98" s="18">
        <v>0</v>
      </c>
      <c r="H98" s="18">
        <v>0</v>
      </c>
      <c r="I98" s="18" t="s">
        <v>9</v>
      </c>
      <c r="J98" s="18" t="s">
        <v>63</v>
      </c>
      <c r="K98" s="68">
        <v>0</v>
      </c>
      <c r="L98" s="18">
        <v>0</v>
      </c>
      <c r="N98" s="19">
        <v>45328</v>
      </c>
      <c r="O98" s="19">
        <v>45328</v>
      </c>
      <c r="P98" s="18">
        <f t="shared" si="4"/>
        <v>0</v>
      </c>
      <c r="Q98" s="30" t="s">
        <v>558</v>
      </c>
      <c r="T98" s="18">
        <f t="shared" si="5"/>
        <v>0</v>
      </c>
      <c r="X98" s="18" t="s">
        <v>51</v>
      </c>
      <c r="Y98" s="18" t="s">
        <v>51</v>
      </c>
      <c r="AA98" s="18">
        <v>0</v>
      </c>
      <c r="AB98" s="18">
        <v>0</v>
      </c>
      <c r="AC98" s="18">
        <v>0</v>
      </c>
      <c r="AD98" s="18" t="s">
        <v>65</v>
      </c>
      <c r="AE98" s="18">
        <v>0</v>
      </c>
      <c r="AF98" s="18">
        <f t="shared" si="6"/>
        <v>0</v>
      </c>
      <c r="AG98" s="18" t="str">
        <f t="shared" si="7"/>
        <v>LOW</v>
      </c>
    </row>
    <row r="99" spans="1:33" ht="43.2" x14ac:dyDescent="0.3">
      <c r="A99" s="66">
        <v>98</v>
      </c>
      <c r="B99" s="18" t="s">
        <v>2</v>
      </c>
      <c r="C99" s="18" t="s">
        <v>4</v>
      </c>
      <c r="D99" s="18" t="s">
        <v>76</v>
      </c>
      <c r="E99" s="29" t="s">
        <v>1089</v>
      </c>
      <c r="F99" s="29" t="s">
        <v>117</v>
      </c>
      <c r="G99" s="18">
        <v>0</v>
      </c>
      <c r="H99" s="18">
        <v>0</v>
      </c>
      <c r="I99" s="18" t="s">
        <v>9</v>
      </c>
      <c r="J99" s="18" t="s">
        <v>63</v>
      </c>
      <c r="K99" s="68">
        <v>0</v>
      </c>
      <c r="L99" s="18">
        <v>0</v>
      </c>
      <c r="N99" s="19">
        <v>45328</v>
      </c>
      <c r="O99" s="19">
        <v>45328</v>
      </c>
      <c r="P99" s="18">
        <f t="shared" si="4"/>
        <v>0</v>
      </c>
      <c r="Q99" s="30" t="s">
        <v>559</v>
      </c>
      <c r="T99" s="18">
        <f t="shared" si="5"/>
        <v>0</v>
      </c>
      <c r="X99" s="18" t="s">
        <v>53</v>
      </c>
      <c r="Y99" s="18" t="s">
        <v>51</v>
      </c>
      <c r="AA99" s="18">
        <v>0</v>
      </c>
      <c r="AB99" s="18">
        <v>0</v>
      </c>
      <c r="AC99" s="18">
        <v>0</v>
      </c>
      <c r="AD99" s="18" t="s">
        <v>65</v>
      </c>
      <c r="AE99" s="18">
        <v>0</v>
      </c>
      <c r="AF99" s="18">
        <f t="shared" si="6"/>
        <v>0</v>
      </c>
      <c r="AG99" s="18" t="str">
        <f t="shared" si="7"/>
        <v>LOW</v>
      </c>
    </row>
    <row r="100" spans="1:33" ht="28.8" x14ac:dyDescent="0.3">
      <c r="A100" s="66">
        <v>99</v>
      </c>
      <c r="B100" s="18" t="s">
        <v>1</v>
      </c>
      <c r="C100" s="18" t="s">
        <v>4</v>
      </c>
      <c r="D100" s="18" t="s">
        <v>72</v>
      </c>
      <c r="E100" s="29" t="s">
        <v>1090</v>
      </c>
      <c r="F100" s="29" t="s">
        <v>117</v>
      </c>
      <c r="G100" s="18">
        <v>0</v>
      </c>
      <c r="H100" s="18">
        <v>0</v>
      </c>
      <c r="I100" s="18" t="s">
        <v>9</v>
      </c>
      <c r="J100" s="18" t="s">
        <v>63</v>
      </c>
      <c r="K100" s="68">
        <v>0</v>
      </c>
      <c r="L100" s="18">
        <v>0</v>
      </c>
      <c r="N100" s="19">
        <v>45328</v>
      </c>
      <c r="O100" s="19">
        <v>45328</v>
      </c>
      <c r="P100" s="18">
        <f t="shared" si="4"/>
        <v>0</v>
      </c>
      <c r="Q100" s="30" t="s">
        <v>560</v>
      </c>
      <c r="T100" s="18">
        <f t="shared" si="5"/>
        <v>0</v>
      </c>
      <c r="X100" s="18" t="s">
        <v>53</v>
      </c>
      <c r="Y100" s="18" t="s">
        <v>51</v>
      </c>
      <c r="AA100" s="18">
        <v>0</v>
      </c>
      <c r="AB100" s="18">
        <v>0</v>
      </c>
      <c r="AC100" s="18">
        <v>0</v>
      </c>
      <c r="AD100" s="18" t="s">
        <v>65</v>
      </c>
      <c r="AE100" s="18">
        <v>0</v>
      </c>
      <c r="AF100" s="18">
        <f t="shared" si="6"/>
        <v>0</v>
      </c>
      <c r="AG100" s="18" t="str">
        <f t="shared" si="7"/>
        <v>LOW</v>
      </c>
    </row>
    <row r="101" spans="1:33" ht="28.8" x14ac:dyDescent="0.3">
      <c r="A101" s="66">
        <v>100</v>
      </c>
      <c r="B101" s="18" t="s">
        <v>2</v>
      </c>
      <c r="C101" s="18" t="s">
        <v>4</v>
      </c>
      <c r="D101" s="18" t="s">
        <v>74</v>
      </c>
      <c r="E101" s="29" t="s">
        <v>1091</v>
      </c>
      <c r="F101" s="29" t="s">
        <v>117</v>
      </c>
      <c r="G101" s="18">
        <v>0</v>
      </c>
      <c r="H101" s="18">
        <v>0</v>
      </c>
      <c r="I101" s="18" t="s">
        <v>9</v>
      </c>
      <c r="J101" s="18" t="s">
        <v>63</v>
      </c>
      <c r="K101" s="68">
        <v>0</v>
      </c>
      <c r="L101" s="18">
        <v>0</v>
      </c>
      <c r="N101" s="19">
        <v>45328</v>
      </c>
      <c r="O101" s="19">
        <v>45328</v>
      </c>
      <c r="P101" s="18">
        <f t="shared" si="4"/>
        <v>0</v>
      </c>
      <c r="Q101" s="30" t="s">
        <v>561</v>
      </c>
      <c r="T101" s="18">
        <f t="shared" si="5"/>
        <v>0</v>
      </c>
      <c r="X101" s="18" t="s">
        <v>53</v>
      </c>
      <c r="Y101" s="18" t="s">
        <v>51</v>
      </c>
      <c r="AA101" s="18">
        <v>0</v>
      </c>
      <c r="AB101" s="18">
        <v>0</v>
      </c>
      <c r="AC101" s="18">
        <v>0</v>
      </c>
      <c r="AD101" s="18" t="s">
        <v>65</v>
      </c>
      <c r="AE101" s="18">
        <v>0</v>
      </c>
      <c r="AF101" s="18">
        <f t="shared" si="6"/>
        <v>0</v>
      </c>
      <c r="AG101" s="18" t="str">
        <f t="shared" si="7"/>
        <v>LOW</v>
      </c>
    </row>
    <row r="102" spans="1:33" x14ac:dyDescent="0.3">
      <c r="A102" s="66">
        <v>101</v>
      </c>
      <c r="B102" s="18" t="s">
        <v>1</v>
      </c>
      <c r="C102" s="18" t="s">
        <v>4</v>
      </c>
      <c r="D102" s="18" t="s">
        <v>75</v>
      </c>
      <c r="E102" s="29" t="s">
        <v>1092</v>
      </c>
      <c r="F102" s="29" t="s">
        <v>314</v>
      </c>
      <c r="G102" s="18">
        <v>0</v>
      </c>
      <c r="H102" s="18">
        <v>1</v>
      </c>
      <c r="I102" s="18" t="s">
        <v>9</v>
      </c>
      <c r="J102" s="18" t="s">
        <v>63</v>
      </c>
      <c r="K102" s="68">
        <v>0</v>
      </c>
      <c r="L102" s="18">
        <v>0</v>
      </c>
      <c r="M102" s="18">
        <v>36</v>
      </c>
      <c r="N102" s="19">
        <v>45328</v>
      </c>
      <c r="O102" s="19">
        <v>45328</v>
      </c>
      <c r="P102" s="18">
        <f t="shared" si="4"/>
        <v>0</v>
      </c>
      <c r="Q102" s="30" t="s">
        <v>562</v>
      </c>
      <c r="T102" s="18">
        <f t="shared" si="5"/>
        <v>0</v>
      </c>
      <c r="X102" s="18" t="s">
        <v>53</v>
      </c>
      <c r="Y102" s="18" t="s">
        <v>51</v>
      </c>
      <c r="AA102" s="18">
        <v>0</v>
      </c>
      <c r="AB102" s="18">
        <v>0</v>
      </c>
      <c r="AC102" s="18">
        <v>0</v>
      </c>
      <c r="AD102" s="18" t="s">
        <v>65</v>
      </c>
      <c r="AE102" s="18">
        <v>0</v>
      </c>
      <c r="AF102" s="18">
        <f t="shared" si="6"/>
        <v>1</v>
      </c>
      <c r="AG102" s="18" t="str">
        <f t="shared" si="7"/>
        <v>LOW</v>
      </c>
    </row>
    <row r="103" spans="1:33" x14ac:dyDescent="0.3">
      <c r="A103" s="66">
        <v>102</v>
      </c>
      <c r="B103" s="18" t="s">
        <v>2</v>
      </c>
      <c r="C103" s="18" t="s">
        <v>4</v>
      </c>
      <c r="D103" s="18" t="s">
        <v>74</v>
      </c>
      <c r="E103" s="29" t="s">
        <v>1093</v>
      </c>
      <c r="F103" s="29" t="s">
        <v>117</v>
      </c>
      <c r="G103" s="18">
        <v>0</v>
      </c>
      <c r="H103" s="18">
        <v>0</v>
      </c>
      <c r="I103" s="18" t="s">
        <v>9</v>
      </c>
      <c r="J103" s="18" t="s">
        <v>63</v>
      </c>
      <c r="K103" s="68">
        <v>0</v>
      </c>
      <c r="L103" s="18">
        <v>0</v>
      </c>
      <c r="N103" s="19">
        <v>45329</v>
      </c>
      <c r="O103" s="19">
        <v>45330</v>
      </c>
      <c r="P103" s="18">
        <f t="shared" si="4"/>
        <v>1</v>
      </c>
      <c r="Q103" s="30" t="s">
        <v>563</v>
      </c>
      <c r="T103" s="18">
        <f t="shared" si="5"/>
        <v>1</v>
      </c>
      <c r="X103" s="18" t="s">
        <v>51</v>
      </c>
      <c r="Y103" s="18" t="s">
        <v>51</v>
      </c>
      <c r="AA103" s="18">
        <v>0</v>
      </c>
      <c r="AB103" s="18">
        <v>0</v>
      </c>
      <c r="AC103" s="18">
        <v>0</v>
      </c>
      <c r="AD103" s="18" t="s">
        <v>65</v>
      </c>
      <c r="AE103" s="18">
        <v>0</v>
      </c>
      <c r="AF103" s="18">
        <f t="shared" si="6"/>
        <v>0</v>
      </c>
      <c r="AG103" s="18" t="str">
        <f t="shared" si="7"/>
        <v>LOW</v>
      </c>
    </row>
    <row r="104" spans="1:33" x14ac:dyDescent="0.3">
      <c r="A104" s="66">
        <v>103</v>
      </c>
      <c r="B104" s="18" t="s">
        <v>2</v>
      </c>
      <c r="C104" s="18" t="s">
        <v>4</v>
      </c>
      <c r="D104" s="18" t="s">
        <v>74</v>
      </c>
      <c r="E104" s="29" t="s">
        <v>1094</v>
      </c>
      <c r="F104" s="29" t="s">
        <v>117</v>
      </c>
      <c r="G104" s="18">
        <v>0</v>
      </c>
      <c r="H104" s="18">
        <v>0</v>
      </c>
      <c r="I104" s="18" t="s">
        <v>9</v>
      </c>
      <c r="J104" s="18" t="s">
        <v>63</v>
      </c>
      <c r="K104" s="68">
        <v>0</v>
      </c>
      <c r="L104" s="18">
        <v>0</v>
      </c>
      <c r="N104" s="19">
        <v>45329</v>
      </c>
      <c r="O104" s="19">
        <v>45329</v>
      </c>
      <c r="P104" s="18">
        <f t="shared" si="4"/>
        <v>0</v>
      </c>
      <c r="Q104" s="30" t="s">
        <v>564</v>
      </c>
      <c r="T104" s="18">
        <f t="shared" si="5"/>
        <v>0</v>
      </c>
      <c r="X104" s="18" t="s">
        <v>51</v>
      </c>
      <c r="Y104" s="18" t="s">
        <v>51</v>
      </c>
      <c r="AA104" s="18">
        <v>0</v>
      </c>
      <c r="AB104" s="18">
        <v>0</v>
      </c>
      <c r="AC104" s="18">
        <v>0</v>
      </c>
      <c r="AD104" s="18" t="s">
        <v>65</v>
      </c>
      <c r="AE104" s="18">
        <v>0</v>
      </c>
      <c r="AF104" s="18">
        <f t="shared" si="6"/>
        <v>0</v>
      </c>
      <c r="AG104" s="18" t="str">
        <f t="shared" si="7"/>
        <v>LOW</v>
      </c>
    </row>
    <row r="105" spans="1:33" ht="28.8" x14ac:dyDescent="0.3">
      <c r="A105" s="66">
        <v>104</v>
      </c>
      <c r="B105" s="18" t="s">
        <v>2</v>
      </c>
      <c r="C105" s="18" t="s">
        <v>4</v>
      </c>
      <c r="D105" s="18" t="s">
        <v>76</v>
      </c>
      <c r="E105" s="29" t="s">
        <v>1095</v>
      </c>
      <c r="F105" s="29" t="s">
        <v>117</v>
      </c>
      <c r="G105" s="18">
        <v>0</v>
      </c>
      <c r="H105" s="18">
        <v>0</v>
      </c>
      <c r="I105" s="18" t="s">
        <v>9</v>
      </c>
      <c r="J105" s="18" t="s">
        <v>63</v>
      </c>
      <c r="K105" s="68">
        <v>0</v>
      </c>
      <c r="L105" s="18">
        <v>0</v>
      </c>
      <c r="N105" s="19">
        <v>45329</v>
      </c>
      <c r="O105" s="19">
        <v>45329</v>
      </c>
      <c r="P105" s="18">
        <f t="shared" si="4"/>
        <v>0</v>
      </c>
      <c r="Q105" s="30" t="s">
        <v>565</v>
      </c>
      <c r="S105" s="19">
        <v>45352</v>
      </c>
      <c r="T105" s="18">
        <f t="shared" si="5"/>
        <v>0</v>
      </c>
      <c r="X105" s="18" t="s">
        <v>53</v>
      </c>
      <c r="Y105" s="18" t="s">
        <v>51</v>
      </c>
      <c r="AA105" s="18">
        <v>0</v>
      </c>
      <c r="AB105" s="18">
        <v>0</v>
      </c>
      <c r="AC105" s="18">
        <v>0</v>
      </c>
      <c r="AD105" s="18" t="s">
        <v>65</v>
      </c>
      <c r="AE105" s="18">
        <v>0</v>
      </c>
      <c r="AF105" s="18">
        <f t="shared" si="6"/>
        <v>0</v>
      </c>
      <c r="AG105" s="18" t="str">
        <f t="shared" si="7"/>
        <v>LOW</v>
      </c>
    </row>
    <row r="106" spans="1:33" ht="28.8" x14ac:dyDescent="0.3">
      <c r="A106" s="66">
        <v>105</v>
      </c>
      <c r="B106" s="18" t="s">
        <v>1</v>
      </c>
      <c r="C106" s="18" t="s">
        <v>4</v>
      </c>
      <c r="D106" s="18" t="s">
        <v>72</v>
      </c>
      <c r="E106" s="29" t="s">
        <v>1096</v>
      </c>
      <c r="F106" s="29" t="s">
        <v>315</v>
      </c>
      <c r="G106" s="18">
        <v>0</v>
      </c>
      <c r="H106" s="18">
        <v>0</v>
      </c>
      <c r="I106" s="18" t="s">
        <v>9</v>
      </c>
      <c r="J106" s="18" t="s">
        <v>63</v>
      </c>
      <c r="K106" s="68">
        <v>0</v>
      </c>
      <c r="L106" s="18">
        <v>0</v>
      </c>
      <c r="M106" s="18">
        <v>24</v>
      </c>
      <c r="N106" s="19">
        <v>45329</v>
      </c>
      <c r="O106" s="19">
        <v>45329</v>
      </c>
      <c r="P106" s="18">
        <f t="shared" si="4"/>
        <v>0</v>
      </c>
      <c r="Q106" s="30" t="s">
        <v>566</v>
      </c>
      <c r="T106" s="18">
        <f t="shared" si="5"/>
        <v>0</v>
      </c>
      <c r="X106" s="18" t="s">
        <v>51</v>
      </c>
      <c r="Y106" s="18" t="s">
        <v>51</v>
      </c>
      <c r="AA106" s="18">
        <v>0</v>
      </c>
      <c r="AB106" s="18">
        <v>0</v>
      </c>
      <c r="AC106" s="18">
        <v>0</v>
      </c>
      <c r="AD106" s="18" t="s">
        <v>65</v>
      </c>
      <c r="AE106" s="18">
        <v>0</v>
      </c>
      <c r="AF106" s="18">
        <f t="shared" si="6"/>
        <v>0</v>
      </c>
      <c r="AG106" s="18" t="str">
        <f t="shared" si="7"/>
        <v>LOW</v>
      </c>
    </row>
    <row r="107" spans="1:33" x14ac:dyDescent="0.3">
      <c r="A107" s="66">
        <v>106</v>
      </c>
      <c r="B107" s="18" t="s">
        <v>2</v>
      </c>
      <c r="C107" s="18" t="s">
        <v>4</v>
      </c>
      <c r="D107" s="18" t="s">
        <v>79</v>
      </c>
      <c r="E107" s="29" t="s">
        <v>1097</v>
      </c>
      <c r="F107" s="29" t="s">
        <v>117</v>
      </c>
      <c r="G107" s="18">
        <v>0</v>
      </c>
      <c r="H107" s="18">
        <v>0</v>
      </c>
      <c r="I107" s="18" t="s">
        <v>9</v>
      </c>
      <c r="J107" s="18" t="s">
        <v>63</v>
      </c>
      <c r="K107" s="68">
        <v>0</v>
      </c>
      <c r="L107" s="18">
        <v>0</v>
      </c>
      <c r="N107" s="19">
        <v>45330</v>
      </c>
      <c r="O107" s="19">
        <v>45330</v>
      </c>
      <c r="P107" s="18">
        <f t="shared" si="4"/>
        <v>0</v>
      </c>
      <c r="Q107" s="30" t="s">
        <v>567</v>
      </c>
      <c r="T107" s="18">
        <f t="shared" si="5"/>
        <v>0</v>
      </c>
      <c r="X107" s="18" t="s">
        <v>51</v>
      </c>
      <c r="Y107" s="18" t="s">
        <v>51</v>
      </c>
      <c r="AA107" s="18">
        <v>0</v>
      </c>
      <c r="AB107" s="18">
        <v>0</v>
      </c>
      <c r="AC107" s="18">
        <v>0</v>
      </c>
      <c r="AD107" s="18" t="s">
        <v>65</v>
      </c>
      <c r="AE107" s="18">
        <v>0</v>
      </c>
      <c r="AF107" s="18">
        <f t="shared" si="6"/>
        <v>0</v>
      </c>
      <c r="AG107" s="18" t="str">
        <f t="shared" si="7"/>
        <v>LOW</v>
      </c>
    </row>
    <row r="108" spans="1:33" ht="43.2" x14ac:dyDescent="0.3">
      <c r="A108" s="66">
        <v>107</v>
      </c>
      <c r="B108" s="18" t="s">
        <v>2</v>
      </c>
      <c r="C108" s="18" t="s">
        <v>4</v>
      </c>
      <c r="D108" s="18" t="s">
        <v>71</v>
      </c>
      <c r="E108" s="29" t="s">
        <v>1098</v>
      </c>
      <c r="F108" s="29" t="s">
        <v>117</v>
      </c>
      <c r="G108" s="18">
        <v>0</v>
      </c>
      <c r="H108" s="18">
        <v>0</v>
      </c>
      <c r="I108" s="18" t="s">
        <v>9</v>
      </c>
      <c r="J108" s="18" t="s">
        <v>63</v>
      </c>
      <c r="K108" s="68">
        <v>0</v>
      </c>
      <c r="L108" s="18">
        <v>0</v>
      </c>
      <c r="N108" s="19">
        <v>45330</v>
      </c>
      <c r="O108" s="19">
        <v>45334</v>
      </c>
      <c r="P108" s="18">
        <f t="shared" si="4"/>
        <v>4</v>
      </c>
      <c r="Q108" s="30" t="s">
        <v>568</v>
      </c>
      <c r="T108" s="18">
        <f t="shared" si="5"/>
        <v>4</v>
      </c>
      <c r="X108" s="18" t="s">
        <v>51</v>
      </c>
      <c r="Y108" s="18" t="s">
        <v>51</v>
      </c>
      <c r="AA108" s="18">
        <v>0</v>
      </c>
      <c r="AB108" s="18">
        <v>0</v>
      </c>
      <c r="AC108" s="18">
        <v>0</v>
      </c>
      <c r="AD108" s="18" t="s">
        <v>65</v>
      </c>
      <c r="AE108" s="18">
        <v>0</v>
      </c>
      <c r="AF108" s="18">
        <f t="shared" si="6"/>
        <v>0</v>
      </c>
      <c r="AG108" s="18" t="str">
        <f t="shared" si="7"/>
        <v>LOW</v>
      </c>
    </row>
    <row r="109" spans="1:33" x14ac:dyDescent="0.3">
      <c r="A109" s="66">
        <v>108</v>
      </c>
      <c r="B109" s="18" t="s">
        <v>2</v>
      </c>
      <c r="C109" s="18" t="s">
        <v>4</v>
      </c>
      <c r="D109" s="18" t="s">
        <v>80</v>
      </c>
      <c r="E109" s="29" t="s">
        <v>1099</v>
      </c>
      <c r="F109" s="29" t="s">
        <v>117</v>
      </c>
      <c r="G109" s="18">
        <v>0</v>
      </c>
      <c r="H109" s="18">
        <v>0</v>
      </c>
      <c r="I109" s="18" t="s">
        <v>9</v>
      </c>
      <c r="J109" s="18" t="s">
        <v>450</v>
      </c>
      <c r="K109" s="68">
        <v>0</v>
      </c>
      <c r="L109" s="18">
        <v>0</v>
      </c>
      <c r="N109" s="19">
        <v>45330</v>
      </c>
      <c r="O109" s="19">
        <v>45330</v>
      </c>
      <c r="P109" s="18">
        <f t="shared" si="4"/>
        <v>0</v>
      </c>
      <c r="Q109" s="30" t="s">
        <v>569</v>
      </c>
      <c r="S109" s="19">
        <v>45349</v>
      </c>
      <c r="T109" s="18">
        <f t="shared" si="5"/>
        <v>0</v>
      </c>
      <c r="X109" s="18" t="s">
        <v>53</v>
      </c>
      <c r="Y109" s="18" t="s">
        <v>51</v>
      </c>
      <c r="AA109" s="18">
        <v>0</v>
      </c>
      <c r="AB109" s="18">
        <v>0</v>
      </c>
      <c r="AC109" s="18">
        <v>0</v>
      </c>
      <c r="AD109" s="18" t="s">
        <v>65</v>
      </c>
      <c r="AE109" s="18">
        <v>0</v>
      </c>
      <c r="AF109" s="18">
        <f t="shared" si="6"/>
        <v>0</v>
      </c>
      <c r="AG109" s="18" t="str">
        <f t="shared" si="7"/>
        <v>LOW</v>
      </c>
    </row>
    <row r="110" spans="1:33" ht="28.8" x14ac:dyDescent="0.3">
      <c r="A110" s="66">
        <v>109</v>
      </c>
      <c r="B110" s="18" t="s">
        <v>2</v>
      </c>
      <c r="C110" s="18" t="s">
        <v>4</v>
      </c>
      <c r="D110" s="18" t="s">
        <v>74</v>
      </c>
      <c r="E110" s="29" t="s">
        <v>1100</v>
      </c>
      <c r="F110" s="29" t="s">
        <v>117</v>
      </c>
      <c r="G110" s="18">
        <v>0</v>
      </c>
      <c r="H110" s="18">
        <v>0</v>
      </c>
      <c r="I110" s="18" t="s">
        <v>9</v>
      </c>
      <c r="J110" s="18" t="s">
        <v>63</v>
      </c>
      <c r="K110" s="68">
        <v>0</v>
      </c>
      <c r="L110" s="18">
        <v>0</v>
      </c>
      <c r="N110" s="19">
        <v>45330</v>
      </c>
      <c r="O110" s="19">
        <v>45330</v>
      </c>
      <c r="P110" s="18">
        <f t="shared" si="4"/>
        <v>0</v>
      </c>
      <c r="Q110" s="30" t="s">
        <v>570</v>
      </c>
      <c r="T110" s="18">
        <f t="shared" si="5"/>
        <v>0</v>
      </c>
      <c r="X110" s="18" t="s">
        <v>51</v>
      </c>
      <c r="Y110" s="18" t="s">
        <v>51</v>
      </c>
      <c r="AA110" s="18">
        <v>0</v>
      </c>
      <c r="AB110" s="18">
        <v>0</v>
      </c>
      <c r="AC110" s="18">
        <v>0</v>
      </c>
      <c r="AD110" s="18" t="s">
        <v>65</v>
      </c>
      <c r="AE110" s="18">
        <v>0</v>
      </c>
      <c r="AF110" s="18">
        <f t="shared" si="6"/>
        <v>0</v>
      </c>
      <c r="AG110" s="18" t="str">
        <f t="shared" si="7"/>
        <v>LOW</v>
      </c>
    </row>
    <row r="111" spans="1:33" x14ac:dyDescent="0.3">
      <c r="A111" s="66">
        <v>110</v>
      </c>
      <c r="B111" s="18" t="s">
        <v>2</v>
      </c>
      <c r="C111" s="18" t="s">
        <v>4</v>
      </c>
      <c r="D111" s="18" t="s">
        <v>76</v>
      </c>
      <c r="E111" s="29" t="s">
        <v>1101</v>
      </c>
      <c r="F111" s="29" t="s">
        <v>117</v>
      </c>
      <c r="G111" s="18">
        <v>0</v>
      </c>
      <c r="H111" s="18">
        <v>0</v>
      </c>
      <c r="I111" s="18" t="s">
        <v>9</v>
      </c>
      <c r="J111" s="18" t="s">
        <v>63</v>
      </c>
      <c r="K111" s="68">
        <v>0</v>
      </c>
      <c r="L111" s="18">
        <v>0</v>
      </c>
      <c r="N111" s="19">
        <v>45331</v>
      </c>
      <c r="O111" s="19">
        <v>45331</v>
      </c>
      <c r="P111" s="18">
        <f t="shared" si="4"/>
        <v>0</v>
      </c>
      <c r="Q111" s="30" t="s">
        <v>571</v>
      </c>
      <c r="T111" s="18">
        <f t="shared" si="5"/>
        <v>0</v>
      </c>
      <c r="X111" s="18" t="s">
        <v>51</v>
      </c>
      <c r="Y111" s="18" t="s">
        <v>51</v>
      </c>
      <c r="AA111" s="18">
        <v>0</v>
      </c>
      <c r="AB111" s="18">
        <v>0</v>
      </c>
      <c r="AC111" s="18">
        <v>0</v>
      </c>
      <c r="AD111" s="18" t="s">
        <v>65</v>
      </c>
      <c r="AE111" s="18">
        <v>0</v>
      </c>
      <c r="AF111" s="18">
        <f t="shared" si="6"/>
        <v>0</v>
      </c>
      <c r="AG111" s="18" t="str">
        <f t="shared" si="7"/>
        <v>LOW</v>
      </c>
    </row>
    <row r="112" spans="1:33" ht="43.2" x14ac:dyDescent="0.3">
      <c r="A112" s="66">
        <v>111</v>
      </c>
      <c r="B112" s="18" t="s">
        <v>2</v>
      </c>
      <c r="C112" s="18" t="s">
        <v>4</v>
      </c>
      <c r="D112" s="18" t="s">
        <v>76</v>
      </c>
      <c r="E112" s="29" t="s">
        <v>1102</v>
      </c>
      <c r="F112" s="29" t="s">
        <v>117</v>
      </c>
      <c r="G112" s="18">
        <v>0</v>
      </c>
      <c r="H112" s="18">
        <v>0</v>
      </c>
      <c r="I112" s="18" t="s">
        <v>9</v>
      </c>
      <c r="J112" s="18" t="s">
        <v>452</v>
      </c>
      <c r="K112" s="68">
        <v>0</v>
      </c>
      <c r="L112" s="18">
        <v>0</v>
      </c>
      <c r="N112" s="19">
        <v>45331</v>
      </c>
      <c r="O112" s="19">
        <v>45331</v>
      </c>
      <c r="P112" s="18">
        <f t="shared" si="4"/>
        <v>0</v>
      </c>
      <c r="Q112" s="30" t="s">
        <v>572</v>
      </c>
      <c r="T112" s="18">
        <f t="shared" si="5"/>
        <v>0</v>
      </c>
      <c r="X112" s="18" t="s">
        <v>51</v>
      </c>
      <c r="Y112" s="18" t="s">
        <v>51</v>
      </c>
      <c r="AA112" s="18">
        <v>0</v>
      </c>
      <c r="AB112" s="18">
        <v>0</v>
      </c>
      <c r="AC112" s="18">
        <v>0</v>
      </c>
      <c r="AD112" s="18" t="s">
        <v>65</v>
      </c>
      <c r="AE112" s="18">
        <v>0</v>
      </c>
      <c r="AF112" s="18">
        <f t="shared" si="6"/>
        <v>0</v>
      </c>
      <c r="AG112" s="18" t="str">
        <f t="shared" si="7"/>
        <v>LOW</v>
      </c>
    </row>
    <row r="113" spans="1:33" ht="28.8" x14ac:dyDescent="0.3">
      <c r="A113" s="66">
        <v>112</v>
      </c>
      <c r="B113" s="18" t="s">
        <v>2</v>
      </c>
      <c r="C113" s="18" t="s">
        <v>4</v>
      </c>
      <c r="D113" s="18" t="s">
        <v>74</v>
      </c>
      <c r="E113" s="29" t="s">
        <v>1103</v>
      </c>
      <c r="F113" s="29" t="s">
        <v>117</v>
      </c>
      <c r="G113" s="18">
        <v>0</v>
      </c>
      <c r="H113" s="18">
        <v>0</v>
      </c>
      <c r="I113" s="18" t="s">
        <v>9</v>
      </c>
      <c r="J113" s="18" t="s">
        <v>452</v>
      </c>
      <c r="K113" s="68">
        <v>0</v>
      </c>
      <c r="L113" s="18">
        <v>0</v>
      </c>
      <c r="N113" s="19">
        <v>45331</v>
      </c>
      <c r="O113" s="19">
        <v>45331</v>
      </c>
      <c r="P113" s="18">
        <f t="shared" si="4"/>
        <v>0</v>
      </c>
      <c r="Q113" s="30" t="s">
        <v>573</v>
      </c>
      <c r="T113" s="18">
        <f t="shared" si="5"/>
        <v>0</v>
      </c>
      <c r="X113" s="18" t="s">
        <v>51</v>
      </c>
      <c r="Y113" s="18" t="s">
        <v>51</v>
      </c>
      <c r="AA113" s="18">
        <v>0</v>
      </c>
      <c r="AB113" s="18">
        <v>0</v>
      </c>
      <c r="AC113" s="18">
        <v>0</v>
      </c>
      <c r="AD113" s="18" t="s">
        <v>65</v>
      </c>
      <c r="AE113" s="18">
        <v>0</v>
      </c>
      <c r="AF113" s="18">
        <f t="shared" si="6"/>
        <v>0</v>
      </c>
      <c r="AG113" s="18" t="str">
        <f t="shared" si="7"/>
        <v>LOW</v>
      </c>
    </row>
    <row r="114" spans="1:33" ht="28.8" x14ac:dyDescent="0.3">
      <c r="A114" s="66">
        <v>113</v>
      </c>
      <c r="B114" s="18" t="s">
        <v>2</v>
      </c>
      <c r="C114" s="18" t="s">
        <v>4</v>
      </c>
      <c r="D114" s="18" t="s">
        <v>74</v>
      </c>
      <c r="E114" s="29" t="s">
        <v>1104</v>
      </c>
      <c r="F114" s="29" t="s">
        <v>117</v>
      </c>
      <c r="G114" s="18">
        <v>0</v>
      </c>
      <c r="H114" s="18">
        <v>0</v>
      </c>
      <c r="I114" s="18" t="s">
        <v>9</v>
      </c>
      <c r="J114" s="18" t="s">
        <v>450</v>
      </c>
      <c r="K114" s="68">
        <v>0</v>
      </c>
      <c r="L114" s="18">
        <v>0</v>
      </c>
      <c r="N114" s="19">
        <v>45331</v>
      </c>
      <c r="O114" s="19">
        <v>45331</v>
      </c>
      <c r="P114" s="18">
        <f t="shared" si="4"/>
        <v>0</v>
      </c>
      <c r="Q114" s="30" t="s">
        <v>574</v>
      </c>
      <c r="T114" s="18">
        <f t="shared" si="5"/>
        <v>0</v>
      </c>
      <c r="X114" s="18" t="s">
        <v>51</v>
      </c>
      <c r="Y114" s="18" t="s">
        <v>51</v>
      </c>
      <c r="AA114" s="18">
        <v>0</v>
      </c>
      <c r="AB114" s="18">
        <v>0</v>
      </c>
      <c r="AC114" s="18">
        <v>0</v>
      </c>
      <c r="AD114" s="18" t="s">
        <v>65</v>
      </c>
      <c r="AE114" s="18">
        <v>0</v>
      </c>
      <c r="AF114" s="18">
        <f t="shared" si="6"/>
        <v>0</v>
      </c>
      <c r="AG114" s="18" t="str">
        <f t="shared" si="7"/>
        <v>LOW</v>
      </c>
    </row>
    <row r="115" spans="1:33" ht="28.8" x14ac:dyDescent="0.3">
      <c r="A115" s="66">
        <v>114</v>
      </c>
      <c r="B115" s="18" t="s">
        <v>2</v>
      </c>
      <c r="C115" s="18" t="s">
        <v>4</v>
      </c>
      <c r="D115" s="18" t="s">
        <v>79</v>
      </c>
      <c r="E115" s="29" t="s">
        <v>1105</v>
      </c>
      <c r="F115" s="29" t="s">
        <v>117</v>
      </c>
      <c r="G115" s="18">
        <v>0</v>
      </c>
      <c r="H115" s="18">
        <v>0</v>
      </c>
      <c r="I115" s="18" t="s">
        <v>9</v>
      </c>
      <c r="J115" s="18" t="s">
        <v>452</v>
      </c>
      <c r="K115" s="68">
        <v>0</v>
      </c>
      <c r="L115" s="18">
        <v>0</v>
      </c>
      <c r="N115" s="19">
        <v>45331</v>
      </c>
      <c r="O115" s="19">
        <v>45331</v>
      </c>
      <c r="P115" s="18">
        <f t="shared" si="4"/>
        <v>0</v>
      </c>
      <c r="Q115" s="30" t="s">
        <v>575</v>
      </c>
      <c r="T115" s="18">
        <f t="shared" si="5"/>
        <v>0</v>
      </c>
      <c r="X115" s="18" t="s">
        <v>51</v>
      </c>
      <c r="Y115" s="18" t="s">
        <v>51</v>
      </c>
      <c r="AA115" s="18">
        <v>0</v>
      </c>
      <c r="AB115" s="18">
        <v>0</v>
      </c>
      <c r="AC115" s="18">
        <v>0</v>
      </c>
      <c r="AD115" s="18" t="s">
        <v>65</v>
      </c>
      <c r="AE115" s="18">
        <v>0</v>
      </c>
      <c r="AF115" s="18">
        <f t="shared" si="6"/>
        <v>0</v>
      </c>
      <c r="AG115" s="18" t="str">
        <f t="shared" si="7"/>
        <v>LOW</v>
      </c>
    </row>
    <row r="116" spans="1:33" ht="28.8" x14ac:dyDescent="0.3">
      <c r="A116" s="66">
        <v>115</v>
      </c>
      <c r="B116" s="18" t="s">
        <v>2</v>
      </c>
      <c r="C116" s="18" t="s">
        <v>4</v>
      </c>
      <c r="D116" s="18" t="s">
        <v>10</v>
      </c>
      <c r="E116" s="29" t="s">
        <v>1106</v>
      </c>
      <c r="F116" s="29" t="s">
        <v>117</v>
      </c>
      <c r="G116" s="18">
        <v>0</v>
      </c>
      <c r="H116" s="18">
        <v>0</v>
      </c>
      <c r="I116" s="18" t="s">
        <v>10</v>
      </c>
      <c r="J116" s="18" t="s">
        <v>10</v>
      </c>
      <c r="K116" s="68">
        <v>0</v>
      </c>
      <c r="L116" s="18">
        <v>0</v>
      </c>
      <c r="N116" s="19">
        <v>45331</v>
      </c>
      <c r="O116" s="19">
        <v>45331</v>
      </c>
      <c r="P116" s="18">
        <f t="shared" si="4"/>
        <v>0</v>
      </c>
      <c r="Q116" s="30" t="s">
        <v>576</v>
      </c>
      <c r="T116" s="18">
        <f t="shared" si="5"/>
        <v>0</v>
      </c>
      <c r="X116" s="18" t="s">
        <v>51</v>
      </c>
      <c r="Y116" s="18" t="s">
        <v>51</v>
      </c>
      <c r="AA116" s="18">
        <v>0</v>
      </c>
      <c r="AB116" s="18">
        <v>0</v>
      </c>
      <c r="AC116" s="18">
        <v>0</v>
      </c>
      <c r="AD116" s="18" t="s">
        <v>65</v>
      </c>
      <c r="AE116" s="18">
        <v>0</v>
      </c>
      <c r="AF116" s="18">
        <f t="shared" si="6"/>
        <v>0</v>
      </c>
      <c r="AG116" s="18" t="str">
        <f t="shared" si="7"/>
        <v>LOW</v>
      </c>
    </row>
    <row r="117" spans="1:33" ht="43.2" x14ac:dyDescent="0.3">
      <c r="A117" s="66">
        <v>116</v>
      </c>
      <c r="B117" s="18" t="s">
        <v>2</v>
      </c>
      <c r="C117" s="18" t="s">
        <v>4</v>
      </c>
      <c r="D117" s="18" t="s">
        <v>74</v>
      </c>
      <c r="E117" s="29" t="s">
        <v>1107</v>
      </c>
      <c r="F117" s="29" t="s">
        <v>117</v>
      </c>
      <c r="G117" s="18">
        <v>0</v>
      </c>
      <c r="H117" s="18">
        <v>0</v>
      </c>
      <c r="I117" s="18" t="s">
        <v>9</v>
      </c>
      <c r="J117" s="18" t="s">
        <v>452</v>
      </c>
      <c r="K117" s="68">
        <v>0</v>
      </c>
      <c r="L117" s="18">
        <v>0</v>
      </c>
      <c r="N117" s="19">
        <v>45331</v>
      </c>
      <c r="O117" s="19">
        <v>45331</v>
      </c>
      <c r="P117" s="18">
        <f t="shared" si="4"/>
        <v>0</v>
      </c>
      <c r="Q117" s="30" t="s">
        <v>577</v>
      </c>
      <c r="T117" s="18">
        <f t="shared" si="5"/>
        <v>0</v>
      </c>
      <c r="X117" s="18" t="s">
        <v>51</v>
      </c>
      <c r="Y117" s="18" t="s">
        <v>51</v>
      </c>
      <c r="AA117" s="18">
        <v>0</v>
      </c>
      <c r="AB117" s="18">
        <v>0</v>
      </c>
      <c r="AC117" s="18">
        <v>0</v>
      </c>
      <c r="AD117" s="18" t="s">
        <v>65</v>
      </c>
      <c r="AE117" s="18">
        <v>0</v>
      </c>
      <c r="AF117" s="18">
        <f t="shared" si="6"/>
        <v>0</v>
      </c>
      <c r="AG117" s="18" t="str">
        <f t="shared" si="7"/>
        <v>LOW</v>
      </c>
    </row>
    <row r="118" spans="1:33" ht="28.8" x14ac:dyDescent="0.3">
      <c r="A118" s="66">
        <v>117</v>
      </c>
      <c r="B118" s="18" t="s">
        <v>2</v>
      </c>
      <c r="C118" s="18" t="s">
        <v>4</v>
      </c>
      <c r="D118" s="18" t="s">
        <v>74</v>
      </c>
      <c r="E118" s="29" t="s">
        <v>1108</v>
      </c>
      <c r="F118" s="29" t="s">
        <v>316</v>
      </c>
      <c r="G118" s="18">
        <v>0</v>
      </c>
      <c r="H118" s="18">
        <v>2</v>
      </c>
      <c r="I118" s="18" t="s">
        <v>9</v>
      </c>
      <c r="J118" s="18" t="s">
        <v>63</v>
      </c>
      <c r="K118" s="68">
        <v>0</v>
      </c>
      <c r="L118" s="18">
        <v>0</v>
      </c>
      <c r="N118" s="19">
        <v>45331</v>
      </c>
      <c r="O118" s="19">
        <v>45331</v>
      </c>
      <c r="P118" s="18">
        <f t="shared" si="4"/>
        <v>0</v>
      </c>
      <c r="Q118" s="30" t="s">
        <v>578</v>
      </c>
      <c r="S118" s="19">
        <v>45341</v>
      </c>
      <c r="T118" s="18">
        <f t="shared" si="5"/>
        <v>0</v>
      </c>
      <c r="X118" s="18" t="s">
        <v>51</v>
      </c>
      <c r="Y118" s="18" t="s">
        <v>51</v>
      </c>
      <c r="AA118" s="18">
        <v>0</v>
      </c>
      <c r="AB118" s="18">
        <v>0</v>
      </c>
      <c r="AC118" s="18">
        <v>0</v>
      </c>
      <c r="AD118" s="18" t="s">
        <v>65</v>
      </c>
      <c r="AE118" s="18">
        <v>0</v>
      </c>
      <c r="AF118" s="18">
        <f t="shared" si="6"/>
        <v>2</v>
      </c>
      <c r="AG118" s="18" t="str">
        <f t="shared" si="7"/>
        <v>LOW</v>
      </c>
    </row>
    <row r="119" spans="1:33" ht="28.8" x14ac:dyDescent="0.3">
      <c r="A119" s="66">
        <v>118</v>
      </c>
      <c r="B119" s="18" t="s">
        <v>2</v>
      </c>
      <c r="C119" s="18" t="s">
        <v>4</v>
      </c>
      <c r="D119" s="18" t="s">
        <v>74</v>
      </c>
      <c r="E119" s="29" t="s">
        <v>1109</v>
      </c>
      <c r="F119" s="29" t="s">
        <v>117</v>
      </c>
      <c r="G119" s="18">
        <v>0</v>
      </c>
      <c r="H119" s="18">
        <v>0</v>
      </c>
      <c r="I119" s="18" t="s">
        <v>9</v>
      </c>
      <c r="J119" s="18" t="s">
        <v>63</v>
      </c>
      <c r="K119" s="68">
        <v>0</v>
      </c>
      <c r="L119" s="18">
        <v>0</v>
      </c>
      <c r="N119" s="19">
        <v>45331</v>
      </c>
      <c r="O119" s="19">
        <v>45331</v>
      </c>
      <c r="P119" s="18">
        <f t="shared" si="4"/>
        <v>0</v>
      </c>
      <c r="Q119" s="30" t="s">
        <v>579</v>
      </c>
      <c r="T119" s="18">
        <f t="shared" si="5"/>
        <v>0</v>
      </c>
      <c r="X119" s="18" t="s">
        <v>51</v>
      </c>
      <c r="Y119" s="18" t="s">
        <v>51</v>
      </c>
      <c r="AA119" s="18">
        <v>0</v>
      </c>
      <c r="AB119" s="18">
        <v>0</v>
      </c>
      <c r="AC119" s="18">
        <v>0</v>
      </c>
      <c r="AD119" s="18" t="s">
        <v>65</v>
      </c>
      <c r="AE119" s="18">
        <v>0</v>
      </c>
      <c r="AF119" s="18">
        <f t="shared" si="6"/>
        <v>0</v>
      </c>
      <c r="AG119" s="18" t="str">
        <f t="shared" si="7"/>
        <v>LOW</v>
      </c>
    </row>
    <row r="120" spans="1:33" x14ac:dyDescent="0.3">
      <c r="A120" s="66">
        <v>119</v>
      </c>
      <c r="B120" s="18" t="s">
        <v>1</v>
      </c>
      <c r="C120" s="18" t="s">
        <v>4</v>
      </c>
      <c r="D120" s="18" t="s">
        <v>75</v>
      </c>
      <c r="E120" s="29" t="s">
        <v>118</v>
      </c>
      <c r="F120" s="29" t="s">
        <v>317</v>
      </c>
      <c r="G120" s="18">
        <v>0</v>
      </c>
      <c r="H120" s="18">
        <v>1</v>
      </c>
      <c r="I120" s="18" t="s">
        <v>9</v>
      </c>
      <c r="J120" s="18" t="s">
        <v>63</v>
      </c>
      <c r="K120" s="68">
        <v>0</v>
      </c>
      <c r="L120" s="18">
        <v>0</v>
      </c>
      <c r="N120" s="19">
        <v>45331</v>
      </c>
      <c r="O120" s="19">
        <v>45331</v>
      </c>
      <c r="P120" s="18">
        <f t="shared" si="4"/>
        <v>0</v>
      </c>
      <c r="Q120" s="30" t="s">
        <v>580</v>
      </c>
      <c r="T120" s="18">
        <f t="shared" si="5"/>
        <v>0</v>
      </c>
      <c r="X120" s="18" t="s">
        <v>51</v>
      </c>
      <c r="Y120" s="18" t="s">
        <v>51</v>
      </c>
      <c r="AA120" s="18">
        <v>0</v>
      </c>
      <c r="AB120" s="18">
        <v>0</v>
      </c>
      <c r="AC120" s="18">
        <v>0</v>
      </c>
      <c r="AD120" s="18" t="s">
        <v>65</v>
      </c>
      <c r="AE120" s="18">
        <v>0</v>
      </c>
      <c r="AF120" s="18">
        <f t="shared" si="6"/>
        <v>1</v>
      </c>
      <c r="AG120" s="18" t="str">
        <f t="shared" si="7"/>
        <v>LOW</v>
      </c>
    </row>
    <row r="121" spans="1:33" ht="43.2" x14ac:dyDescent="0.3">
      <c r="A121" s="66">
        <v>120</v>
      </c>
      <c r="B121" s="18" t="s">
        <v>2</v>
      </c>
      <c r="C121" s="18" t="s">
        <v>4</v>
      </c>
      <c r="D121" s="18" t="s">
        <v>74</v>
      </c>
      <c r="E121" s="29" t="s">
        <v>1110</v>
      </c>
      <c r="F121" s="29" t="s">
        <v>117</v>
      </c>
      <c r="G121" s="18">
        <v>0</v>
      </c>
      <c r="H121" s="18">
        <v>0</v>
      </c>
      <c r="I121" s="18" t="s">
        <v>9</v>
      </c>
      <c r="J121" s="18" t="s">
        <v>450</v>
      </c>
      <c r="K121" s="68">
        <v>0</v>
      </c>
      <c r="L121" s="18">
        <v>0</v>
      </c>
      <c r="N121" s="19">
        <v>45331</v>
      </c>
      <c r="O121" s="19">
        <v>45331</v>
      </c>
      <c r="P121" s="18">
        <f t="shared" si="4"/>
        <v>0</v>
      </c>
      <c r="Q121" s="30" t="s">
        <v>581</v>
      </c>
      <c r="T121" s="18">
        <f t="shared" si="5"/>
        <v>0</v>
      </c>
      <c r="X121" s="18" t="s">
        <v>51</v>
      </c>
      <c r="Y121" s="18" t="s">
        <v>51</v>
      </c>
      <c r="AA121" s="18">
        <v>0</v>
      </c>
      <c r="AB121" s="18">
        <v>0</v>
      </c>
      <c r="AC121" s="18">
        <v>0</v>
      </c>
      <c r="AD121" s="18" t="s">
        <v>65</v>
      </c>
      <c r="AE121" s="18">
        <v>0</v>
      </c>
      <c r="AF121" s="18">
        <f t="shared" si="6"/>
        <v>0</v>
      </c>
      <c r="AG121" s="18" t="str">
        <f t="shared" si="7"/>
        <v>LOW</v>
      </c>
    </row>
    <row r="122" spans="1:33" x14ac:dyDescent="0.3">
      <c r="A122" s="66">
        <v>121</v>
      </c>
      <c r="B122" s="18" t="s">
        <v>1</v>
      </c>
      <c r="C122" s="18" t="s">
        <v>4</v>
      </c>
      <c r="D122" s="18" t="s">
        <v>10</v>
      </c>
      <c r="E122" s="29" t="s">
        <v>1111</v>
      </c>
      <c r="F122" s="29" t="s">
        <v>318</v>
      </c>
      <c r="G122" s="18">
        <v>0</v>
      </c>
      <c r="H122" s="18">
        <v>0</v>
      </c>
      <c r="I122" s="18" t="s">
        <v>10</v>
      </c>
      <c r="J122" s="18" t="s">
        <v>10</v>
      </c>
      <c r="K122" s="68">
        <v>0</v>
      </c>
      <c r="L122" s="18">
        <v>0</v>
      </c>
      <c r="N122" s="19">
        <v>45331</v>
      </c>
      <c r="O122" s="19">
        <v>45331</v>
      </c>
      <c r="P122" s="18">
        <f t="shared" si="4"/>
        <v>0</v>
      </c>
      <c r="Q122" s="30" t="s">
        <v>582</v>
      </c>
      <c r="T122" s="18">
        <f t="shared" si="5"/>
        <v>0</v>
      </c>
      <c r="X122" s="18" t="s">
        <v>51</v>
      </c>
      <c r="Y122" s="18" t="s">
        <v>51</v>
      </c>
      <c r="AA122" s="18">
        <v>0</v>
      </c>
      <c r="AB122" s="18">
        <v>0</v>
      </c>
      <c r="AC122" s="18">
        <v>0</v>
      </c>
      <c r="AD122" s="18" t="s">
        <v>65</v>
      </c>
      <c r="AE122" s="18">
        <v>0</v>
      </c>
      <c r="AF122" s="18">
        <f t="shared" si="6"/>
        <v>0</v>
      </c>
      <c r="AG122" s="18" t="str">
        <f t="shared" si="7"/>
        <v>LOW</v>
      </c>
    </row>
    <row r="123" spans="1:33" ht="43.2" x14ac:dyDescent="0.3">
      <c r="A123" s="66">
        <v>122</v>
      </c>
      <c r="B123" s="18" t="s">
        <v>2</v>
      </c>
      <c r="C123" s="18" t="s">
        <v>4</v>
      </c>
      <c r="D123" s="18" t="s">
        <v>10</v>
      </c>
      <c r="E123" s="29" t="s">
        <v>1112</v>
      </c>
      <c r="F123" s="29" t="s">
        <v>117</v>
      </c>
      <c r="G123" s="18">
        <v>0</v>
      </c>
      <c r="H123" s="18">
        <v>0</v>
      </c>
      <c r="I123" s="18" t="s">
        <v>10</v>
      </c>
      <c r="J123" s="18" t="s">
        <v>10</v>
      </c>
      <c r="K123" s="68">
        <v>0</v>
      </c>
      <c r="L123" s="18">
        <v>0</v>
      </c>
      <c r="N123" s="19">
        <v>45331</v>
      </c>
      <c r="O123" s="19">
        <v>45338</v>
      </c>
      <c r="P123" s="18">
        <f t="shared" si="4"/>
        <v>7</v>
      </c>
      <c r="Q123" s="30" t="s">
        <v>583</v>
      </c>
      <c r="S123" s="19">
        <v>45341</v>
      </c>
      <c r="T123" s="18">
        <f t="shared" si="5"/>
        <v>7</v>
      </c>
      <c r="X123" s="18" t="s">
        <v>53</v>
      </c>
      <c r="Y123" s="18" t="s">
        <v>51</v>
      </c>
      <c r="AA123" s="18">
        <v>0</v>
      </c>
      <c r="AB123" s="18">
        <v>0</v>
      </c>
      <c r="AC123" s="18">
        <v>0</v>
      </c>
      <c r="AD123" s="18" t="s">
        <v>65</v>
      </c>
      <c r="AE123" s="18">
        <v>0</v>
      </c>
      <c r="AF123" s="18">
        <f t="shared" si="6"/>
        <v>0</v>
      </c>
      <c r="AG123" s="18" t="str">
        <f t="shared" si="7"/>
        <v>LOW</v>
      </c>
    </row>
    <row r="124" spans="1:33" x14ac:dyDescent="0.3">
      <c r="A124" s="66">
        <v>123</v>
      </c>
      <c r="B124" s="18" t="s">
        <v>2</v>
      </c>
      <c r="C124" s="18" t="s">
        <v>4</v>
      </c>
      <c r="D124" s="18" t="s">
        <v>76</v>
      </c>
      <c r="E124" s="29" t="s">
        <v>1113</v>
      </c>
      <c r="F124" s="29" t="s">
        <v>117</v>
      </c>
      <c r="G124" s="18">
        <v>0</v>
      </c>
      <c r="H124" s="18">
        <v>0</v>
      </c>
      <c r="I124" s="18" t="s">
        <v>9</v>
      </c>
      <c r="J124" s="18" t="s">
        <v>63</v>
      </c>
      <c r="K124" s="68">
        <v>0</v>
      </c>
      <c r="L124" s="18">
        <v>0</v>
      </c>
      <c r="N124" s="19">
        <v>45331</v>
      </c>
      <c r="O124" s="19">
        <v>45331</v>
      </c>
      <c r="P124" s="18">
        <f t="shared" si="4"/>
        <v>0</v>
      </c>
      <c r="Q124" s="30" t="s">
        <v>584</v>
      </c>
      <c r="T124" s="18">
        <f t="shared" si="5"/>
        <v>0</v>
      </c>
      <c r="X124" s="18" t="s">
        <v>51</v>
      </c>
      <c r="Y124" s="18" t="s">
        <v>51</v>
      </c>
      <c r="AA124" s="18">
        <v>0</v>
      </c>
      <c r="AB124" s="18">
        <v>0</v>
      </c>
      <c r="AC124" s="18">
        <v>0</v>
      </c>
      <c r="AD124" s="18" t="s">
        <v>65</v>
      </c>
      <c r="AE124" s="18">
        <v>0</v>
      </c>
      <c r="AF124" s="18">
        <f t="shared" si="6"/>
        <v>0</v>
      </c>
      <c r="AG124" s="18" t="str">
        <f t="shared" si="7"/>
        <v>LOW</v>
      </c>
    </row>
    <row r="125" spans="1:33" ht="28.8" x14ac:dyDescent="0.3">
      <c r="A125" s="66">
        <v>124</v>
      </c>
      <c r="B125" s="18" t="s">
        <v>2</v>
      </c>
      <c r="C125" s="18" t="s">
        <v>4</v>
      </c>
      <c r="D125" s="18" t="s">
        <v>76</v>
      </c>
      <c r="E125" s="29" t="s">
        <v>1114</v>
      </c>
      <c r="F125" s="29" t="s">
        <v>117</v>
      </c>
      <c r="G125" s="18">
        <v>0</v>
      </c>
      <c r="H125" s="18">
        <v>0</v>
      </c>
      <c r="I125" s="18" t="s">
        <v>9</v>
      </c>
      <c r="J125" s="18" t="s">
        <v>63</v>
      </c>
      <c r="K125" s="68">
        <v>0</v>
      </c>
      <c r="L125" s="18">
        <v>0</v>
      </c>
      <c r="N125" s="19">
        <v>45334</v>
      </c>
      <c r="O125" s="19">
        <v>45334</v>
      </c>
      <c r="P125" s="18">
        <f t="shared" si="4"/>
        <v>0</v>
      </c>
      <c r="Q125" s="30" t="s">
        <v>585</v>
      </c>
      <c r="S125" s="19">
        <v>45348</v>
      </c>
      <c r="T125" s="18">
        <f t="shared" si="5"/>
        <v>0</v>
      </c>
      <c r="X125" s="18" t="s">
        <v>51</v>
      </c>
      <c r="Y125" s="18" t="s">
        <v>51</v>
      </c>
      <c r="AA125" s="18">
        <v>0</v>
      </c>
      <c r="AB125" s="18">
        <v>0</v>
      </c>
      <c r="AC125" s="18">
        <v>0</v>
      </c>
      <c r="AD125" s="18" t="s">
        <v>65</v>
      </c>
      <c r="AE125" s="18">
        <v>0</v>
      </c>
      <c r="AF125" s="18">
        <f t="shared" si="6"/>
        <v>0</v>
      </c>
      <c r="AG125" s="18" t="str">
        <f t="shared" si="7"/>
        <v>LOW</v>
      </c>
    </row>
    <row r="126" spans="1:33" ht="28.8" x14ac:dyDescent="0.3">
      <c r="A126" s="66">
        <v>125</v>
      </c>
      <c r="B126" s="18" t="s">
        <v>2</v>
      </c>
      <c r="C126" s="18" t="s">
        <v>4</v>
      </c>
      <c r="D126" s="18" t="s">
        <v>74</v>
      </c>
      <c r="E126" s="29" t="s">
        <v>1115</v>
      </c>
      <c r="F126" s="29" t="s">
        <v>117</v>
      </c>
      <c r="G126" s="18">
        <v>0</v>
      </c>
      <c r="H126" s="18">
        <v>0</v>
      </c>
      <c r="I126" s="18" t="s">
        <v>9</v>
      </c>
      <c r="J126" s="18" t="s">
        <v>63</v>
      </c>
      <c r="K126" s="68">
        <v>0</v>
      </c>
      <c r="L126" s="18">
        <v>0</v>
      </c>
      <c r="N126" s="19">
        <v>45334</v>
      </c>
      <c r="O126" s="19">
        <v>45337</v>
      </c>
      <c r="P126" s="18">
        <f t="shared" si="4"/>
        <v>3</v>
      </c>
      <c r="Q126" s="30" t="s">
        <v>586</v>
      </c>
      <c r="S126" s="19">
        <v>45351</v>
      </c>
      <c r="T126" s="18">
        <f t="shared" si="5"/>
        <v>3</v>
      </c>
      <c r="X126" s="18" t="s">
        <v>53</v>
      </c>
      <c r="Y126" s="18" t="s">
        <v>51</v>
      </c>
      <c r="AA126" s="18">
        <v>0</v>
      </c>
      <c r="AB126" s="18">
        <v>0</v>
      </c>
      <c r="AC126" s="18">
        <v>0</v>
      </c>
      <c r="AD126" s="18" t="s">
        <v>65</v>
      </c>
      <c r="AE126" s="18">
        <v>0</v>
      </c>
      <c r="AF126" s="18">
        <f t="shared" si="6"/>
        <v>0</v>
      </c>
      <c r="AG126" s="18" t="str">
        <f t="shared" si="7"/>
        <v>LOW</v>
      </c>
    </row>
    <row r="127" spans="1:33" ht="28.8" x14ac:dyDescent="0.3">
      <c r="A127" s="66">
        <v>126</v>
      </c>
      <c r="B127" s="18" t="s">
        <v>2</v>
      </c>
      <c r="C127" s="18" t="s">
        <v>4</v>
      </c>
      <c r="D127" s="18" t="s">
        <v>81</v>
      </c>
      <c r="E127" s="29" t="s">
        <v>1116</v>
      </c>
      <c r="F127" s="29" t="s">
        <v>117</v>
      </c>
      <c r="G127" s="18">
        <v>0</v>
      </c>
      <c r="H127" s="18">
        <v>0</v>
      </c>
      <c r="I127" s="18" t="s">
        <v>10</v>
      </c>
      <c r="J127" s="18" t="s">
        <v>10</v>
      </c>
      <c r="K127" s="68">
        <v>0</v>
      </c>
      <c r="L127" s="18">
        <v>0</v>
      </c>
      <c r="N127" s="19">
        <v>45336</v>
      </c>
      <c r="O127" s="19">
        <v>45336</v>
      </c>
      <c r="P127" s="18">
        <f t="shared" si="4"/>
        <v>0</v>
      </c>
      <c r="Q127" s="30" t="s">
        <v>587</v>
      </c>
      <c r="S127" s="19">
        <v>45344</v>
      </c>
      <c r="T127" s="18">
        <f t="shared" si="5"/>
        <v>0</v>
      </c>
      <c r="X127" s="18" t="s">
        <v>51</v>
      </c>
      <c r="Y127" s="18" t="s">
        <v>51</v>
      </c>
      <c r="AA127" s="18">
        <v>0</v>
      </c>
      <c r="AB127" s="18">
        <v>0</v>
      </c>
      <c r="AC127" s="18">
        <v>0</v>
      </c>
      <c r="AD127" s="18" t="s">
        <v>65</v>
      </c>
      <c r="AE127" s="18">
        <v>0</v>
      </c>
      <c r="AF127" s="18">
        <f t="shared" si="6"/>
        <v>0</v>
      </c>
      <c r="AG127" s="18" t="str">
        <f t="shared" si="7"/>
        <v>LOW</v>
      </c>
    </row>
    <row r="128" spans="1:33" x14ac:dyDescent="0.3">
      <c r="A128" s="66">
        <v>127</v>
      </c>
      <c r="B128" s="18" t="s">
        <v>1</v>
      </c>
      <c r="C128" s="18" t="s">
        <v>4</v>
      </c>
      <c r="D128" s="18" t="s">
        <v>10</v>
      </c>
      <c r="E128" s="29" t="s">
        <v>1117</v>
      </c>
      <c r="F128" s="29" t="s">
        <v>319</v>
      </c>
      <c r="G128" s="18">
        <v>0</v>
      </c>
      <c r="H128" s="18">
        <v>0</v>
      </c>
      <c r="I128" s="18" t="s">
        <v>10</v>
      </c>
      <c r="J128" s="18" t="s">
        <v>10</v>
      </c>
      <c r="K128" s="68">
        <v>0</v>
      </c>
      <c r="L128" s="18">
        <v>0</v>
      </c>
      <c r="M128" s="18">
        <v>8</v>
      </c>
      <c r="N128" s="19">
        <v>45336</v>
      </c>
      <c r="O128" s="19">
        <v>45336</v>
      </c>
      <c r="P128" s="18">
        <f t="shared" si="4"/>
        <v>0</v>
      </c>
      <c r="Q128" s="30" t="s">
        <v>588</v>
      </c>
      <c r="S128" s="19">
        <v>45351</v>
      </c>
      <c r="T128" s="18">
        <f t="shared" si="5"/>
        <v>0</v>
      </c>
      <c r="X128" s="18" t="s">
        <v>51</v>
      </c>
      <c r="Y128" s="18" t="s">
        <v>51</v>
      </c>
      <c r="AA128" s="18">
        <v>0</v>
      </c>
      <c r="AB128" s="18">
        <v>0</v>
      </c>
      <c r="AC128" s="18">
        <v>0</v>
      </c>
      <c r="AD128" s="18" t="s">
        <v>65</v>
      </c>
      <c r="AE128" s="18">
        <v>0</v>
      </c>
      <c r="AF128" s="18">
        <f t="shared" si="6"/>
        <v>0</v>
      </c>
      <c r="AG128" s="18" t="str">
        <f t="shared" si="7"/>
        <v>LOW</v>
      </c>
    </row>
    <row r="129" spans="1:33" ht="28.8" x14ac:dyDescent="0.3">
      <c r="A129" s="66">
        <v>128</v>
      </c>
      <c r="B129" s="18" t="s">
        <v>2</v>
      </c>
      <c r="C129" s="18" t="s">
        <v>4</v>
      </c>
      <c r="D129" s="18" t="s">
        <v>71</v>
      </c>
      <c r="E129" s="29" t="s">
        <v>1118</v>
      </c>
      <c r="F129" s="29" t="s">
        <v>117</v>
      </c>
      <c r="G129" s="18">
        <v>0</v>
      </c>
      <c r="H129" s="18">
        <v>0</v>
      </c>
      <c r="I129" s="18" t="s">
        <v>9</v>
      </c>
      <c r="J129" s="18" t="s">
        <v>63</v>
      </c>
      <c r="K129" s="68">
        <v>0</v>
      </c>
      <c r="L129" s="18">
        <v>0</v>
      </c>
      <c r="N129" s="19">
        <v>45336</v>
      </c>
      <c r="O129" s="19">
        <v>45336</v>
      </c>
      <c r="P129" s="18">
        <f t="shared" si="4"/>
        <v>0</v>
      </c>
      <c r="Q129" s="30" t="s">
        <v>589</v>
      </c>
      <c r="S129" s="19">
        <v>45349</v>
      </c>
      <c r="T129" s="18">
        <f t="shared" si="5"/>
        <v>0</v>
      </c>
      <c r="X129" s="18" t="s">
        <v>51</v>
      </c>
      <c r="Y129" s="18" t="s">
        <v>51</v>
      </c>
      <c r="AA129" s="18">
        <v>0</v>
      </c>
      <c r="AB129" s="18">
        <v>0</v>
      </c>
      <c r="AC129" s="18">
        <v>0</v>
      </c>
      <c r="AD129" s="18" t="s">
        <v>65</v>
      </c>
      <c r="AE129" s="18">
        <v>0</v>
      </c>
      <c r="AF129" s="18">
        <f t="shared" si="6"/>
        <v>0</v>
      </c>
      <c r="AG129" s="18" t="str">
        <f t="shared" si="7"/>
        <v>LOW</v>
      </c>
    </row>
    <row r="130" spans="1:33" x14ac:dyDescent="0.3">
      <c r="A130" s="66">
        <v>129</v>
      </c>
      <c r="B130" s="18" t="s">
        <v>2</v>
      </c>
      <c r="C130" s="18" t="s">
        <v>4</v>
      </c>
      <c r="D130" s="18" t="s">
        <v>74</v>
      </c>
      <c r="E130" s="29" t="s">
        <v>1119</v>
      </c>
      <c r="F130" s="29" t="s">
        <v>117</v>
      </c>
      <c r="G130" s="18">
        <v>0</v>
      </c>
      <c r="H130" s="18">
        <v>0</v>
      </c>
      <c r="I130" s="18" t="s">
        <v>9</v>
      </c>
      <c r="J130" s="18" t="s">
        <v>63</v>
      </c>
      <c r="K130" s="68">
        <v>0</v>
      </c>
      <c r="L130" s="18">
        <v>0</v>
      </c>
      <c r="N130" s="19">
        <v>45329</v>
      </c>
      <c r="O130" s="19">
        <v>45336</v>
      </c>
      <c r="P130" s="18">
        <f t="shared" ref="P130:P193" si="8">$O130-$N130</f>
        <v>7</v>
      </c>
      <c r="Q130" s="30" t="s">
        <v>590</v>
      </c>
      <c r="T130" s="18">
        <f t="shared" ref="T130:T193" si="9">IF(AND(O130&lt;&gt; "",N130&lt;&gt;""),O130-N130,"")</f>
        <v>7</v>
      </c>
      <c r="X130" s="18" t="s">
        <v>51</v>
      </c>
      <c r="Y130" s="18" t="s">
        <v>51</v>
      </c>
      <c r="AA130" s="18">
        <v>0</v>
      </c>
      <c r="AB130" s="18">
        <v>0</v>
      </c>
      <c r="AC130" s="18">
        <v>0</v>
      </c>
      <c r="AD130" s="18" t="s">
        <v>65</v>
      </c>
      <c r="AE130" s="18">
        <v>0</v>
      </c>
      <c r="AF130" s="18">
        <f t="shared" ref="AF130:AF193" si="10">SUM($G130,$H130,$L130,$AA130,$AB130,$AC130,$AE130)</f>
        <v>0</v>
      </c>
      <c r="AG130" s="18" t="str">
        <f t="shared" ref="AG130:AG193" si="11">IF(AF130&lt;=15,"LOW",IF(AF130&gt;=31,"HIGH","MIDIUM"))</f>
        <v>LOW</v>
      </c>
    </row>
    <row r="131" spans="1:33" ht="28.8" x14ac:dyDescent="0.3">
      <c r="A131" s="66">
        <v>130</v>
      </c>
      <c r="B131" s="18" t="s">
        <v>1</v>
      </c>
      <c r="C131" s="18" t="s">
        <v>69</v>
      </c>
      <c r="D131" s="18" t="s">
        <v>60</v>
      </c>
      <c r="E131" s="29" t="s">
        <v>119</v>
      </c>
      <c r="F131" s="29" t="s">
        <v>317</v>
      </c>
      <c r="G131" s="18">
        <v>2</v>
      </c>
      <c r="H131" s="18">
        <v>1</v>
      </c>
      <c r="I131" s="18" t="s">
        <v>9</v>
      </c>
      <c r="J131" s="18" t="s">
        <v>63</v>
      </c>
      <c r="K131" s="68" t="s">
        <v>456</v>
      </c>
      <c r="L131" s="18">
        <v>3</v>
      </c>
      <c r="M131" s="18">
        <v>36</v>
      </c>
      <c r="N131" s="19">
        <v>45323</v>
      </c>
      <c r="O131" s="19">
        <v>45323</v>
      </c>
      <c r="P131" s="18">
        <f t="shared" si="8"/>
        <v>0</v>
      </c>
      <c r="Q131" s="30" t="s">
        <v>591</v>
      </c>
      <c r="T131" s="18">
        <f t="shared" si="9"/>
        <v>0</v>
      </c>
      <c r="X131" s="18" t="s">
        <v>53</v>
      </c>
      <c r="Y131" s="18" t="s">
        <v>51</v>
      </c>
      <c r="AA131" s="18">
        <v>0</v>
      </c>
      <c r="AB131" s="18">
        <v>0</v>
      </c>
      <c r="AC131" s="18">
        <v>0</v>
      </c>
      <c r="AD131" s="18" t="s">
        <v>65</v>
      </c>
      <c r="AE131" s="18">
        <v>0</v>
      </c>
      <c r="AF131" s="18">
        <f t="shared" si="10"/>
        <v>6</v>
      </c>
      <c r="AG131" s="18" t="str">
        <f t="shared" si="11"/>
        <v>LOW</v>
      </c>
    </row>
    <row r="132" spans="1:33" x14ac:dyDescent="0.3">
      <c r="A132" s="66">
        <v>131</v>
      </c>
      <c r="B132" s="18" t="s">
        <v>2</v>
      </c>
      <c r="C132" s="18" t="s">
        <v>69</v>
      </c>
      <c r="D132" s="18" t="s">
        <v>76</v>
      </c>
      <c r="E132" s="29" t="s">
        <v>120</v>
      </c>
      <c r="F132" s="29" t="s">
        <v>120</v>
      </c>
      <c r="G132" s="18">
        <v>3</v>
      </c>
      <c r="H132" s="18">
        <v>1</v>
      </c>
      <c r="I132" s="18" t="s">
        <v>9</v>
      </c>
      <c r="J132" s="18" t="s">
        <v>63</v>
      </c>
      <c r="K132" s="68">
        <v>0</v>
      </c>
      <c r="L132" s="18">
        <v>0</v>
      </c>
      <c r="N132" s="19">
        <v>45323</v>
      </c>
      <c r="O132" s="19">
        <v>45323</v>
      </c>
      <c r="P132" s="18">
        <f t="shared" si="8"/>
        <v>0</v>
      </c>
      <c r="Q132" s="30" t="s">
        <v>592</v>
      </c>
      <c r="S132" s="19">
        <v>45323</v>
      </c>
      <c r="T132" s="18">
        <f t="shared" si="9"/>
        <v>0</v>
      </c>
      <c r="X132" s="18" t="s">
        <v>53</v>
      </c>
      <c r="Y132" s="18" t="s">
        <v>51</v>
      </c>
      <c r="AA132" s="18">
        <v>0</v>
      </c>
      <c r="AB132" s="18">
        <v>0</v>
      </c>
      <c r="AC132" s="18">
        <v>0</v>
      </c>
      <c r="AD132" s="18" t="s">
        <v>65</v>
      </c>
      <c r="AE132" s="18">
        <v>0</v>
      </c>
      <c r="AF132" s="18">
        <f t="shared" si="10"/>
        <v>4</v>
      </c>
      <c r="AG132" s="18" t="str">
        <f t="shared" si="11"/>
        <v>LOW</v>
      </c>
    </row>
    <row r="133" spans="1:33" x14ac:dyDescent="0.3">
      <c r="A133" s="66">
        <v>132</v>
      </c>
      <c r="B133" s="18" t="s">
        <v>2</v>
      </c>
      <c r="C133" s="18" t="s">
        <v>69</v>
      </c>
      <c r="D133" s="18" t="s">
        <v>82</v>
      </c>
      <c r="E133" s="29" t="s">
        <v>121</v>
      </c>
      <c r="F133" s="29" t="s">
        <v>121</v>
      </c>
      <c r="G133" s="18">
        <v>2</v>
      </c>
      <c r="H133" s="18">
        <v>1</v>
      </c>
      <c r="I133" s="18" t="s">
        <v>9</v>
      </c>
      <c r="J133" s="18" t="s">
        <v>82</v>
      </c>
      <c r="K133" s="68">
        <v>0</v>
      </c>
      <c r="L133" s="18">
        <v>0</v>
      </c>
      <c r="N133" s="19">
        <v>45323</v>
      </c>
      <c r="O133" s="19">
        <v>45323</v>
      </c>
      <c r="P133" s="18">
        <f t="shared" si="8"/>
        <v>0</v>
      </c>
      <c r="Q133" s="30" t="s">
        <v>593</v>
      </c>
      <c r="S133" s="19">
        <v>45323</v>
      </c>
      <c r="T133" s="18">
        <f t="shared" si="9"/>
        <v>0</v>
      </c>
      <c r="X133" s="18" t="s">
        <v>53</v>
      </c>
      <c r="Y133" s="18" t="s">
        <v>51</v>
      </c>
      <c r="AA133" s="18">
        <v>0</v>
      </c>
      <c r="AB133" s="18">
        <v>0</v>
      </c>
      <c r="AC133" s="18">
        <v>0</v>
      </c>
      <c r="AD133" s="18" t="s">
        <v>65</v>
      </c>
      <c r="AE133" s="18">
        <v>0</v>
      </c>
      <c r="AF133" s="18">
        <f t="shared" si="10"/>
        <v>3</v>
      </c>
      <c r="AG133" s="18" t="str">
        <f t="shared" si="11"/>
        <v>LOW</v>
      </c>
    </row>
    <row r="134" spans="1:33" x14ac:dyDescent="0.3">
      <c r="A134" s="66">
        <v>133</v>
      </c>
      <c r="B134" s="18" t="s">
        <v>2</v>
      </c>
      <c r="C134" s="18" t="s">
        <v>69</v>
      </c>
      <c r="D134" s="18" t="s">
        <v>82</v>
      </c>
      <c r="E134" s="29" t="s">
        <v>122</v>
      </c>
      <c r="F134" s="29" t="s">
        <v>122</v>
      </c>
      <c r="G134" s="18">
        <v>2</v>
      </c>
      <c r="H134" s="18">
        <v>1</v>
      </c>
      <c r="I134" s="18" t="s">
        <v>9</v>
      </c>
      <c r="J134" s="18" t="s">
        <v>82</v>
      </c>
      <c r="K134" s="68">
        <v>0</v>
      </c>
      <c r="L134" s="18">
        <v>0</v>
      </c>
      <c r="N134" s="19">
        <v>45323</v>
      </c>
      <c r="O134" s="19">
        <v>45323</v>
      </c>
      <c r="P134" s="18">
        <f t="shared" si="8"/>
        <v>0</v>
      </c>
      <c r="Q134" s="30" t="s">
        <v>594</v>
      </c>
      <c r="S134" s="19">
        <v>45323</v>
      </c>
      <c r="T134" s="18">
        <f t="shared" si="9"/>
        <v>0</v>
      </c>
      <c r="X134" s="18" t="s">
        <v>53</v>
      </c>
      <c r="Y134" s="18" t="s">
        <v>51</v>
      </c>
      <c r="AA134" s="18">
        <v>0</v>
      </c>
      <c r="AB134" s="18">
        <v>0</v>
      </c>
      <c r="AC134" s="18">
        <v>0</v>
      </c>
      <c r="AD134" s="18" t="s">
        <v>65</v>
      </c>
      <c r="AE134" s="18">
        <v>0</v>
      </c>
      <c r="AF134" s="18">
        <f t="shared" si="10"/>
        <v>3</v>
      </c>
      <c r="AG134" s="18" t="str">
        <f t="shared" si="11"/>
        <v>LOW</v>
      </c>
    </row>
    <row r="135" spans="1:33" x14ac:dyDescent="0.3">
      <c r="A135" s="66">
        <v>134</v>
      </c>
      <c r="B135" s="18" t="s">
        <v>2</v>
      </c>
      <c r="C135" s="18" t="s">
        <v>69</v>
      </c>
      <c r="D135" s="18" t="s">
        <v>82</v>
      </c>
      <c r="E135" s="29" t="s">
        <v>123</v>
      </c>
      <c r="F135" s="29" t="s">
        <v>123</v>
      </c>
      <c r="G135" s="18">
        <v>3</v>
      </c>
      <c r="H135" s="18">
        <v>1</v>
      </c>
      <c r="I135" s="18" t="s">
        <v>9</v>
      </c>
      <c r="J135" s="18" t="s">
        <v>82</v>
      </c>
      <c r="K135" s="68">
        <v>0</v>
      </c>
      <c r="L135" s="18">
        <v>0</v>
      </c>
      <c r="N135" s="19">
        <v>45323</v>
      </c>
      <c r="O135" s="19">
        <v>45323</v>
      </c>
      <c r="P135" s="18">
        <f t="shared" si="8"/>
        <v>0</v>
      </c>
      <c r="Q135" s="30" t="s">
        <v>595</v>
      </c>
      <c r="S135" s="19">
        <v>45323</v>
      </c>
      <c r="T135" s="18">
        <f t="shared" si="9"/>
        <v>0</v>
      </c>
      <c r="X135" s="18" t="s">
        <v>53</v>
      </c>
      <c r="Y135" s="18" t="s">
        <v>51</v>
      </c>
      <c r="AA135" s="18">
        <v>0</v>
      </c>
      <c r="AB135" s="18">
        <v>0</v>
      </c>
      <c r="AC135" s="18">
        <v>0</v>
      </c>
      <c r="AD135" s="18" t="s">
        <v>65</v>
      </c>
      <c r="AE135" s="18">
        <v>0</v>
      </c>
      <c r="AF135" s="18">
        <f t="shared" si="10"/>
        <v>4</v>
      </c>
      <c r="AG135" s="18" t="str">
        <f t="shared" si="11"/>
        <v>LOW</v>
      </c>
    </row>
    <row r="136" spans="1:33" x14ac:dyDescent="0.3">
      <c r="A136" s="66">
        <v>135</v>
      </c>
      <c r="B136" s="18" t="s">
        <v>2</v>
      </c>
      <c r="C136" s="18" t="s">
        <v>69</v>
      </c>
      <c r="D136" s="18" t="s">
        <v>82</v>
      </c>
      <c r="E136" s="29" t="s">
        <v>124</v>
      </c>
      <c r="F136" s="29" t="s">
        <v>124</v>
      </c>
      <c r="G136" s="18">
        <v>2</v>
      </c>
      <c r="H136" s="18">
        <v>1</v>
      </c>
      <c r="I136" s="18" t="s">
        <v>9</v>
      </c>
      <c r="J136" s="18" t="s">
        <v>82</v>
      </c>
      <c r="K136" s="68">
        <v>0</v>
      </c>
      <c r="L136" s="18">
        <v>0</v>
      </c>
      <c r="N136" s="19">
        <v>45323</v>
      </c>
      <c r="O136" s="19">
        <v>45323</v>
      </c>
      <c r="P136" s="18">
        <f t="shared" si="8"/>
        <v>0</v>
      </c>
      <c r="Q136" s="30" t="s">
        <v>596</v>
      </c>
      <c r="S136" s="19">
        <v>45323</v>
      </c>
      <c r="T136" s="18">
        <f t="shared" si="9"/>
        <v>0</v>
      </c>
      <c r="X136" s="18" t="s">
        <v>53</v>
      </c>
      <c r="Y136" s="18" t="s">
        <v>51</v>
      </c>
      <c r="AA136" s="18">
        <v>0</v>
      </c>
      <c r="AB136" s="18">
        <v>0</v>
      </c>
      <c r="AC136" s="18">
        <v>0</v>
      </c>
      <c r="AD136" s="18" t="s">
        <v>65</v>
      </c>
      <c r="AE136" s="18">
        <v>0</v>
      </c>
      <c r="AF136" s="18">
        <f t="shared" si="10"/>
        <v>3</v>
      </c>
      <c r="AG136" s="18" t="str">
        <f t="shared" si="11"/>
        <v>LOW</v>
      </c>
    </row>
    <row r="137" spans="1:33" x14ac:dyDescent="0.3">
      <c r="A137" s="66">
        <v>136</v>
      </c>
      <c r="B137" s="18" t="s">
        <v>1</v>
      </c>
      <c r="C137" s="18" t="s">
        <v>69</v>
      </c>
      <c r="D137" s="18" t="s">
        <v>60</v>
      </c>
      <c r="E137" s="29" t="s">
        <v>99</v>
      </c>
      <c r="F137" s="29" t="s">
        <v>291</v>
      </c>
      <c r="G137" s="18">
        <v>2</v>
      </c>
      <c r="H137" s="18">
        <v>1</v>
      </c>
      <c r="I137" s="18" t="s">
        <v>9</v>
      </c>
      <c r="J137" s="18" t="s">
        <v>63</v>
      </c>
      <c r="K137" s="68">
        <v>20000</v>
      </c>
      <c r="L137" s="18">
        <v>1</v>
      </c>
      <c r="M137" s="18" t="s">
        <v>460</v>
      </c>
      <c r="N137" s="19">
        <v>45323</v>
      </c>
      <c r="O137" s="19">
        <v>45323</v>
      </c>
      <c r="P137" s="18">
        <f t="shared" si="8"/>
        <v>0</v>
      </c>
      <c r="Q137" s="30" t="s">
        <v>597</v>
      </c>
      <c r="T137" s="18">
        <f t="shared" si="9"/>
        <v>0</v>
      </c>
      <c r="X137" s="18" t="s">
        <v>51</v>
      </c>
      <c r="Y137" s="18" t="s">
        <v>895</v>
      </c>
      <c r="AA137" s="18">
        <v>0</v>
      </c>
      <c r="AB137" s="18">
        <v>0</v>
      </c>
      <c r="AC137" s="18">
        <v>0</v>
      </c>
      <c r="AD137" s="18" t="s">
        <v>65</v>
      </c>
      <c r="AE137" s="18">
        <v>0</v>
      </c>
      <c r="AF137" s="18">
        <f t="shared" si="10"/>
        <v>4</v>
      </c>
      <c r="AG137" s="18" t="str">
        <f t="shared" si="11"/>
        <v>LOW</v>
      </c>
    </row>
    <row r="138" spans="1:33" x14ac:dyDescent="0.3">
      <c r="A138" s="66">
        <v>137</v>
      </c>
      <c r="B138" s="18" t="s">
        <v>2</v>
      </c>
      <c r="C138" s="18" t="s">
        <v>69</v>
      </c>
      <c r="D138" s="18" t="s">
        <v>60</v>
      </c>
      <c r="E138" s="29" t="s">
        <v>996</v>
      </c>
      <c r="F138" s="29" t="s">
        <v>125</v>
      </c>
      <c r="G138" s="18">
        <v>3</v>
      </c>
      <c r="H138" s="18">
        <v>1</v>
      </c>
      <c r="I138" s="18" t="s">
        <v>9</v>
      </c>
      <c r="J138" s="18" t="s">
        <v>63</v>
      </c>
      <c r="K138" s="68">
        <v>0</v>
      </c>
      <c r="L138" s="18">
        <v>0</v>
      </c>
      <c r="N138" s="19">
        <v>45323</v>
      </c>
      <c r="O138" s="19">
        <v>45323</v>
      </c>
      <c r="P138" s="18">
        <f t="shared" si="8"/>
        <v>0</v>
      </c>
      <c r="Q138" s="30" t="s">
        <v>598</v>
      </c>
      <c r="S138" s="19">
        <v>45323</v>
      </c>
      <c r="T138" s="18">
        <f t="shared" si="9"/>
        <v>0</v>
      </c>
      <c r="X138" s="18" t="s">
        <v>51</v>
      </c>
      <c r="Y138" s="18" t="s">
        <v>51</v>
      </c>
      <c r="AA138" s="18">
        <v>0</v>
      </c>
      <c r="AB138" s="18">
        <v>0</v>
      </c>
      <c r="AC138" s="18">
        <v>0</v>
      </c>
      <c r="AD138" s="18" t="s">
        <v>65</v>
      </c>
      <c r="AE138" s="18">
        <v>0</v>
      </c>
      <c r="AF138" s="18">
        <f t="shared" si="10"/>
        <v>4</v>
      </c>
      <c r="AG138" s="18" t="str">
        <f t="shared" si="11"/>
        <v>LOW</v>
      </c>
    </row>
    <row r="139" spans="1:33" x14ac:dyDescent="0.3">
      <c r="A139" s="66">
        <v>138</v>
      </c>
      <c r="B139" s="18" t="s">
        <v>2</v>
      </c>
      <c r="C139" s="18" t="s">
        <v>69</v>
      </c>
      <c r="D139" s="18" t="s">
        <v>82</v>
      </c>
      <c r="E139" s="29" t="s">
        <v>997</v>
      </c>
      <c r="F139" s="29" t="s">
        <v>125</v>
      </c>
      <c r="G139" s="18">
        <v>2</v>
      </c>
      <c r="H139" s="18">
        <v>1</v>
      </c>
      <c r="I139" s="18" t="s">
        <v>9</v>
      </c>
      <c r="J139" s="18" t="s">
        <v>82</v>
      </c>
      <c r="K139" s="68">
        <v>0</v>
      </c>
      <c r="L139" s="18">
        <v>0</v>
      </c>
      <c r="N139" s="19">
        <v>45323</v>
      </c>
      <c r="O139" s="19">
        <v>45323</v>
      </c>
      <c r="P139" s="18">
        <f t="shared" si="8"/>
        <v>0</v>
      </c>
      <c r="Q139" s="30" t="s">
        <v>599</v>
      </c>
      <c r="S139" s="19">
        <v>45323</v>
      </c>
      <c r="T139" s="18">
        <f t="shared" si="9"/>
        <v>0</v>
      </c>
      <c r="X139" s="18" t="s">
        <v>51</v>
      </c>
      <c r="Y139" s="18" t="s">
        <v>51</v>
      </c>
      <c r="AA139" s="18">
        <v>0</v>
      </c>
      <c r="AB139" s="18">
        <v>0</v>
      </c>
      <c r="AC139" s="18">
        <v>0</v>
      </c>
      <c r="AD139" s="18" t="s">
        <v>65</v>
      </c>
      <c r="AE139" s="18">
        <v>0</v>
      </c>
      <c r="AF139" s="18">
        <f t="shared" si="10"/>
        <v>3</v>
      </c>
      <c r="AG139" s="18" t="str">
        <f t="shared" si="11"/>
        <v>LOW</v>
      </c>
    </row>
    <row r="140" spans="1:33" x14ac:dyDescent="0.3">
      <c r="A140" s="66">
        <v>139</v>
      </c>
      <c r="B140" s="18" t="s">
        <v>2</v>
      </c>
      <c r="C140" s="18" t="s">
        <v>69</v>
      </c>
      <c r="D140" s="18" t="s">
        <v>83</v>
      </c>
      <c r="E140" s="29" t="s">
        <v>126</v>
      </c>
      <c r="F140" s="29" t="s">
        <v>320</v>
      </c>
      <c r="G140" s="18">
        <v>2</v>
      </c>
      <c r="H140" s="18">
        <v>2</v>
      </c>
      <c r="I140" s="18" t="s">
        <v>9</v>
      </c>
      <c r="J140" s="18" t="s">
        <v>63</v>
      </c>
      <c r="K140" s="68">
        <v>0</v>
      </c>
      <c r="L140" s="18">
        <v>0</v>
      </c>
      <c r="N140" s="19">
        <v>45324</v>
      </c>
      <c r="O140" s="19">
        <v>45324</v>
      </c>
      <c r="P140" s="18">
        <f t="shared" si="8"/>
        <v>0</v>
      </c>
      <c r="Q140" s="30" t="s">
        <v>600</v>
      </c>
      <c r="S140" s="19">
        <v>45327</v>
      </c>
      <c r="T140" s="18">
        <f t="shared" si="9"/>
        <v>0</v>
      </c>
      <c r="X140" s="18" t="s">
        <v>53</v>
      </c>
      <c r="Y140" s="18" t="s">
        <v>51</v>
      </c>
      <c r="AA140" s="18">
        <v>0</v>
      </c>
      <c r="AB140" s="18">
        <v>0</v>
      </c>
      <c r="AC140" s="18">
        <v>0</v>
      </c>
      <c r="AD140" s="18" t="s">
        <v>65</v>
      </c>
      <c r="AE140" s="18">
        <v>0</v>
      </c>
      <c r="AF140" s="18">
        <f t="shared" si="10"/>
        <v>4</v>
      </c>
      <c r="AG140" s="18" t="str">
        <f t="shared" si="11"/>
        <v>LOW</v>
      </c>
    </row>
    <row r="141" spans="1:33" x14ac:dyDescent="0.3">
      <c r="A141" s="66">
        <v>140</v>
      </c>
      <c r="B141" s="18" t="s">
        <v>1</v>
      </c>
      <c r="C141" s="18" t="s">
        <v>69</v>
      </c>
      <c r="D141" s="18" t="s">
        <v>82</v>
      </c>
      <c r="E141" s="29" t="s">
        <v>127</v>
      </c>
      <c r="F141" s="29" t="s">
        <v>321</v>
      </c>
      <c r="G141" s="18">
        <v>2</v>
      </c>
      <c r="H141" s="18">
        <v>1</v>
      </c>
      <c r="I141" s="18" t="s">
        <v>9</v>
      </c>
      <c r="J141" s="18" t="s">
        <v>82</v>
      </c>
      <c r="K141" s="68">
        <v>1000000</v>
      </c>
      <c r="L141" s="18">
        <v>3</v>
      </c>
      <c r="M141" s="18">
        <v>12</v>
      </c>
      <c r="N141" s="19">
        <v>45324</v>
      </c>
      <c r="O141" s="19">
        <v>45329</v>
      </c>
      <c r="P141" s="18">
        <f t="shared" si="8"/>
        <v>5</v>
      </c>
      <c r="Q141" s="30" t="s">
        <v>601</v>
      </c>
      <c r="S141" s="19">
        <v>45329</v>
      </c>
      <c r="T141" s="18">
        <f t="shared" si="9"/>
        <v>5</v>
      </c>
      <c r="X141" s="18" t="s">
        <v>53</v>
      </c>
      <c r="Y141" s="18" t="s">
        <v>51</v>
      </c>
      <c r="AA141" s="18">
        <v>0</v>
      </c>
      <c r="AB141" s="18">
        <v>0</v>
      </c>
      <c r="AC141" s="18">
        <v>0</v>
      </c>
      <c r="AD141" s="18" t="s">
        <v>65</v>
      </c>
      <c r="AE141" s="18">
        <v>0</v>
      </c>
      <c r="AF141" s="18">
        <f t="shared" si="10"/>
        <v>6</v>
      </c>
      <c r="AG141" s="18" t="str">
        <f t="shared" si="11"/>
        <v>LOW</v>
      </c>
    </row>
    <row r="142" spans="1:33" x14ac:dyDescent="0.3">
      <c r="A142" s="66">
        <v>141</v>
      </c>
      <c r="B142" s="18" t="s">
        <v>2</v>
      </c>
      <c r="C142" s="18" t="s">
        <v>69</v>
      </c>
      <c r="D142" s="18" t="s">
        <v>82</v>
      </c>
      <c r="E142" s="29" t="s">
        <v>128</v>
      </c>
      <c r="F142" s="29" t="s">
        <v>286</v>
      </c>
      <c r="G142" s="18">
        <v>2</v>
      </c>
      <c r="H142" s="18">
        <v>1</v>
      </c>
      <c r="I142" s="18" t="s">
        <v>9</v>
      </c>
      <c r="J142" s="18" t="s">
        <v>82</v>
      </c>
      <c r="K142" s="68">
        <v>0</v>
      </c>
      <c r="L142" s="18">
        <v>0</v>
      </c>
      <c r="N142" s="19">
        <v>45324</v>
      </c>
      <c r="O142" s="19">
        <v>45329</v>
      </c>
      <c r="P142" s="18">
        <f t="shared" si="8"/>
        <v>5</v>
      </c>
      <c r="Q142" s="30" t="s">
        <v>602</v>
      </c>
      <c r="S142" s="19">
        <v>45329</v>
      </c>
      <c r="T142" s="18">
        <f t="shared" si="9"/>
        <v>5</v>
      </c>
      <c r="X142" s="18" t="s">
        <v>53</v>
      </c>
      <c r="Y142" s="18" t="s">
        <v>51</v>
      </c>
      <c r="AA142" s="18">
        <v>0</v>
      </c>
      <c r="AB142" s="18">
        <v>0</v>
      </c>
      <c r="AC142" s="18">
        <v>0</v>
      </c>
      <c r="AD142" s="18" t="s">
        <v>65</v>
      </c>
      <c r="AE142" s="18">
        <v>0</v>
      </c>
      <c r="AF142" s="18">
        <f t="shared" si="10"/>
        <v>3</v>
      </c>
      <c r="AG142" s="18" t="str">
        <f t="shared" si="11"/>
        <v>LOW</v>
      </c>
    </row>
    <row r="143" spans="1:33" x14ac:dyDescent="0.3">
      <c r="A143" s="66">
        <v>142</v>
      </c>
      <c r="B143" s="18" t="s">
        <v>1</v>
      </c>
      <c r="C143" s="18" t="s">
        <v>69</v>
      </c>
      <c r="D143" s="18" t="s">
        <v>82</v>
      </c>
      <c r="E143" s="29" t="s">
        <v>129</v>
      </c>
      <c r="F143" s="29" t="s">
        <v>296</v>
      </c>
      <c r="G143" s="18">
        <v>2</v>
      </c>
      <c r="H143" s="18">
        <v>1</v>
      </c>
      <c r="I143" s="18" t="s">
        <v>9</v>
      </c>
      <c r="J143" s="18" t="s">
        <v>82</v>
      </c>
      <c r="K143" s="68">
        <v>100800</v>
      </c>
      <c r="L143" s="18">
        <v>2</v>
      </c>
      <c r="M143" s="18">
        <v>6</v>
      </c>
      <c r="N143" s="19">
        <v>45324</v>
      </c>
      <c r="O143" s="19">
        <v>45331</v>
      </c>
      <c r="P143" s="18">
        <f t="shared" si="8"/>
        <v>7</v>
      </c>
      <c r="Q143" s="30" t="s">
        <v>603</v>
      </c>
      <c r="T143" s="18">
        <f t="shared" si="9"/>
        <v>7</v>
      </c>
      <c r="X143" s="18" t="s">
        <v>53</v>
      </c>
      <c r="Y143" s="18" t="s">
        <v>51</v>
      </c>
      <c r="AA143" s="18">
        <v>0</v>
      </c>
      <c r="AB143" s="18">
        <v>0</v>
      </c>
      <c r="AC143" s="18">
        <v>0</v>
      </c>
      <c r="AD143" s="18" t="s">
        <v>65</v>
      </c>
      <c r="AE143" s="18">
        <v>0</v>
      </c>
      <c r="AF143" s="18">
        <f t="shared" si="10"/>
        <v>5</v>
      </c>
      <c r="AG143" s="18" t="str">
        <f t="shared" si="11"/>
        <v>LOW</v>
      </c>
    </row>
    <row r="144" spans="1:33" x14ac:dyDescent="0.3">
      <c r="A144" s="66">
        <v>143</v>
      </c>
      <c r="B144" s="18" t="s">
        <v>1</v>
      </c>
      <c r="C144" s="18" t="s">
        <v>69</v>
      </c>
      <c r="D144" s="18" t="s">
        <v>80</v>
      </c>
      <c r="E144" s="29" t="s">
        <v>983</v>
      </c>
      <c r="F144" s="29" t="s">
        <v>322</v>
      </c>
      <c r="G144" s="18">
        <v>2</v>
      </c>
      <c r="H144" s="18">
        <v>1</v>
      </c>
      <c r="I144" s="18" t="s">
        <v>9</v>
      </c>
      <c r="J144" s="18" t="s">
        <v>130</v>
      </c>
      <c r="K144" s="68">
        <v>29000000</v>
      </c>
      <c r="L144" s="18">
        <v>3</v>
      </c>
      <c r="M144" s="18">
        <v>36</v>
      </c>
      <c r="N144" s="19">
        <v>45324</v>
      </c>
      <c r="O144" s="19">
        <v>45331</v>
      </c>
      <c r="P144" s="18">
        <f t="shared" si="8"/>
        <v>7</v>
      </c>
      <c r="Q144" s="30" t="s">
        <v>604</v>
      </c>
      <c r="T144" s="18">
        <f t="shared" si="9"/>
        <v>7</v>
      </c>
      <c r="X144" s="18" t="s">
        <v>53</v>
      </c>
      <c r="Y144" s="18" t="s">
        <v>51</v>
      </c>
      <c r="AA144" s="18">
        <v>0</v>
      </c>
      <c r="AB144" s="18">
        <v>0</v>
      </c>
      <c r="AC144" s="18">
        <v>2</v>
      </c>
      <c r="AD144" s="18" t="s">
        <v>65</v>
      </c>
      <c r="AE144" s="18">
        <v>0</v>
      </c>
      <c r="AF144" s="18">
        <f t="shared" si="10"/>
        <v>8</v>
      </c>
      <c r="AG144" s="18" t="str">
        <f t="shared" si="11"/>
        <v>LOW</v>
      </c>
    </row>
    <row r="145" spans="1:33" ht="28.8" x14ac:dyDescent="0.3">
      <c r="A145" s="66">
        <v>144</v>
      </c>
      <c r="B145" s="18" t="s">
        <v>2</v>
      </c>
      <c r="C145" s="18" t="s">
        <v>69</v>
      </c>
      <c r="D145" s="18" t="s">
        <v>82</v>
      </c>
      <c r="E145" s="29" t="s">
        <v>131</v>
      </c>
      <c r="F145" s="29" t="s">
        <v>323</v>
      </c>
      <c r="G145" s="18">
        <v>0</v>
      </c>
      <c r="H145" s="18">
        <v>2</v>
      </c>
      <c r="I145" s="18" t="s">
        <v>9</v>
      </c>
      <c r="J145" s="18" t="s">
        <v>82</v>
      </c>
      <c r="K145" s="68">
        <v>0</v>
      </c>
      <c r="L145" s="18">
        <v>0</v>
      </c>
      <c r="N145" s="19">
        <v>45324</v>
      </c>
      <c r="O145" s="19">
        <v>45327</v>
      </c>
      <c r="P145" s="18">
        <f t="shared" si="8"/>
        <v>3</v>
      </c>
      <c r="Q145" s="30" t="s">
        <v>605</v>
      </c>
      <c r="S145" s="19">
        <v>45327</v>
      </c>
      <c r="T145" s="18">
        <f t="shared" si="9"/>
        <v>3</v>
      </c>
      <c r="X145" s="18" t="s">
        <v>53</v>
      </c>
      <c r="Y145" s="18" t="s">
        <v>51</v>
      </c>
      <c r="AA145" s="18">
        <v>0</v>
      </c>
      <c r="AB145" s="18">
        <v>0</v>
      </c>
      <c r="AC145" s="18">
        <v>1</v>
      </c>
      <c r="AD145" s="18" t="s">
        <v>65</v>
      </c>
      <c r="AE145" s="18">
        <v>0</v>
      </c>
      <c r="AF145" s="18">
        <f t="shared" si="10"/>
        <v>3</v>
      </c>
      <c r="AG145" s="18" t="str">
        <f t="shared" si="11"/>
        <v>LOW</v>
      </c>
    </row>
    <row r="146" spans="1:33" x14ac:dyDescent="0.3">
      <c r="A146" s="66">
        <v>145</v>
      </c>
      <c r="B146" s="18" t="s">
        <v>2</v>
      </c>
      <c r="C146" s="18" t="s">
        <v>69</v>
      </c>
      <c r="D146" s="18" t="s">
        <v>84</v>
      </c>
      <c r="E146" s="29" t="s">
        <v>132</v>
      </c>
      <c r="F146" s="29" t="s">
        <v>132</v>
      </c>
      <c r="G146" s="18">
        <v>3</v>
      </c>
      <c r="H146" s="18">
        <v>1</v>
      </c>
      <c r="I146" s="18" t="s">
        <v>9</v>
      </c>
      <c r="J146" s="18" t="s">
        <v>63</v>
      </c>
      <c r="K146" s="68">
        <v>0</v>
      </c>
      <c r="L146" s="18">
        <v>0</v>
      </c>
      <c r="N146" s="19">
        <v>45324</v>
      </c>
      <c r="O146" s="19">
        <v>45324</v>
      </c>
      <c r="P146" s="18">
        <f t="shared" si="8"/>
        <v>0</v>
      </c>
      <c r="Q146" s="30" t="s">
        <v>132</v>
      </c>
      <c r="S146" s="19">
        <v>45324</v>
      </c>
      <c r="T146" s="18">
        <f t="shared" si="9"/>
        <v>0</v>
      </c>
      <c r="X146" s="18" t="s">
        <v>53</v>
      </c>
      <c r="Y146" s="18" t="s">
        <v>51</v>
      </c>
      <c r="AA146" s="18">
        <v>0</v>
      </c>
      <c r="AB146" s="18">
        <v>0</v>
      </c>
      <c r="AC146" s="18">
        <v>0</v>
      </c>
      <c r="AD146" s="18" t="s">
        <v>65</v>
      </c>
      <c r="AE146" s="18">
        <v>0</v>
      </c>
      <c r="AF146" s="18">
        <f t="shared" si="10"/>
        <v>4</v>
      </c>
      <c r="AG146" s="18" t="str">
        <f t="shared" si="11"/>
        <v>LOW</v>
      </c>
    </row>
    <row r="147" spans="1:33" x14ac:dyDescent="0.3">
      <c r="A147" s="66">
        <v>146</v>
      </c>
      <c r="B147" s="18" t="s">
        <v>2</v>
      </c>
      <c r="C147" s="18" t="s">
        <v>69</v>
      </c>
      <c r="D147" s="18" t="s">
        <v>82</v>
      </c>
      <c r="E147" s="29" t="s">
        <v>125</v>
      </c>
      <c r="F147" s="29" t="s">
        <v>125</v>
      </c>
      <c r="G147" s="18">
        <v>2</v>
      </c>
      <c r="H147" s="18">
        <v>1</v>
      </c>
      <c r="I147" s="18" t="s">
        <v>9</v>
      </c>
      <c r="J147" s="18" t="s">
        <v>82</v>
      </c>
      <c r="K147" s="68">
        <v>0</v>
      </c>
      <c r="L147" s="18">
        <v>0</v>
      </c>
      <c r="N147" s="19">
        <v>45327</v>
      </c>
      <c r="O147" s="19">
        <v>45327</v>
      </c>
      <c r="P147" s="18">
        <f t="shared" si="8"/>
        <v>0</v>
      </c>
      <c r="Q147" s="30" t="s">
        <v>606</v>
      </c>
      <c r="S147" s="19">
        <v>45327</v>
      </c>
      <c r="T147" s="18">
        <f t="shared" si="9"/>
        <v>0</v>
      </c>
      <c r="X147" s="18" t="s">
        <v>51</v>
      </c>
      <c r="Y147" s="18" t="s">
        <v>51</v>
      </c>
      <c r="AA147" s="18">
        <v>0</v>
      </c>
      <c r="AB147" s="18">
        <v>0</v>
      </c>
      <c r="AC147" s="18">
        <v>0</v>
      </c>
      <c r="AD147" s="18" t="s">
        <v>65</v>
      </c>
      <c r="AE147" s="18">
        <v>0</v>
      </c>
      <c r="AF147" s="18">
        <f t="shared" si="10"/>
        <v>3</v>
      </c>
      <c r="AG147" s="18" t="str">
        <f t="shared" si="11"/>
        <v>LOW</v>
      </c>
    </row>
    <row r="148" spans="1:33" x14ac:dyDescent="0.3">
      <c r="A148" s="66">
        <v>147</v>
      </c>
      <c r="B148" s="18" t="s">
        <v>2</v>
      </c>
      <c r="C148" s="18" t="s">
        <v>69</v>
      </c>
      <c r="D148" s="18" t="s">
        <v>82</v>
      </c>
      <c r="E148" s="29" t="s">
        <v>133</v>
      </c>
      <c r="F148" s="29" t="s">
        <v>324</v>
      </c>
      <c r="G148" s="18">
        <v>2</v>
      </c>
      <c r="H148" s="18">
        <v>1</v>
      </c>
      <c r="I148" s="18" t="s">
        <v>9</v>
      </c>
      <c r="J148" s="18" t="s">
        <v>82</v>
      </c>
      <c r="K148" s="68">
        <v>0</v>
      </c>
      <c r="L148" s="18">
        <v>0</v>
      </c>
      <c r="N148" s="19">
        <v>45327</v>
      </c>
      <c r="O148" s="19">
        <v>45331</v>
      </c>
      <c r="P148" s="18">
        <f t="shared" si="8"/>
        <v>4</v>
      </c>
      <c r="Q148" s="30" t="s">
        <v>607</v>
      </c>
      <c r="S148" s="19">
        <v>45331</v>
      </c>
      <c r="T148" s="18">
        <f t="shared" si="9"/>
        <v>4</v>
      </c>
      <c r="X148" s="18" t="s">
        <v>53</v>
      </c>
      <c r="Y148" s="18" t="s">
        <v>51</v>
      </c>
      <c r="AA148" s="18">
        <v>0</v>
      </c>
      <c r="AB148" s="18">
        <v>0</v>
      </c>
      <c r="AC148" s="18">
        <v>0</v>
      </c>
      <c r="AD148" s="18" t="s">
        <v>65</v>
      </c>
      <c r="AE148" s="18">
        <v>0</v>
      </c>
      <c r="AF148" s="18">
        <f t="shared" si="10"/>
        <v>3</v>
      </c>
      <c r="AG148" s="18" t="str">
        <f t="shared" si="11"/>
        <v>LOW</v>
      </c>
    </row>
    <row r="149" spans="1:33" x14ac:dyDescent="0.3">
      <c r="A149" s="66">
        <v>148</v>
      </c>
      <c r="B149" s="18" t="s">
        <v>1</v>
      </c>
      <c r="C149" s="18" t="s">
        <v>69</v>
      </c>
      <c r="D149" s="18" t="s">
        <v>71</v>
      </c>
      <c r="E149" s="29" t="s">
        <v>134</v>
      </c>
      <c r="F149" s="29" t="s">
        <v>325</v>
      </c>
      <c r="G149" s="18">
        <v>2</v>
      </c>
      <c r="H149" s="18">
        <v>1</v>
      </c>
      <c r="I149" s="18" t="s">
        <v>9</v>
      </c>
      <c r="J149" s="18" t="s">
        <v>63</v>
      </c>
      <c r="K149" s="68">
        <v>0</v>
      </c>
      <c r="L149" s="18">
        <v>1</v>
      </c>
      <c r="M149" s="18">
        <v>12</v>
      </c>
      <c r="N149" s="19">
        <v>45327</v>
      </c>
      <c r="O149" s="19">
        <v>45327</v>
      </c>
      <c r="P149" s="18">
        <f t="shared" si="8"/>
        <v>0</v>
      </c>
      <c r="Q149" s="30" t="s">
        <v>608</v>
      </c>
      <c r="S149" s="19">
        <v>45329</v>
      </c>
      <c r="T149" s="18">
        <f t="shared" si="9"/>
        <v>0</v>
      </c>
      <c r="X149" s="18" t="s">
        <v>51</v>
      </c>
      <c r="Y149" s="18" t="s">
        <v>895</v>
      </c>
      <c r="AA149" s="18">
        <v>0</v>
      </c>
      <c r="AB149" s="18">
        <v>0</v>
      </c>
      <c r="AC149" s="18">
        <v>0</v>
      </c>
      <c r="AD149" s="18" t="s">
        <v>65</v>
      </c>
      <c r="AE149" s="18">
        <v>0</v>
      </c>
      <c r="AF149" s="18">
        <f t="shared" si="10"/>
        <v>4</v>
      </c>
      <c r="AG149" s="18" t="str">
        <f t="shared" si="11"/>
        <v>LOW</v>
      </c>
    </row>
    <row r="150" spans="1:33" x14ac:dyDescent="0.3">
      <c r="A150" s="66">
        <v>149</v>
      </c>
      <c r="B150" s="18" t="s">
        <v>2</v>
      </c>
      <c r="C150" s="18" t="s">
        <v>69</v>
      </c>
      <c r="D150" s="18" t="s">
        <v>82</v>
      </c>
      <c r="E150" s="29" t="s">
        <v>998</v>
      </c>
      <c r="F150" s="29" t="s">
        <v>286</v>
      </c>
      <c r="G150" s="18">
        <v>2</v>
      </c>
      <c r="H150" s="18">
        <v>1</v>
      </c>
      <c r="I150" s="18" t="s">
        <v>9</v>
      </c>
      <c r="J150" s="18" t="s">
        <v>82</v>
      </c>
      <c r="K150" s="68">
        <v>0</v>
      </c>
      <c r="L150" s="18">
        <v>0</v>
      </c>
      <c r="N150" s="19">
        <v>45327</v>
      </c>
      <c r="O150" s="19">
        <v>45329</v>
      </c>
      <c r="P150" s="18">
        <f t="shared" si="8"/>
        <v>2</v>
      </c>
      <c r="Q150" s="30" t="s">
        <v>609</v>
      </c>
      <c r="S150" s="19">
        <v>45329</v>
      </c>
      <c r="T150" s="18">
        <f t="shared" si="9"/>
        <v>2</v>
      </c>
      <c r="X150" s="18" t="s">
        <v>53</v>
      </c>
      <c r="Y150" s="18" t="s">
        <v>51</v>
      </c>
      <c r="AA150" s="18">
        <v>0</v>
      </c>
      <c r="AB150" s="18">
        <v>0</v>
      </c>
      <c r="AC150" s="18">
        <v>0</v>
      </c>
      <c r="AD150" s="18" t="s">
        <v>65</v>
      </c>
      <c r="AE150" s="18">
        <v>0</v>
      </c>
      <c r="AF150" s="18">
        <f t="shared" si="10"/>
        <v>3</v>
      </c>
      <c r="AG150" s="18" t="str">
        <f t="shared" si="11"/>
        <v>LOW</v>
      </c>
    </row>
    <row r="151" spans="1:33" ht="28.8" x14ac:dyDescent="0.3">
      <c r="A151" s="66">
        <v>150</v>
      </c>
      <c r="B151" s="18" t="s">
        <v>2</v>
      </c>
      <c r="C151" s="18" t="s">
        <v>69</v>
      </c>
      <c r="D151" s="18" t="s">
        <v>82</v>
      </c>
      <c r="E151" s="29" t="s">
        <v>999</v>
      </c>
      <c r="F151" s="29" t="s">
        <v>286</v>
      </c>
      <c r="G151" s="18">
        <v>2</v>
      </c>
      <c r="H151" s="18">
        <v>1</v>
      </c>
      <c r="I151" s="18" t="s">
        <v>9</v>
      </c>
      <c r="J151" s="18" t="s">
        <v>82</v>
      </c>
      <c r="K151" s="68">
        <v>0</v>
      </c>
      <c r="L151" s="18">
        <v>0</v>
      </c>
      <c r="N151" s="19">
        <v>45327</v>
      </c>
      <c r="O151" s="19">
        <v>45329</v>
      </c>
      <c r="P151" s="18">
        <f t="shared" si="8"/>
        <v>2</v>
      </c>
      <c r="Q151" s="30" t="s">
        <v>610</v>
      </c>
      <c r="S151" s="19">
        <v>45327</v>
      </c>
      <c r="T151" s="18">
        <f t="shared" si="9"/>
        <v>2</v>
      </c>
      <c r="X151" s="18" t="s">
        <v>53</v>
      </c>
      <c r="Y151" s="18" t="s">
        <v>51</v>
      </c>
      <c r="AA151" s="18">
        <v>0</v>
      </c>
      <c r="AB151" s="18">
        <v>0</v>
      </c>
      <c r="AC151" s="18">
        <v>0</v>
      </c>
      <c r="AD151" s="18" t="s">
        <v>65</v>
      </c>
      <c r="AE151" s="18">
        <v>0</v>
      </c>
      <c r="AF151" s="18">
        <f t="shared" si="10"/>
        <v>3</v>
      </c>
      <c r="AG151" s="18" t="str">
        <f t="shared" si="11"/>
        <v>LOW</v>
      </c>
    </row>
    <row r="152" spans="1:33" x14ac:dyDescent="0.3">
      <c r="A152" s="66">
        <v>151</v>
      </c>
      <c r="B152" s="18" t="s">
        <v>1</v>
      </c>
      <c r="C152" s="18" t="s">
        <v>69</v>
      </c>
      <c r="D152" s="18" t="s">
        <v>12</v>
      </c>
      <c r="E152" s="29" t="s">
        <v>117</v>
      </c>
      <c r="F152" s="29" t="s">
        <v>326</v>
      </c>
      <c r="G152" s="18">
        <v>2</v>
      </c>
      <c r="H152" s="18">
        <v>1</v>
      </c>
      <c r="I152" s="18" t="s">
        <v>12</v>
      </c>
      <c r="J152" s="18" t="s">
        <v>12</v>
      </c>
      <c r="K152" s="68">
        <v>0</v>
      </c>
      <c r="L152" s="18">
        <v>1</v>
      </c>
      <c r="M152" s="18">
        <v>24</v>
      </c>
      <c r="N152" s="19">
        <v>45327</v>
      </c>
      <c r="O152" s="19">
        <v>45331</v>
      </c>
      <c r="P152" s="18">
        <f t="shared" si="8"/>
        <v>4</v>
      </c>
      <c r="Q152" s="30" t="s">
        <v>611</v>
      </c>
      <c r="T152" s="18">
        <f t="shared" si="9"/>
        <v>4</v>
      </c>
      <c r="X152" s="18" t="s">
        <v>51</v>
      </c>
      <c r="Y152" s="18" t="s">
        <v>895</v>
      </c>
      <c r="AA152" s="18">
        <v>0</v>
      </c>
      <c r="AB152" s="18">
        <v>0</v>
      </c>
      <c r="AC152" s="18">
        <v>0</v>
      </c>
      <c r="AD152" s="18" t="s">
        <v>65</v>
      </c>
      <c r="AE152" s="18">
        <v>0</v>
      </c>
      <c r="AF152" s="18">
        <f t="shared" si="10"/>
        <v>4</v>
      </c>
      <c r="AG152" s="18" t="str">
        <f t="shared" si="11"/>
        <v>LOW</v>
      </c>
    </row>
    <row r="153" spans="1:33" ht="28.8" x14ac:dyDescent="0.3">
      <c r="A153" s="66">
        <v>152</v>
      </c>
      <c r="B153" s="18" t="s">
        <v>2</v>
      </c>
      <c r="C153" s="18" t="s">
        <v>69</v>
      </c>
      <c r="D153" s="18" t="s">
        <v>82</v>
      </c>
      <c r="E153" s="29" t="s">
        <v>1000</v>
      </c>
      <c r="F153" s="29" t="s">
        <v>189</v>
      </c>
      <c r="G153" s="18">
        <v>2</v>
      </c>
      <c r="H153" s="18">
        <v>1</v>
      </c>
      <c r="I153" s="18" t="s">
        <v>9</v>
      </c>
      <c r="J153" s="18" t="s">
        <v>82</v>
      </c>
      <c r="K153" s="68">
        <v>0</v>
      </c>
      <c r="L153" s="18">
        <v>0</v>
      </c>
      <c r="N153" s="19">
        <v>45327</v>
      </c>
      <c r="O153" s="19">
        <v>45327</v>
      </c>
      <c r="P153" s="18">
        <f t="shared" si="8"/>
        <v>0</v>
      </c>
      <c r="Q153" s="30" t="s">
        <v>612</v>
      </c>
      <c r="S153" s="19">
        <v>45327</v>
      </c>
      <c r="T153" s="18">
        <f t="shared" si="9"/>
        <v>0</v>
      </c>
      <c r="X153" s="18" t="s">
        <v>53</v>
      </c>
      <c r="Y153" s="18" t="s">
        <v>51</v>
      </c>
      <c r="AA153" s="18">
        <v>0</v>
      </c>
      <c r="AB153" s="18">
        <v>0</v>
      </c>
      <c r="AC153" s="18">
        <v>0</v>
      </c>
      <c r="AD153" s="18" t="s">
        <v>65</v>
      </c>
      <c r="AE153" s="18">
        <v>0</v>
      </c>
      <c r="AF153" s="18">
        <f t="shared" si="10"/>
        <v>3</v>
      </c>
      <c r="AG153" s="18" t="str">
        <f t="shared" si="11"/>
        <v>LOW</v>
      </c>
    </row>
    <row r="154" spans="1:33" x14ac:dyDescent="0.3">
      <c r="A154" s="66">
        <v>153</v>
      </c>
      <c r="B154" s="18" t="s">
        <v>2</v>
      </c>
      <c r="C154" s="18" t="s">
        <v>69</v>
      </c>
      <c r="D154" s="18" t="s">
        <v>82</v>
      </c>
      <c r="E154" s="29" t="s">
        <v>1001</v>
      </c>
      <c r="F154" s="29" t="s">
        <v>189</v>
      </c>
      <c r="G154" s="18">
        <v>2</v>
      </c>
      <c r="H154" s="18">
        <v>1</v>
      </c>
      <c r="I154" s="18" t="s">
        <v>9</v>
      </c>
      <c r="J154" s="18" t="s">
        <v>82</v>
      </c>
      <c r="K154" s="68">
        <v>0</v>
      </c>
      <c r="L154" s="18">
        <v>0</v>
      </c>
      <c r="N154" s="19">
        <v>45327</v>
      </c>
      <c r="O154" s="19">
        <v>45327</v>
      </c>
      <c r="P154" s="18">
        <f t="shared" si="8"/>
        <v>0</v>
      </c>
      <c r="Q154" s="30" t="s">
        <v>613</v>
      </c>
      <c r="S154" s="19">
        <v>45327</v>
      </c>
      <c r="T154" s="18">
        <f t="shared" si="9"/>
        <v>0</v>
      </c>
      <c r="X154" s="18" t="s">
        <v>53</v>
      </c>
      <c r="Y154" s="18" t="s">
        <v>51</v>
      </c>
      <c r="AA154" s="18">
        <v>0</v>
      </c>
      <c r="AB154" s="18">
        <v>0</v>
      </c>
      <c r="AC154" s="18">
        <v>0</v>
      </c>
      <c r="AD154" s="18" t="s">
        <v>65</v>
      </c>
      <c r="AE154" s="18">
        <v>0</v>
      </c>
      <c r="AF154" s="18">
        <f t="shared" si="10"/>
        <v>3</v>
      </c>
      <c r="AG154" s="18" t="str">
        <f t="shared" si="11"/>
        <v>LOW</v>
      </c>
    </row>
    <row r="155" spans="1:33" x14ac:dyDescent="0.3">
      <c r="A155" s="66">
        <v>154</v>
      </c>
      <c r="B155" s="18" t="s">
        <v>2</v>
      </c>
      <c r="C155" s="18" t="s">
        <v>69</v>
      </c>
      <c r="D155" s="18" t="s">
        <v>82</v>
      </c>
      <c r="E155" s="29" t="s">
        <v>1002</v>
      </c>
      <c r="F155" s="29" t="s">
        <v>189</v>
      </c>
      <c r="G155" s="18">
        <v>2</v>
      </c>
      <c r="H155" s="18">
        <v>1</v>
      </c>
      <c r="I155" s="18" t="s">
        <v>9</v>
      </c>
      <c r="J155" s="18" t="s">
        <v>82</v>
      </c>
      <c r="K155" s="68">
        <v>0</v>
      </c>
      <c r="L155" s="18">
        <v>0</v>
      </c>
      <c r="N155" s="19">
        <v>45327</v>
      </c>
      <c r="O155" s="19">
        <v>45327</v>
      </c>
      <c r="P155" s="18">
        <f t="shared" si="8"/>
        <v>0</v>
      </c>
      <c r="Q155" s="30" t="s">
        <v>614</v>
      </c>
      <c r="S155" s="19">
        <v>45327</v>
      </c>
      <c r="T155" s="18">
        <f t="shared" si="9"/>
        <v>0</v>
      </c>
      <c r="X155" s="18" t="s">
        <v>53</v>
      </c>
      <c r="Y155" s="18" t="s">
        <v>51</v>
      </c>
      <c r="AA155" s="18">
        <v>0</v>
      </c>
      <c r="AB155" s="18">
        <v>0</v>
      </c>
      <c r="AC155" s="18">
        <v>0</v>
      </c>
      <c r="AD155" s="18" t="s">
        <v>65</v>
      </c>
      <c r="AE155" s="18">
        <v>0</v>
      </c>
      <c r="AF155" s="18">
        <f t="shared" si="10"/>
        <v>3</v>
      </c>
      <c r="AG155" s="18" t="str">
        <f t="shared" si="11"/>
        <v>LOW</v>
      </c>
    </row>
    <row r="156" spans="1:33" x14ac:dyDescent="0.3">
      <c r="A156" s="66">
        <v>155</v>
      </c>
      <c r="B156" s="18" t="s">
        <v>1</v>
      </c>
      <c r="C156" s="18" t="s">
        <v>69</v>
      </c>
      <c r="D156" s="18" t="s">
        <v>12</v>
      </c>
      <c r="E156" s="29" t="s">
        <v>136</v>
      </c>
      <c r="F156" s="29" t="s">
        <v>327</v>
      </c>
      <c r="G156" s="18">
        <v>2</v>
      </c>
      <c r="H156" s="18">
        <v>1</v>
      </c>
      <c r="I156" s="18" t="s">
        <v>12</v>
      </c>
      <c r="J156" s="18" t="s">
        <v>12</v>
      </c>
      <c r="K156" s="68" t="s">
        <v>456</v>
      </c>
      <c r="L156" s="18">
        <v>2</v>
      </c>
      <c r="M156" s="18">
        <v>12</v>
      </c>
      <c r="N156" s="19">
        <v>45327</v>
      </c>
      <c r="O156" s="19">
        <v>45331</v>
      </c>
      <c r="P156" s="18">
        <f t="shared" si="8"/>
        <v>4</v>
      </c>
      <c r="Q156" s="30" t="s">
        <v>615</v>
      </c>
      <c r="T156" s="18">
        <f t="shared" si="9"/>
        <v>4</v>
      </c>
      <c r="X156" s="18" t="s">
        <v>51</v>
      </c>
      <c r="Y156" s="18" t="s">
        <v>895</v>
      </c>
      <c r="AA156" s="18">
        <v>0</v>
      </c>
      <c r="AB156" s="18">
        <v>0</v>
      </c>
      <c r="AC156" s="18">
        <v>0</v>
      </c>
      <c r="AD156" s="18" t="s">
        <v>65</v>
      </c>
      <c r="AE156" s="18">
        <v>0</v>
      </c>
      <c r="AF156" s="18">
        <f t="shared" si="10"/>
        <v>5</v>
      </c>
      <c r="AG156" s="18" t="str">
        <f t="shared" si="11"/>
        <v>LOW</v>
      </c>
    </row>
    <row r="157" spans="1:33" x14ac:dyDescent="0.3">
      <c r="A157" s="66">
        <v>156</v>
      </c>
      <c r="B157" s="18" t="s">
        <v>1</v>
      </c>
      <c r="C157" s="18" t="s">
        <v>69</v>
      </c>
      <c r="D157" s="18" t="s">
        <v>12</v>
      </c>
      <c r="E157" s="29" t="s">
        <v>117</v>
      </c>
      <c r="F157" s="29" t="s">
        <v>328</v>
      </c>
      <c r="G157" s="18">
        <v>2</v>
      </c>
      <c r="H157" s="18">
        <v>1</v>
      </c>
      <c r="I157" s="18" t="s">
        <v>12</v>
      </c>
      <c r="J157" s="18" t="s">
        <v>12</v>
      </c>
      <c r="K157" s="68">
        <v>0</v>
      </c>
      <c r="L157" s="18">
        <v>1</v>
      </c>
      <c r="M157" s="18">
        <v>24</v>
      </c>
      <c r="N157" s="19">
        <v>45327</v>
      </c>
      <c r="O157" s="19">
        <v>45331</v>
      </c>
      <c r="P157" s="18">
        <f t="shared" si="8"/>
        <v>4</v>
      </c>
      <c r="Q157" s="30" t="s">
        <v>616</v>
      </c>
      <c r="T157" s="18">
        <f t="shared" si="9"/>
        <v>4</v>
      </c>
      <c r="X157" s="18" t="s">
        <v>51</v>
      </c>
      <c r="Y157" s="18" t="s">
        <v>895</v>
      </c>
      <c r="AA157" s="18">
        <v>0</v>
      </c>
      <c r="AB157" s="18">
        <v>0</v>
      </c>
      <c r="AC157" s="18">
        <v>0</v>
      </c>
      <c r="AD157" s="18" t="s">
        <v>65</v>
      </c>
      <c r="AE157" s="18">
        <v>0</v>
      </c>
      <c r="AF157" s="18">
        <f t="shared" si="10"/>
        <v>4</v>
      </c>
      <c r="AG157" s="18" t="str">
        <f t="shared" si="11"/>
        <v>LOW</v>
      </c>
    </row>
    <row r="158" spans="1:33" ht="28.8" x14ac:dyDescent="0.3">
      <c r="A158" s="66">
        <v>157</v>
      </c>
      <c r="B158" s="18" t="s">
        <v>2</v>
      </c>
      <c r="C158" s="18" t="s">
        <v>69</v>
      </c>
      <c r="D158" s="18" t="s">
        <v>82</v>
      </c>
      <c r="E158" s="29" t="s">
        <v>133</v>
      </c>
      <c r="F158" s="29" t="s">
        <v>329</v>
      </c>
      <c r="G158" s="18">
        <v>2</v>
      </c>
      <c r="H158" s="18">
        <v>1</v>
      </c>
      <c r="I158" s="18" t="s">
        <v>9</v>
      </c>
      <c r="J158" s="18" t="s">
        <v>82</v>
      </c>
      <c r="K158" s="68">
        <v>0</v>
      </c>
      <c r="L158" s="18">
        <v>0</v>
      </c>
      <c r="N158" s="19">
        <v>45327</v>
      </c>
      <c r="O158" s="19">
        <v>45331</v>
      </c>
      <c r="P158" s="18">
        <f t="shared" si="8"/>
        <v>4</v>
      </c>
      <c r="Q158" s="30" t="s">
        <v>617</v>
      </c>
      <c r="S158" s="19">
        <v>45331</v>
      </c>
      <c r="T158" s="18">
        <f t="shared" si="9"/>
        <v>4</v>
      </c>
      <c r="X158" s="18" t="s">
        <v>53</v>
      </c>
      <c r="Y158" s="18" t="s">
        <v>51</v>
      </c>
      <c r="AA158" s="18">
        <v>0</v>
      </c>
      <c r="AB158" s="18">
        <v>0</v>
      </c>
      <c r="AC158" s="18">
        <v>0</v>
      </c>
      <c r="AD158" s="18" t="s">
        <v>65</v>
      </c>
      <c r="AE158" s="18">
        <v>0</v>
      </c>
      <c r="AF158" s="18">
        <f t="shared" si="10"/>
        <v>3</v>
      </c>
      <c r="AG158" s="18" t="str">
        <f t="shared" si="11"/>
        <v>LOW</v>
      </c>
    </row>
    <row r="159" spans="1:33" ht="28.8" x14ac:dyDescent="0.3">
      <c r="A159" s="66">
        <v>158</v>
      </c>
      <c r="B159" s="18" t="s">
        <v>2</v>
      </c>
      <c r="C159" s="18" t="s">
        <v>69</v>
      </c>
      <c r="D159" s="18" t="s">
        <v>82</v>
      </c>
      <c r="E159" s="29" t="s">
        <v>137</v>
      </c>
      <c r="F159" s="29" t="s">
        <v>324</v>
      </c>
      <c r="G159" s="18">
        <v>2</v>
      </c>
      <c r="H159" s="18">
        <v>1</v>
      </c>
      <c r="I159" s="18" t="s">
        <v>9</v>
      </c>
      <c r="J159" s="18" t="s">
        <v>82</v>
      </c>
      <c r="K159" s="68">
        <v>0</v>
      </c>
      <c r="L159" s="18">
        <v>0</v>
      </c>
      <c r="N159" s="19">
        <v>45328</v>
      </c>
      <c r="O159" s="19">
        <v>45328</v>
      </c>
      <c r="P159" s="18">
        <f t="shared" si="8"/>
        <v>0</v>
      </c>
      <c r="Q159" s="30" t="s">
        <v>618</v>
      </c>
      <c r="S159" s="19">
        <v>45328</v>
      </c>
      <c r="T159" s="18">
        <f t="shared" si="9"/>
        <v>0</v>
      </c>
      <c r="X159" s="18" t="s">
        <v>53</v>
      </c>
      <c r="Y159" s="18" t="s">
        <v>51</v>
      </c>
      <c r="AA159" s="18">
        <v>0</v>
      </c>
      <c r="AB159" s="18">
        <v>0</v>
      </c>
      <c r="AC159" s="18">
        <v>0</v>
      </c>
      <c r="AD159" s="18" t="s">
        <v>65</v>
      </c>
      <c r="AE159" s="18">
        <v>0</v>
      </c>
      <c r="AF159" s="18">
        <f t="shared" si="10"/>
        <v>3</v>
      </c>
      <c r="AG159" s="18" t="str">
        <f t="shared" si="11"/>
        <v>LOW</v>
      </c>
    </row>
    <row r="160" spans="1:33" x14ac:dyDescent="0.3">
      <c r="A160" s="66">
        <v>159</v>
      </c>
      <c r="B160" s="18" t="s">
        <v>1</v>
      </c>
      <c r="C160" s="18" t="s">
        <v>69</v>
      </c>
      <c r="D160" s="18" t="s">
        <v>60</v>
      </c>
      <c r="E160" s="29" t="s">
        <v>138</v>
      </c>
      <c r="F160" s="29" t="s">
        <v>299</v>
      </c>
      <c r="G160" s="18">
        <v>2</v>
      </c>
      <c r="H160" s="18">
        <v>1</v>
      </c>
      <c r="I160" s="18" t="s">
        <v>9</v>
      </c>
      <c r="J160" s="18" t="s">
        <v>63</v>
      </c>
      <c r="K160" s="68">
        <v>0</v>
      </c>
      <c r="L160" s="18">
        <v>0</v>
      </c>
      <c r="N160" s="19">
        <v>45328</v>
      </c>
      <c r="O160" s="19">
        <v>45328</v>
      </c>
      <c r="P160" s="18">
        <f t="shared" si="8"/>
        <v>0</v>
      </c>
      <c r="Q160" s="30" t="s">
        <v>619</v>
      </c>
      <c r="S160" s="19">
        <v>45328</v>
      </c>
      <c r="T160" s="18">
        <f t="shared" si="9"/>
        <v>0</v>
      </c>
      <c r="X160" s="18" t="s">
        <v>53</v>
      </c>
      <c r="Y160" s="18" t="s">
        <v>51</v>
      </c>
      <c r="AA160" s="18">
        <v>0</v>
      </c>
      <c r="AB160" s="18">
        <v>0</v>
      </c>
      <c r="AC160" s="18">
        <v>0</v>
      </c>
      <c r="AD160" s="18" t="s">
        <v>65</v>
      </c>
      <c r="AE160" s="18">
        <v>0</v>
      </c>
      <c r="AF160" s="18">
        <f t="shared" si="10"/>
        <v>3</v>
      </c>
      <c r="AG160" s="18" t="str">
        <f t="shared" si="11"/>
        <v>LOW</v>
      </c>
    </row>
    <row r="161" spans="1:33" x14ac:dyDescent="0.3">
      <c r="A161" s="66">
        <v>160</v>
      </c>
      <c r="B161" s="18" t="s">
        <v>1</v>
      </c>
      <c r="C161" s="18" t="s">
        <v>69</v>
      </c>
      <c r="D161" s="18" t="s">
        <v>60</v>
      </c>
      <c r="E161" s="29" t="s">
        <v>139</v>
      </c>
      <c r="F161" s="29" t="s">
        <v>330</v>
      </c>
      <c r="G161" s="18">
        <v>2</v>
      </c>
      <c r="H161" s="18">
        <v>1</v>
      </c>
      <c r="I161" s="18" t="s">
        <v>9</v>
      </c>
      <c r="J161" s="18" t="s">
        <v>63</v>
      </c>
      <c r="K161" s="68">
        <v>0</v>
      </c>
      <c r="L161" s="18">
        <v>0</v>
      </c>
      <c r="N161" s="19">
        <v>45328</v>
      </c>
      <c r="O161" s="19">
        <v>45328</v>
      </c>
      <c r="P161" s="18">
        <f t="shared" si="8"/>
        <v>0</v>
      </c>
      <c r="Q161" s="30" t="s">
        <v>619</v>
      </c>
      <c r="S161" s="19">
        <v>45328</v>
      </c>
      <c r="T161" s="18">
        <f t="shared" si="9"/>
        <v>0</v>
      </c>
      <c r="X161" s="18" t="s">
        <v>53</v>
      </c>
      <c r="Y161" s="18" t="s">
        <v>51</v>
      </c>
      <c r="AA161" s="18">
        <v>0</v>
      </c>
      <c r="AB161" s="18">
        <v>0</v>
      </c>
      <c r="AC161" s="18">
        <v>0</v>
      </c>
      <c r="AD161" s="18" t="s">
        <v>65</v>
      </c>
      <c r="AE161" s="18">
        <v>0</v>
      </c>
      <c r="AF161" s="18">
        <f t="shared" si="10"/>
        <v>3</v>
      </c>
      <c r="AG161" s="18" t="str">
        <f t="shared" si="11"/>
        <v>LOW</v>
      </c>
    </row>
    <row r="162" spans="1:33" x14ac:dyDescent="0.3">
      <c r="A162" s="66">
        <v>161</v>
      </c>
      <c r="B162" s="18" t="s">
        <v>2</v>
      </c>
      <c r="C162" s="18" t="s">
        <v>69</v>
      </c>
      <c r="D162" s="18" t="s">
        <v>80</v>
      </c>
      <c r="E162" s="29" t="s">
        <v>984</v>
      </c>
      <c r="F162" s="29" t="s">
        <v>331</v>
      </c>
      <c r="G162" s="18">
        <v>0</v>
      </c>
      <c r="H162" s="18">
        <v>1</v>
      </c>
      <c r="I162" s="18" t="s">
        <v>9</v>
      </c>
      <c r="J162" s="18" t="s">
        <v>130</v>
      </c>
      <c r="K162" s="68">
        <v>0</v>
      </c>
      <c r="L162" s="18">
        <v>0</v>
      </c>
      <c r="N162" s="19">
        <v>45328</v>
      </c>
      <c r="O162" s="19">
        <v>45328</v>
      </c>
      <c r="P162" s="18">
        <f t="shared" si="8"/>
        <v>0</v>
      </c>
      <c r="Q162" s="30" t="s">
        <v>620</v>
      </c>
      <c r="S162" s="19">
        <v>45328</v>
      </c>
      <c r="T162" s="18">
        <f t="shared" si="9"/>
        <v>0</v>
      </c>
      <c r="X162" s="18" t="s">
        <v>53</v>
      </c>
      <c r="Y162" s="18" t="s">
        <v>51</v>
      </c>
      <c r="AA162" s="18">
        <v>0</v>
      </c>
      <c r="AB162" s="18">
        <v>0</v>
      </c>
      <c r="AC162" s="18">
        <v>2</v>
      </c>
      <c r="AD162" s="18" t="s">
        <v>65</v>
      </c>
      <c r="AE162" s="18">
        <v>0</v>
      </c>
      <c r="AF162" s="18">
        <f t="shared" si="10"/>
        <v>3</v>
      </c>
      <c r="AG162" s="18" t="str">
        <f t="shared" si="11"/>
        <v>LOW</v>
      </c>
    </row>
    <row r="163" spans="1:33" x14ac:dyDescent="0.3">
      <c r="A163" s="66">
        <v>162</v>
      </c>
      <c r="B163" s="18" t="s">
        <v>2</v>
      </c>
      <c r="C163" s="18" t="s">
        <v>69</v>
      </c>
      <c r="D163" s="18" t="s">
        <v>82</v>
      </c>
      <c r="E163" s="29" t="s">
        <v>140</v>
      </c>
      <c r="F163" s="29" t="s">
        <v>332</v>
      </c>
      <c r="G163" s="18">
        <v>2</v>
      </c>
      <c r="H163" s="18">
        <v>1</v>
      </c>
      <c r="I163" s="18" t="s">
        <v>9</v>
      </c>
      <c r="J163" s="18" t="s">
        <v>82</v>
      </c>
      <c r="K163" s="68">
        <v>0</v>
      </c>
      <c r="L163" s="18">
        <v>0</v>
      </c>
      <c r="N163" s="19">
        <v>45328</v>
      </c>
      <c r="O163" s="19">
        <v>45328</v>
      </c>
      <c r="P163" s="18">
        <f t="shared" si="8"/>
        <v>0</v>
      </c>
      <c r="Q163" s="30" t="s">
        <v>621</v>
      </c>
      <c r="S163" s="19">
        <v>45329</v>
      </c>
      <c r="T163" s="18">
        <f t="shared" si="9"/>
        <v>0</v>
      </c>
      <c r="X163" s="18" t="s">
        <v>53</v>
      </c>
      <c r="Y163" s="18" t="s">
        <v>51</v>
      </c>
      <c r="AA163" s="18">
        <v>0</v>
      </c>
      <c r="AB163" s="18">
        <v>0</v>
      </c>
      <c r="AC163" s="18">
        <v>0</v>
      </c>
      <c r="AD163" s="18" t="s">
        <v>65</v>
      </c>
      <c r="AE163" s="18">
        <v>0</v>
      </c>
      <c r="AF163" s="18">
        <f t="shared" si="10"/>
        <v>3</v>
      </c>
      <c r="AG163" s="18" t="str">
        <f t="shared" si="11"/>
        <v>LOW</v>
      </c>
    </row>
    <row r="164" spans="1:33" ht="28.8" x14ac:dyDescent="0.3">
      <c r="A164" s="66">
        <v>163</v>
      </c>
      <c r="B164" s="18" t="s">
        <v>2</v>
      </c>
      <c r="C164" s="18" t="s">
        <v>69</v>
      </c>
      <c r="D164" s="18" t="s">
        <v>82</v>
      </c>
      <c r="E164" s="29" t="s">
        <v>141</v>
      </c>
      <c r="F164" s="29" t="s">
        <v>333</v>
      </c>
      <c r="G164" s="18">
        <v>2</v>
      </c>
      <c r="H164" s="18">
        <v>1</v>
      </c>
      <c r="I164" s="18" t="s">
        <v>9</v>
      </c>
      <c r="J164" s="18" t="s">
        <v>82</v>
      </c>
      <c r="K164" s="68">
        <v>0</v>
      </c>
      <c r="L164" s="18">
        <v>0</v>
      </c>
      <c r="N164" s="19">
        <v>45328</v>
      </c>
      <c r="O164" s="19">
        <v>45328</v>
      </c>
      <c r="P164" s="18">
        <f t="shared" si="8"/>
        <v>0</v>
      </c>
      <c r="Q164" s="30" t="s">
        <v>622</v>
      </c>
      <c r="S164" s="19">
        <v>45329</v>
      </c>
      <c r="T164" s="18">
        <f t="shared" si="9"/>
        <v>0</v>
      </c>
      <c r="X164" s="18" t="s">
        <v>53</v>
      </c>
      <c r="Y164" s="18" t="s">
        <v>51</v>
      </c>
      <c r="AA164" s="18">
        <v>0</v>
      </c>
      <c r="AB164" s="18">
        <v>0</v>
      </c>
      <c r="AC164" s="18">
        <v>0</v>
      </c>
      <c r="AD164" s="18" t="s">
        <v>65</v>
      </c>
      <c r="AE164" s="18">
        <v>0</v>
      </c>
      <c r="AF164" s="18">
        <f t="shared" si="10"/>
        <v>3</v>
      </c>
      <c r="AG164" s="18" t="str">
        <f t="shared" si="11"/>
        <v>LOW</v>
      </c>
    </row>
    <row r="165" spans="1:33" x14ac:dyDescent="0.3">
      <c r="A165" s="66">
        <v>164</v>
      </c>
      <c r="B165" s="18" t="s">
        <v>1</v>
      </c>
      <c r="C165" s="18" t="s">
        <v>69</v>
      </c>
      <c r="D165" s="18" t="s">
        <v>60</v>
      </c>
      <c r="E165" s="29" t="s">
        <v>1003</v>
      </c>
      <c r="F165" s="29" t="s">
        <v>334</v>
      </c>
      <c r="G165" s="18">
        <v>2</v>
      </c>
      <c r="H165" s="18">
        <v>1</v>
      </c>
      <c r="I165" s="18" t="s">
        <v>9</v>
      </c>
      <c r="J165" s="18" t="s">
        <v>63</v>
      </c>
      <c r="K165" s="68">
        <v>0</v>
      </c>
      <c r="L165" s="18">
        <v>0</v>
      </c>
      <c r="N165" s="19">
        <v>45328</v>
      </c>
      <c r="O165" s="19">
        <v>45328</v>
      </c>
      <c r="P165" s="18">
        <f t="shared" si="8"/>
        <v>0</v>
      </c>
      <c r="Q165" s="30" t="s">
        <v>619</v>
      </c>
      <c r="S165" s="19">
        <v>45328</v>
      </c>
      <c r="T165" s="18">
        <f t="shared" si="9"/>
        <v>0</v>
      </c>
      <c r="X165" s="18" t="s">
        <v>53</v>
      </c>
      <c r="Y165" s="18" t="s">
        <v>51</v>
      </c>
      <c r="AA165" s="18">
        <v>0</v>
      </c>
      <c r="AB165" s="18">
        <v>0</v>
      </c>
      <c r="AC165" s="18">
        <v>0</v>
      </c>
      <c r="AD165" s="18" t="s">
        <v>65</v>
      </c>
      <c r="AE165" s="18">
        <v>0</v>
      </c>
      <c r="AF165" s="18">
        <f t="shared" si="10"/>
        <v>3</v>
      </c>
      <c r="AG165" s="18" t="str">
        <f t="shared" si="11"/>
        <v>LOW</v>
      </c>
    </row>
    <row r="166" spans="1:33" x14ac:dyDescent="0.3">
      <c r="A166" s="66">
        <v>165</v>
      </c>
      <c r="B166" s="18" t="s">
        <v>1</v>
      </c>
      <c r="C166" s="18" t="s">
        <v>69</v>
      </c>
      <c r="D166" s="18" t="s">
        <v>85</v>
      </c>
      <c r="E166" s="29" t="s">
        <v>1004</v>
      </c>
      <c r="F166" s="29" t="s">
        <v>335</v>
      </c>
      <c r="G166" s="18">
        <v>2</v>
      </c>
      <c r="H166" s="18">
        <v>1</v>
      </c>
      <c r="I166" s="18" t="s">
        <v>9</v>
      </c>
      <c r="J166" s="18" t="s">
        <v>63</v>
      </c>
      <c r="K166" s="68" t="s">
        <v>456</v>
      </c>
      <c r="L166" s="18">
        <v>0</v>
      </c>
      <c r="M166" s="18">
        <v>12</v>
      </c>
      <c r="N166" s="19">
        <v>45328</v>
      </c>
      <c r="O166" s="19">
        <v>45331</v>
      </c>
      <c r="P166" s="18">
        <f t="shared" si="8"/>
        <v>3</v>
      </c>
      <c r="Q166" s="30" t="s">
        <v>623</v>
      </c>
      <c r="T166" s="18">
        <f t="shared" si="9"/>
        <v>3</v>
      </c>
      <c r="X166" s="18" t="s">
        <v>53</v>
      </c>
      <c r="Y166" s="18" t="s">
        <v>51</v>
      </c>
      <c r="AA166" s="18">
        <v>0</v>
      </c>
      <c r="AB166" s="18">
        <v>0</v>
      </c>
      <c r="AC166" s="18">
        <v>0</v>
      </c>
      <c r="AD166" s="18" t="s">
        <v>65</v>
      </c>
      <c r="AE166" s="18">
        <v>0</v>
      </c>
      <c r="AF166" s="18">
        <f t="shared" si="10"/>
        <v>3</v>
      </c>
      <c r="AG166" s="18" t="str">
        <f t="shared" si="11"/>
        <v>LOW</v>
      </c>
    </row>
    <row r="167" spans="1:33" x14ac:dyDescent="0.3">
      <c r="A167" s="66">
        <v>166</v>
      </c>
      <c r="B167" s="18" t="s">
        <v>1</v>
      </c>
      <c r="C167" s="18" t="s">
        <v>69</v>
      </c>
      <c r="D167" s="18" t="s">
        <v>60</v>
      </c>
      <c r="E167" s="29" t="s">
        <v>119</v>
      </c>
      <c r="F167" s="29" t="s">
        <v>336</v>
      </c>
      <c r="G167" s="18">
        <v>2</v>
      </c>
      <c r="H167" s="18">
        <v>1</v>
      </c>
      <c r="I167" s="18" t="s">
        <v>9</v>
      </c>
      <c r="J167" s="18" t="s">
        <v>63</v>
      </c>
      <c r="K167" s="68">
        <v>6192000</v>
      </c>
      <c r="L167" s="18">
        <v>3</v>
      </c>
      <c r="M167" s="18">
        <v>36</v>
      </c>
      <c r="N167" s="19">
        <v>45328</v>
      </c>
      <c r="O167" s="19">
        <v>45330</v>
      </c>
      <c r="P167" s="18">
        <f t="shared" si="8"/>
        <v>2</v>
      </c>
      <c r="Q167" s="30" t="s">
        <v>624</v>
      </c>
      <c r="T167" s="18">
        <f t="shared" si="9"/>
        <v>2</v>
      </c>
      <c r="X167" s="18" t="s">
        <v>53</v>
      </c>
      <c r="Y167" s="18" t="s">
        <v>51</v>
      </c>
      <c r="AA167" s="18">
        <v>0</v>
      </c>
      <c r="AB167" s="18">
        <v>0</v>
      </c>
      <c r="AC167" s="18">
        <v>0</v>
      </c>
      <c r="AD167" s="18" t="s">
        <v>65</v>
      </c>
      <c r="AE167" s="18">
        <v>0</v>
      </c>
      <c r="AF167" s="18">
        <f t="shared" si="10"/>
        <v>6</v>
      </c>
      <c r="AG167" s="18" t="str">
        <f t="shared" si="11"/>
        <v>LOW</v>
      </c>
    </row>
    <row r="168" spans="1:33" x14ac:dyDescent="0.3">
      <c r="A168" s="66">
        <v>167</v>
      </c>
      <c r="B168" s="18" t="s">
        <v>1</v>
      </c>
      <c r="C168" s="18" t="s">
        <v>69</v>
      </c>
      <c r="D168" s="18" t="s">
        <v>82</v>
      </c>
      <c r="E168" s="29" t="s">
        <v>1005</v>
      </c>
      <c r="F168" s="29" t="s">
        <v>337</v>
      </c>
      <c r="G168" s="18">
        <v>2</v>
      </c>
      <c r="H168" s="18">
        <v>1</v>
      </c>
      <c r="I168" s="18" t="s">
        <v>9</v>
      </c>
      <c r="J168" s="18" t="s">
        <v>82</v>
      </c>
      <c r="K168" s="68">
        <v>365000</v>
      </c>
      <c r="L168" s="18">
        <v>3</v>
      </c>
      <c r="M168" s="18">
        <v>6</v>
      </c>
      <c r="N168" s="19">
        <v>45329</v>
      </c>
      <c r="O168" s="19">
        <v>45331</v>
      </c>
      <c r="P168" s="18">
        <f t="shared" si="8"/>
        <v>2</v>
      </c>
      <c r="Q168" s="30" t="s">
        <v>625</v>
      </c>
      <c r="T168" s="18">
        <f t="shared" si="9"/>
        <v>2</v>
      </c>
      <c r="X168" s="18" t="s">
        <v>53</v>
      </c>
      <c r="Y168" s="18" t="s">
        <v>51</v>
      </c>
      <c r="AA168" s="18">
        <v>0</v>
      </c>
      <c r="AB168" s="18">
        <v>0</v>
      </c>
      <c r="AC168" s="18">
        <v>0</v>
      </c>
      <c r="AD168" s="18" t="s">
        <v>65</v>
      </c>
      <c r="AE168" s="18">
        <v>0</v>
      </c>
      <c r="AF168" s="18">
        <f t="shared" si="10"/>
        <v>6</v>
      </c>
      <c r="AG168" s="18" t="str">
        <f t="shared" si="11"/>
        <v>LOW</v>
      </c>
    </row>
    <row r="169" spans="1:33" x14ac:dyDescent="0.3">
      <c r="A169" s="66">
        <v>168</v>
      </c>
      <c r="B169" s="18" t="s">
        <v>2</v>
      </c>
      <c r="C169" s="18" t="s">
        <v>69</v>
      </c>
      <c r="D169" s="18" t="s">
        <v>83</v>
      </c>
      <c r="E169" s="29" t="s">
        <v>993</v>
      </c>
      <c r="F169" s="29" t="s">
        <v>338</v>
      </c>
      <c r="G169" s="18">
        <v>3</v>
      </c>
      <c r="H169" s="18">
        <v>1</v>
      </c>
      <c r="I169" s="18" t="s">
        <v>9</v>
      </c>
      <c r="J169" s="18" t="s">
        <v>63</v>
      </c>
      <c r="K169" s="68">
        <v>0</v>
      </c>
      <c r="L169" s="18">
        <v>0</v>
      </c>
      <c r="N169" s="19">
        <v>45329</v>
      </c>
      <c r="O169" s="19">
        <v>45329</v>
      </c>
      <c r="P169" s="18">
        <f t="shared" si="8"/>
        <v>0</v>
      </c>
      <c r="Q169" s="30" t="s">
        <v>626</v>
      </c>
      <c r="S169" s="19">
        <v>45329</v>
      </c>
      <c r="T169" s="18">
        <f t="shared" si="9"/>
        <v>0</v>
      </c>
      <c r="X169" s="18" t="s">
        <v>53</v>
      </c>
      <c r="Y169" s="18" t="s">
        <v>51</v>
      </c>
      <c r="AA169" s="18">
        <v>0</v>
      </c>
      <c r="AB169" s="18">
        <v>0</v>
      </c>
      <c r="AC169" s="18">
        <v>0</v>
      </c>
      <c r="AD169" s="18" t="s">
        <v>65</v>
      </c>
      <c r="AE169" s="18">
        <v>0</v>
      </c>
      <c r="AF169" s="18">
        <f t="shared" si="10"/>
        <v>4</v>
      </c>
      <c r="AG169" s="18" t="str">
        <f t="shared" si="11"/>
        <v>LOW</v>
      </c>
    </row>
    <row r="170" spans="1:33" x14ac:dyDescent="0.3">
      <c r="A170" s="66">
        <v>169</v>
      </c>
      <c r="B170" s="18" t="s">
        <v>2</v>
      </c>
      <c r="C170" s="18" t="s">
        <v>69</v>
      </c>
      <c r="D170" s="18" t="s">
        <v>82</v>
      </c>
      <c r="E170" s="29" t="s">
        <v>79</v>
      </c>
      <c r="F170" s="29" t="s">
        <v>339</v>
      </c>
      <c r="G170" s="18">
        <v>2</v>
      </c>
      <c r="H170" s="18">
        <v>1</v>
      </c>
      <c r="I170" s="18" t="s">
        <v>9</v>
      </c>
      <c r="J170" s="18" t="s">
        <v>82</v>
      </c>
      <c r="K170" s="68">
        <v>0</v>
      </c>
      <c r="L170" s="18">
        <v>0</v>
      </c>
      <c r="N170" s="19">
        <v>45329</v>
      </c>
      <c r="O170" s="19">
        <v>45329</v>
      </c>
      <c r="P170" s="18">
        <f t="shared" si="8"/>
        <v>0</v>
      </c>
      <c r="Q170" s="30" t="s">
        <v>627</v>
      </c>
      <c r="S170" s="19">
        <v>45329</v>
      </c>
      <c r="T170" s="18">
        <f t="shared" si="9"/>
        <v>0</v>
      </c>
      <c r="X170" s="18" t="s">
        <v>53</v>
      </c>
      <c r="Y170" s="18" t="s">
        <v>51</v>
      </c>
      <c r="AA170" s="18">
        <v>0</v>
      </c>
      <c r="AB170" s="18">
        <v>0</v>
      </c>
      <c r="AC170" s="18">
        <v>0</v>
      </c>
      <c r="AD170" s="18" t="s">
        <v>65</v>
      </c>
      <c r="AE170" s="18">
        <v>0</v>
      </c>
      <c r="AF170" s="18">
        <f t="shared" si="10"/>
        <v>3</v>
      </c>
      <c r="AG170" s="18" t="str">
        <f t="shared" si="11"/>
        <v>LOW</v>
      </c>
    </row>
    <row r="171" spans="1:33" x14ac:dyDescent="0.3">
      <c r="A171" s="66">
        <v>170</v>
      </c>
      <c r="B171" s="18" t="s">
        <v>2</v>
      </c>
      <c r="C171" s="18" t="s">
        <v>69</v>
      </c>
      <c r="D171" s="18" t="s">
        <v>82</v>
      </c>
      <c r="E171" s="29" t="s">
        <v>141</v>
      </c>
      <c r="F171" s="29" t="s">
        <v>275</v>
      </c>
      <c r="G171" s="18">
        <v>2</v>
      </c>
      <c r="H171" s="18">
        <v>1</v>
      </c>
      <c r="I171" s="18" t="s">
        <v>9</v>
      </c>
      <c r="J171" s="18" t="s">
        <v>82</v>
      </c>
      <c r="K171" s="68">
        <v>0</v>
      </c>
      <c r="L171" s="18">
        <v>0</v>
      </c>
      <c r="N171" s="19">
        <v>45329</v>
      </c>
      <c r="O171" s="19">
        <v>45329</v>
      </c>
      <c r="P171" s="18">
        <f t="shared" si="8"/>
        <v>0</v>
      </c>
      <c r="Q171" s="30" t="s">
        <v>628</v>
      </c>
      <c r="S171" s="19">
        <v>45329</v>
      </c>
      <c r="T171" s="18">
        <f t="shared" si="9"/>
        <v>0</v>
      </c>
      <c r="X171" s="18" t="s">
        <v>51</v>
      </c>
      <c r="Y171" s="18" t="s">
        <v>51</v>
      </c>
      <c r="AA171" s="18">
        <v>0</v>
      </c>
      <c r="AB171" s="18">
        <v>0</v>
      </c>
      <c r="AC171" s="18">
        <v>0</v>
      </c>
      <c r="AD171" s="18" t="s">
        <v>65</v>
      </c>
      <c r="AE171" s="18">
        <v>0</v>
      </c>
      <c r="AF171" s="18">
        <f t="shared" si="10"/>
        <v>3</v>
      </c>
      <c r="AG171" s="18" t="str">
        <f t="shared" si="11"/>
        <v>LOW</v>
      </c>
    </row>
    <row r="172" spans="1:33" x14ac:dyDescent="0.3">
      <c r="A172" s="66">
        <v>171</v>
      </c>
      <c r="B172" s="18" t="s">
        <v>2</v>
      </c>
      <c r="C172" s="18" t="s">
        <v>69</v>
      </c>
      <c r="D172" s="18" t="s">
        <v>82</v>
      </c>
      <c r="E172" s="29" t="s">
        <v>996</v>
      </c>
      <c r="F172" s="29" t="s">
        <v>125</v>
      </c>
      <c r="G172" s="18">
        <v>2</v>
      </c>
      <c r="H172" s="18">
        <v>1</v>
      </c>
      <c r="I172" s="18" t="s">
        <v>9</v>
      </c>
      <c r="J172" s="18" t="s">
        <v>82</v>
      </c>
      <c r="K172" s="68">
        <v>0</v>
      </c>
      <c r="L172" s="18">
        <v>0</v>
      </c>
      <c r="N172" s="19">
        <v>45329</v>
      </c>
      <c r="O172" s="19">
        <v>45329</v>
      </c>
      <c r="P172" s="18">
        <f t="shared" si="8"/>
        <v>0</v>
      </c>
      <c r="Q172" s="30" t="s">
        <v>629</v>
      </c>
      <c r="S172" s="19">
        <v>45329</v>
      </c>
      <c r="T172" s="18">
        <f t="shared" si="9"/>
        <v>0</v>
      </c>
      <c r="X172" s="18" t="s">
        <v>51</v>
      </c>
      <c r="Y172" s="18" t="s">
        <v>51</v>
      </c>
      <c r="AA172" s="18">
        <v>0</v>
      </c>
      <c r="AB172" s="18">
        <v>0</v>
      </c>
      <c r="AC172" s="18">
        <v>0</v>
      </c>
      <c r="AD172" s="18" t="s">
        <v>65</v>
      </c>
      <c r="AE172" s="18">
        <v>0</v>
      </c>
      <c r="AF172" s="18">
        <f t="shared" si="10"/>
        <v>3</v>
      </c>
      <c r="AG172" s="18" t="str">
        <f t="shared" si="11"/>
        <v>LOW</v>
      </c>
    </row>
    <row r="173" spans="1:33" x14ac:dyDescent="0.3">
      <c r="A173" s="66">
        <v>172</v>
      </c>
      <c r="B173" s="18" t="s">
        <v>2</v>
      </c>
      <c r="C173" s="18" t="s">
        <v>69</v>
      </c>
      <c r="D173" s="18" t="s">
        <v>82</v>
      </c>
      <c r="E173" s="29" t="s">
        <v>997</v>
      </c>
      <c r="F173" s="29" t="s">
        <v>125</v>
      </c>
      <c r="G173" s="18">
        <v>2</v>
      </c>
      <c r="H173" s="18">
        <v>1</v>
      </c>
      <c r="I173" s="18" t="s">
        <v>9</v>
      </c>
      <c r="J173" s="18" t="s">
        <v>82</v>
      </c>
      <c r="K173" s="68">
        <v>0</v>
      </c>
      <c r="L173" s="18">
        <v>0</v>
      </c>
      <c r="N173" s="19">
        <v>45329</v>
      </c>
      <c r="O173" s="19">
        <v>45329</v>
      </c>
      <c r="P173" s="18">
        <f t="shared" si="8"/>
        <v>0</v>
      </c>
      <c r="Q173" s="30" t="s">
        <v>630</v>
      </c>
      <c r="S173" s="19">
        <v>45329</v>
      </c>
      <c r="T173" s="18">
        <f t="shared" si="9"/>
        <v>0</v>
      </c>
      <c r="X173" s="18" t="s">
        <v>51</v>
      </c>
      <c r="Y173" s="18" t="s">
        <v>51</v>
      </c>
      <c r="AA173" s="18">
        <v>0</v>
      </c>
      <c r="AB173" s="18">
        <v>0</v>
      </c>
      <c r="AC173" s="18">
        <v>0</v>
      </c>
      <c r="AD173" s="18" t="s">
        <v>65</v>
      </c>
      <c r="AE173" s="18">
        <v>0</v>
      </c>
      <c r="AF173" s="18">
        <f t="shared" si="10"/>
        <v>3</v>
      </c>
      <c r="AG173" s="18" t="str">
        <f t="shared" si="11"/>
        <v>LOW</v>
      </c>
    </row>
    <row r="174" spans="1:33" ht="28.8" x14ac:dyDescent="0.3">
      <c r="A174" s="66">
        <v>173</v>
      </c>
      <c r="B174" s="18" t="s">
        <v>1</v>
      </c>
      <c r="C174" s="18" t="s">
        <v>69</v>
      </c>
      <c r="D174" s="18" t="s">
        <v>60</v>
      </c>
      <c r="E174" s="29" t="s">
        <v>1003</v>
      </c>
      <c r="F174" s="29" t="s">
        <v>297</v>
      </c>
      <c r="G174" s="18">
        <v>2</v>
      </c>
      <c r="H174" s="18">
        <v>1</v>
      </c>
      <c r="I174" s="18" t="s">
        <v>9</v>
      </c>
      <c r="J174" s="18" t="s">
        <v>63</v>
      </c>
      <c r="K174" s="68">
        <v>1157807.1599999999</v>
      </c>
      <c r="L174" s="18">
        <v>3</v>
      </c>
      <c r="M174" s="18">
        <v>36</v>
      </c>
      <c r="N174" s="19">
        <v>45330</v>
      </c>
      <c r="O174" s="19">
        <v>45330</v>
      </c>
      <c r="P174" s="18">
        <f t="shared" si="8"/>
        <v>0</v>
      </c>
      <c r="Q174" s="30" t="s">
        <v>631</v>
      </c>
      <c r="T174" s="18">
        <f t="shared" si="9"/>
        <v>0</v>
      </c>
      <c r="X174" s="18" t="s">
        <v>53</v>
      </c>
      <c r="Y174" s="18" t="s">
        <v>51</v>
      </c>
      <c r="AA174" s="18">
        <v>0</v>
      </c>
      <c r="AB174" s="18">
        <v>0</v>
      </c>
      <c r="AC174" s="18">
        <v>0</v>
      </c>
      <c r="AD174" s="18" t="s">
        <v>65</v>
      </c>
      <c r="AE174" s="18">
        <v>0</v>
      </c>
      <c r="AF174" s="18">
        <f t="shared" si="10"/>
        <v>6</v>
      </c>
      <c r="AG174" s="18" t="str">
        <f t="shared" si="11"/>
        <v>LOW</v>
      </c>
    </row>
    <row r="175" spans="1:33" ht="28.8" x14ac:dyDescent="0.3">
      <c r="A175" s="66">
        <v>174</v>
      </c>
      <c r="B175" s="18" t="s">
        <v>1</v>
      </c>
      <c r="C175" s="18" t="s">
        <v>69</v>
      </c>
      <c r="D175" s="18" t="s">
        <v>60</v>
      </c>
      <c r="E175" s="29" t="s">
        <v>1004</v>
      </c>
      <c r="F175" s="29" t="s">
        <v>340</v>
      </c>
      <c r="G175" s="18">
        <v>2</v>
      </c>
      <c r="H175" s="18">
        <v>1</v>
      </c>
      <c r="I175" s="18" t="s">
        <v>9</v>
      </c>
      <c r="J175" s="18" t="s">
        <v>63</v>
      </c>
      <c r="K175" s="68">
        <v>612923.76</v>
      </c>
      <c r="L175" s="18">
        <v>3</v>
      </c>
      <c r="M175" s="18">
        <v>36</v>
      </c>
      <c r="N175" s="19">
        <v>45330</v>
      </c>
      <c r="O175" s="19">
        <v>45330</v>
      </c>
      <c r="P175" s="18">
        <f t="shared" si="8"/>
        <v>0</v>
      </c>
      <c r="Q175" s="30" t="s">
        <v>632</v>
      </c>
      <c r="T175" s="18">
        <f t="shared" si="9"/>
        <v>0</v>
      </c>
      <c r="X175" s="18" t="s">
        <v>53</v>
      </c>
      <c r="Y175" s="18" t="s">
        <v>51</v>
      </c>
      <c r="AA175" s="18">
        <v>0</v>
      </c>
      <c r="AB175" s="18">
        <v>0</v>
      </c>
      <c r="AC175" s="18">
        <v>0</v>
      </c>
      <c r="AD175" s="18" t="s">
        <v>65</v>
      </c>
      <c r="AE175" s="18">
        <v>0</v>
      </c>
      <c r="AF175" s="18">
        <f t="shared" si="10"/>
        <v>6</v>
      </c>
      <c r="AG175" s="18" t="str">
        <f t="shared" si="11"/>
        <v>LOW</v>
      </c>
    </row>
    <row r="176" spans="1:33" x14ac:dyDescent="0.3">
      <c r="A176" s="66">
        <v>175</v>
      </c>
      <c r="B176" s="18" t="s">
        <v>1</v>
      </c>
      <c r="C176" s="18" t="s">
        <v>69</v>
      </c>
      <c r="D176" s="18" t="s">
        <v>60</v>
      </c>
      <c r="E176" s="29" t="s">
        <v>1005</v>
      </c>
      <c r="F176" s="29" t="s">
        <v>306</v>
      </c>
      <c r="G176" s="18">
        <v>2</v>
      </c>
      <c r="H176" s="18">
        <v>1</v>
      </c>
      <c r="I176" s="18" t="s">
        <v>9</v>
      </c>
      <c r="J176" s="18" t="s">
        <v>63</v>
      </c>
      <c r="K176" s="68">
        <v>595584</v>
      </c>
      <c r="L176" s="18">
        <v>3</v>
      </c>
      <c r="M176" s="18">
        <v>36</v>
      </c>
      <c r="N176" s="19">
        <v>45330</v>
      </c>
      <c r="O176" s="19">
        <v>45330</v>
      </c>
      <c r="P176" s="18">
        <f t="shared" si="8"/>
        <v>0</v>
      </c>
      <c r="Q176" s="30" t="s">
        <v>633</v>
      </c>
      <c r="T176" s="18">
        <f t="shared" si="9"/>
        <v>0</v>
      </c>
      <c r="X176" s="18" t="s">
        <v>53</v>
      </c>
      <c r="Y176" s="18" t="s">
        <v>51</v>
      </c>
      <c r="AA176" s="18">
        <v>0</v>
      </c>
      <c r="AB176" s="18">
        <v>0</v>
      </c>
      <c r="AC176" s="18">
        <v>0</v>
      </c>
      <c r="AD176" s="18" t="s">
        <v>65</v>
      </c>
      <c r="AE176" s="18">
        <v>0</v>
      </c>
      <c r="AF176" s="18">
        <f t="shared" si="10"/>
        <v>6</v>
      </c>
      <c r="AG176" s="18" t="str">
        <f t="shared" si="11"/>
        <v>LOW</v>
      </c>
    </row>
    <row r="177" spans="1:33" x14ac:dyDescent="0.3">
      <c r="A177" s="66">
        <v>176</v>
      </c>
      <c r="B177" s="18" t="s">
        <v>1</v>
      </c>
      <c r="C177" s="18" t="s">
        <v>69</v>
      </c>
      <c r="D177" s="18" t="s">
        <v>60</v>
      </c>
      <c r="E177" s="29" t="s">
        <v>117</v>
      </c>
      <c r="F177" s="29" t="s">
        <v>341</v>
      </c>
      <c r="G177" s="18">
        <v>2</v>
      </c>
      <c r="H177" s="18">
        <v>1</v>
      </c>
      <c r="I177" s="18" t="s">
        <v>9</v>
      </c>
      <c r="J177" s="18" t="s">
        <v>63</v>
      </c>
      <c r="K177" s="68">
        <v>0</v>
      </c>
      <c r="L177" s="18">
        <v>1</v>
      </c>
      <c r="M177" s="18">
        <v>24</v>
      </c>
      <c r="N177" s="19">
        <v>45330</v>
      </c>
      <c r="O177" s="19">
        <v>45330</v>
      </c>
      <c r="P177" s="18">
        <f t="shared" si="8"/>
        <v>0</v>
      </c>
      <c r="Q177" s="30" t="s">
        <v>634</v>
      </c>
      <c r="T177" s="18">
        <f t="shared" si="9"/>
        <v>0</v>
      </c>
      <c r="X177" s="18" t="s">
        <v>53</v>
      </c>
      <c r="Y177" s="18" t="s">
        <v>51</v>
      </c>
      <c r="AA177" s="18">
        <v>0</v>
      </c>
      <c r="AB177" s="18">
        <v>0</v>
      </c>
      <c r="AC177" s="18">
        <v>0</v>
      </c>
      <c r="AD177" s="18" t="s">
        <v>65</v>
      </c>
      <c r="AE177" s="18">
        <v>0</v>
      </c>
      <c r="AF177" s="18">
        <f t="shared" si="10"/>
        <v>4</v>
      </c>
      <c r="AG177" s="18" t="str">
        <f t="shared" si="11"/>
        <v>LOW</v>
      </c>
    </row>
    <row r="178" spans="1:33" ht="28.8" x14ac:dyDescent="0.3">
      <c r="A178" s="66">
        <v>177</v>
      </c>
      <c r="B178" s="18" t="s">
        <v>2</v>
      </c>
      <c r="C178" s="18" t="s">
        <v>69</v>
      </c>
      <c r="D178" s="18" t="s">
        <v>82</v>
      </c>
      <c r="E178" s="29" t="s">
        <v>141</v>
      </c>
      <c r="F178" s="29" t="s">
        <v>124</v>
      </c>
      <c r="G178" s="18">
        <v>2</v>
      </c>
      <c r="H178" s="18">
        <v>1</v>
      </c>
      <c r="I178" s="18" t="s">
        <v>9</v>
      </c>
      <c r="J178" s="18" t="s">
        <v>82</v>
      </c>
      <c r="K178" s="68">
        <v>0</v>
      </c>
      <c r="L178" s="18">
        <v>0</v>
      </c>
      <c r="N178" s="19">
        <v>45330</v>
      </c>
      <c r="O178" s="19">
        <v>45330</v>
      </c>
      <c r="P178" s="18">
        <f t="shared" si="8"/>
        <v>0</v>
      </c>
      <c r="Q178" s="30" t="s">
        <v>635</v>
      </c>
      <c r="S178" s="19">
        <v>45330</v>
      </c>
      <c r="T178" s="18">
        <f t="shared" si="9"/>
        <v>0</v>
      </c>
      <c r="X178" s="18" t="s">
        <v>53</v>
      </c>
      <c r="Y178" s="18" t="s">
        <v>51</v>
      </c>
      <c r="AA178" s="18">
        <v>0</v>
      </c>
      <c r="AB178" s="18">
        <v>0</v>
      </c>
      <c r="AC178" s="18">
        <v>0</v>
      </c>
      <c r="AD178" s="18" t="s">
        <v>65</v>
      </c>
      <c r="AE178" s="18">
        <v>0</v>
      </c>
      <c r="AF178" s="18">
        <f t="shared" si="10"/>
        <v>3</v>
      </c>
      <c r="AG178" s="18" t="str">
        <f t="shared" si="11"/>
        <v>LOW</v>
      </c>
    </row>
    <row r="179" spans="1:33" x14ac:dyDescent="0.3">
      <c r="A179" s="66">
        <v>178</v>
      </c>
      <c r="B179" s="18" t="s">
        <v>2</v>
      </c>
      <c r="C179" s="18" t="s">
        <v>69</v>
      </c>
      <c r="D179" s="18" t="s">
        <v>82</v>
      </c>
      <c r="E179" s="29" t="s">
        <v>137</v>
      </c>
      <c r="F179" s="29" t="s">
        <v>342</v>
      </c>
      <c r="G179" s="18">
        <v>2</v>
      </c>
      <c r="H179" s="18">
        <v>1</v>
      </c>
      <c r="I179" s="18" t="s">
        <v>9</v>
      </c>
      <c r="J179" s="18" t="s">
        <v>82</v>
      </c>
      <c r="K179" s="68">
        <v>0</v>
      </c>
      <c r="L179" s="18">
        <v>0</v>
      </c>
      <c r="N179" s="19">
        <v>45330</v>
      </c>
      <c r="O179" s="19">
        <v>45330</v>
      </c>
      <c r="P179" s="18">
        <f t="shared" si="8"/>
        <v>0</v>
      </c>
      <c r="Q179" s="30" t="s">
        <v>636</v>
      </c>
      <c r="S179" s="19">
        <v>45330</v>
      </c>
      <c r="T179" s="18">
        <f t="shared" si="9"/>
        <v>0</v>
      </c>
      <c r="X179" s="18" t="s">
        <v>53</v>
      </c>
      <c r="Y179" s="18" t="s">
        <v>51</v>
      </c>
      <c r="AA179" s="18">
        <v>0</v>
      </c>
      <c r="AB179" s="18">
        <v>0</v>
      </c>
      <c r="AC179" s="18">
        <v>0</v>
      </c>
      <c r="AD179" s="18" t="s">
        <v>65</v>
      </c>
      <c r="AE179" s="18">
        <v>0</v>
      </c>
      <c r="AF179" s="18">
        <f t="shared" si="10"/>
        <v>3</v>
      </c>
      <c r="AG179" s="18" t="str">
        <f t="shared" si="11"/>
        <v>LOW</v>
      </c>
    </row>
    <row r="180" spans="1:33" x14ac:dyDescent="0.3">
      <c r="A180" s="66">
        <v>179</v>
      </c>
      <c r="B180" s="18" t="s">
        <v>2</v>
      </c>
      <c r="C180" s="18" t="s">
        <v>69</v>
      </c>
      <c r="D180" s="18" t="s">
        <v>80</v>
      </c>
      <c r="E180" s="29" t="s">
        <v>1006</v>
      </c>
      <c r="F180" s="29" t="s">
        <v>125</v>
      </c>
      <c r="G180" s="18">
        <v>2</v>
      </c>
      <c r="H180" s="18">
        <v>1</v>
      </c>
      <c r="I180" s="18" t="s">
        <v>9</v>
      </c>
      <c r="J180" s="18" t="s">
        <v>130</v>
      </c>
      <c r="K180" s="68">
        <v>0</v>
      </c>
      <c r="L180" s="18">
        <v>0</v>
      </c>
      <c r="N180" s="19">
        <v>45331</v>
      </c>
      <c r="O180" s="19">
        <v>45331</v>
      </c>
      <c r="P180" s="18">
        <f t="shared" si="8"/>
        <v>0</v>
      </c>
      <c r="Q180" s="30" t="s">
        <v>637</v>
      </c>
      <c r="S180" s="19">
        <v>45331</v>
      </c>
      <c r="T180" s="18">
        <f t="shared" si="9"/>
        <v>0</v>
      </c>
      <c r="X180" s="18" t="s">
        <v>51</v>
      </c>
      <c r="Y180" s="18" t="s">
        <v>51</v>
      </c>
      <c r="AA180" s="18">
        <v>0</v>
      </c>
      <c r="AB180" s="18">
        <v>0</v>
      </c>
      <c r="AC180" s="18">
        <v>0</v>
      </c>
      <c r="AD180" s="18" t="s">
        <v>65</v>
      </c>
      <c r="AE180" s="18">
        <v>0</v>
      </c>
      <c r="AF180" s="18">
        <f t="shared" si="10"/>
        <v>3</v>
      </c>
      <c r="AG180" s="18" t="str">
        <f t="shared" si="11"/>
        <v>LOW</v>
      </c>
    </row>
    <row r="181" spans="1:33" x14ac:dyDescent="0.3">
      <c r="A181" s="66">
        <v>180</v>
      </c>
      <c r="B181" s="18" t="s">
        <v>2</v>
      </c>
      <c r="C181" s="18" t="s">
        <v>69</v>
      </c>
      <c r="D181" s="18" t="s">
        <v>82</v>
      </c>
      <c r="E181" s="29" t="s">
        <v>1007</v>
      </c>
      <c r="F181" s="29" t="s">
        <v>125</v>
      </c>
      <c r="G181" s="18">
        <v>2</v>
      </c>
      <c r="H181" s="18">
        <v>1</v>
      </c>
      <c r="I181" s="18" t="s">
        <v>9</v>
      </c>
      <c r="J181" s="18" t="s">
        <v>82</v>
      </c>
      <c r="K181" s="68">
        <v>0</v>
      </c>
      <c r="L181" s="18">
        <v>0</v>
      </c>
      <c r="N181" s="19">
        <v>45331</v>
      </c>
      <c r="O181" s="19">
        <v>45331</v>
      </c>
      <c r="P181" s="18">
        <f t="shared" si="8"/>
        <v>0</v>
      </c>
      <c r="Q181" s="30" t="s">
        <v>638</v>
      </c>
      <c r="S181" s="19">
        <v>45331</v>
      </c>
      <c r="T181" s="18">
        <f t="shared" si="9"/>
        <v>0</v>
      </c>
      <c r="X181" s="18" t="s">
        <v>51</v>
      </c>
      <c r="Y181" s="18" t="s">
        <v>51</v>
      </c>
      <c r="AA181" s="18">
        <v>0</v>
      </c>
      <c r="AB181" s="18">
        <v>0</v>
      </c>
      <c r="AC181" s="18">
        <v>0</v>
      </c>
      <c r="AD181" s="18" t="s">
        <v>65</v>
      </c>
      <c r="AE181" s="18">
        <v>0</v>
      </c>
      <c r="AF181" s="18">
        <f t="shared" si="10"/>
        <v>3</v>
      </c>
      <c r="AG181" s="18" t="str">
        <f t="shared" si="11"/>
        <v>LOW</v>
      </c>
    </row>
    <row r="182" spans="1:33" x14ac:dyDescent="0.3">
      <c r="A182" s="66">
        <v>181</v>
      </c>
      <c r="B182" s="18" t="s">
        <v>1</v>
      </c>
      <c r="C182" s="18" t="s">
        <v>69</v>
      </c>
      <c r="D182" s="18" t="s">
        <v>60</v>
      </c>
      <c r="E182" s="29" t="s">
        <v>139</v>
      </c>
      <c r="F182" s="29" t="s">
        <v>306</v>
      </c>
      <c r="G182" s="18">
        <v>2</v>
      </c>
      <c r="H182" s="18">
        <v>1</v>
      </c>
      <c r="I182" s="18" t="s">
        <v>9</v>
      </c>
      <c r="J182" s="18" t="s">
        <v>63</v>
      </c>
      <c r="K182" s="68">
        <v>595584</v>
      </c>
      <c r="L182" s="18">
        <v>3</v>
      </c>
      <c r="M182" s="18">
        <v>36</v>
      </c>
      <c r="N182" s="19">
        <v>45331</v>
      </c>
      <c r="O182" s="19">
        <v>45331</v>
      </c>
      <c r="P182" s="18">
        <f t="shared" si="8"/>
        <v>0</v>
      </c>
      <c r="Q182" s="30" t="s">
        <v>639</v>
      </c>
      <c r="S182" s="19">
        <v>45337</v>
      </c>
      <c r="T182" s="18">
        <f t="shared" si="9"/>
        <v>0</v>
      </c>
      <c r="X182" s="18" t="s">
        <v>53</v>
      </c>
      <c r="Y182" s="18" t="s">
        <v>51</v>
      </c>
      <c r="AA182" s="18">
        <v>0</v>
      </c>
      <c r="AB182" s="18">
        <v>0</v>
      </c>
      <c r="AC182" s="18">
        <v>0</v>
      </c>
      <c r="AD182" s="18" t="s">
        <v>65</v>
      </c>
      <c r="AE182" s="18">
        <v>0</v>
      </c>
      <c r="AF182" s="18">
        <f t="shared" si="10"/>
        <v>6</v>
      </c>
      <c r="AG182" s="18" t="str">
        <f t="shared" si="11"/>
        <v>LOW</v>
      </c>
    </row>
    <row r="183" spans="1:33" x14ac:dyDescent="0.3">
      <c r="A183" s="66">
        <v>182</v>
      </c>
      <c r="B183" s="18" t="s">
        <v>2</v>
      </c>
      <c r="C183" s="18" t="s">
        <v>69</v>
      </c>
      <c r="D183" s="18" t="s">
        <v>82</v>
      </c>
      <c r="E183" s="29" t="s">
        <v>141</v>
      </c>
      <c r="F183" s="29" t="s">
        <v>124</v>
      </c>
      <c r="G183" s="18">
        <v>2</v>
      </c>
      <c r="H183" s="18">
        <v>1</v>
      </c>
      <c r="I183" s="18" t="s">
        <v>9</v>
      </c>
      <c r="J183" s="18" t="s">
        <v>82</v>
      </c>
      <c r="K183" s="68">
        <v>0</v>
      </c>
      <c r="L183" s="18">
        <v>0</v>
      </c>
      <c r="N183" s="19">
        <v>45331</v>
      </c>
      <c r="O183" s="19">
        <v>45331</v>
      </c>
      <c r="P183" s="18">
        <f t="shared" si="8"/>
        <v>0</v>
      </c>
      <c r="Q183" s="30" t="s">
        <v>640</v>
      </c>
      <c r="S183" s="19">
        <v>45337</v>
      </c>
      <c r="T183" s="18">
        <f t="shared" si="9"/>
        <v>0</v>
      </c>
      <c r="X183" s="18" t="s">
        <v>53</v>
      </c>
      <c r="Y183" s="18" t="s">
        <v>51</v>
      </c>
      <c r="AA183" s="18">
        <v>0</v>
      </c>
      <c r="AB183" s="18">
        <v>0</v>
      </c>
      <c r="AC183" s="18">
        <v>0</v>
      </c>
      <c r="AD183" s="18" t="s">
        <v>65</v>
      </c>
      <c r="AE183" s="18">
        <v>0</v>
      </c>
      <c r="AF183" s="18">
        <f t="shared" si="10"/>
        <v>3</v>
      </c>
      <c r="AG183" s="18" t="str">
        <f t="shared" si="11"/>
        <v>LOW</v>
      </c>
    </row>
    <row r="184" spans="1:33" ht="28.8" x14ac:dyDescent="0.3">
      <c r="A184" s="66">
        <v>183</v>
      </c>
      <c r="B184" s="18" t="s">
        <v>2</v>
      </c>
      <c r="C184" s="18" t="s">
        <v>69</v>
      </c>
      <c r="D184" s="18" t="s">
        <v>82</v>
      </c>
      <c r="E184" s="29" t="s">
        <v>124</v>
      </c>
      <c r="F184" s="29" t="s">
        <v>343</v>
      </c>
      <c r="G184" s="18">
        <v>2</v>
      </c>
      <c r="H184" s="18">
        <v>1</v>
      </c>
      <c r="I184" s="18" t="s">
        <v>9</v>
      </c>
      <c r="J184" s="18" t="s">
        <v>82</v>
      </c>
      <c r="K184" s="68">
        <v>0</v>
      </c>
      <c r="L184" s="18">
        <v>0</v>
      </c>
      <c r="N184" s="19">
        <v>45331</v>
      </c>
      <c r="O184" s="19">
        <v>45331</v>
      </c>
      <c r="P184" s="18">
        <f t="shared" si="8"/>
        <v>0</v>
      </c>
      <c r="Q184" s="30" t="s">
        <v>641</v>
      </c>
      <c r="S184" s="19">
        <v>45331</v>
      </c>
      <c r="T184" s="18">
        <f t="shared" si="9"/>
        <v>0</v>
      </c>
      <c r="X184" s="18" t="s">
        <v>53</v>
      </c>
      <c r="Y184" s="18" t="s">
        <v>51</v>
      </c>
      <c r="AA184" s="18">
        <v>0</v>
      </c>
      <c r="AB184" s="18">
        <v>0</v>
      </c>
      <c r="AC184" s="18">
        <v>0</v>
      </c>
      <c r="AD184" s="18" t="s">
        <v>65</v>
      </c>
      <c r="AE184" s="18">
        <v>0</v>
      </c>
      <c r="AF184" s="18">
        <f t="shared" si="10"/>
        <v>3</v>
      </c>
      <c r="AG184" s="18" t="str">
        <f t="shared" si="11"/>
        <v>LOW</v>
      </c>
    </row>
    <row r="185" spans="1:33" ht="43.2" x14ac:dyDescent="0.3">
      <c r="A185" s="66">
        <v>184</v>
      </c>
      <c r="B185" s="18" t="s">
        <v>2</v>
      </c>
      <c r="C185" s="18" t="s">
        <v>69</v>
      </c>
      <c r="D185" s="18" t="s">
        <v>83</v>
      </c>
      <c r="E185" s="29" t="s">
        <v>142</v>
      </c>
      <c r="F185" s="29" t="s">
        <v>117</v>
      </c>
      <c r="G185" s="18">
        <v>2</v>
      </c>
      <c r="H185" s="18">
        <v>2</v>
      </c>
      <c r="I185" s="18" t="s">
        <v>9</v>
      </c>
      <c r="J185" s="18" t="s">
        <v>63</v>
      </c>
      <c r="K185" s="68">
        <v>0</v>
      </c>
      <c r="L185" s="18">
        <v>0</v>
      </c>
      <c r="N185" s="19">
        <v>45331</v>
      </c>
      <c r="O185" s="19">
        <v>45331</v>
      </c>
      <c r="P185" s="18">
        <f t="shared" si="8"/>
        <v>0</v>
      </c>
      <c r="Q185" s="30" t="s">
        <v>642</v>
      </c>
      <c r="S185" s="19">
        <v>45331</v>
      </c>
      <c r="T185" s="18">
        <f t="shared" si="9"/>
        <v>0</v>
      </c>
      <c r="X185" s="18" t="s">
        <v>53</v>
      </c>
      <c r="Y185" s="18" t="s">
        <v>51</v>
      </c>
      <c r="AA185" s="18">
        <v>0</v>
      </c>
      <c r="AB185" s="18">
        <v>0</v>
      </c>
      <c r="AC185" s="18">
        <v>0</v>
      </c>
      <c r="AD185" s="18" t="s">
        <v>65</v>
      </c>
      <c r="AE185" s="18">
        <v>0</v>
      </c>
      <c r="AF185" s="18">
        <f t="shared" si="10"/>
        <v>4</v>
      </c>
      <c r="AG185" s="18" t="str">
        <f t="shared" si="11"/>
        <v>LOW</v>
      </c>
    </row>
    <row r="186" spans="1:33" ht="28.8" x14ac:dyDescent="0.3">
      <c r="A186" s="66">
        <v>185</v>
      </c>
      <c r="B186" s="18" t="s">
        <v>1</v>
      </c>
      <c r="C186" s="18" t="s">
        <v>69</v>
      </c>
      <c r="D186" s="18" t="s">
        <v>60</v>
      </c>
      <c r="E186" s="29" t="s">
        <v>139</v>
      </c>
      <c r="F186" s="29" t="s">
        <v>344</v>
      </c>
      <c r="G186" s="18">
        <v>2</v>
      </c>
      <c r="H186" s="18">
        <v>1</v>
      </c>
      <c r="I186" s="18" t="s">
        <v>9</v>
      </c>
      <c r="J186" s="18" t="s">
        <v>63</v>
      </c>
      <c r="K186" s="68" t="s">
        <v>456</v>
      </c>
      <c r="L186" s="18">
        <v>0</v>
      </c>
      <c r="M186" s="18">
        <v>36</v>
      </c>
      <c r="N186" s="19">
        <v>45331</v>
      </c>
      <c r="O186" s="19">
        <v>45331</v>
      </c>
      <c r="P186" s="18">
        <f t="shared" si="8"/>
        <v>0</v>
      </c>
      <c r="Q186" s="30" t="s">
        <v>643</v>
      </c>
      <c r="S186" s="19">
        <v>45337</v>
      </c>
      <c r="T186" s="18">
        <f t="shared" si="9"/>
        <v>0</v>
      </c>
      <c r="X186" s="18" t="s">
        <v>53</v>
      </c>
      <c r="Y186" s="18" t="s">
        <v>51</v>
      </c>
      <c r="AA186" s="18">
        <v>0</v>
      </c>
      <c r="AB186" s="18">
        <v>0</v>
      </c>
      <c r="AC186" s="18">
        <v>0</v>
      </c>
      <c r="AD186" s="18" t="s">
        <v>65</v>
      </c>
      <c r="AE186" s="18">
        <v>0</v>
      </c>
      <c r="AF186" s="18">
        <f t="shared" si="10"/>
        <v>3</v>
      </c>
      <c r="AG186" s="18" t="str">
        <f t="shared" si="11"/>
        <v>LOW</v>
      </c>
    </row>
    <row r="187" spans="1:33" x14ac:dyDescent="0.3">
      <c r="A187" s="66">
        <v>186</v>
      </c>
      <c r="B187" s="18" t="s">
        <v>1</v>
      </c>
      <c r="C187" s="18" t="s">
        <v>69</v>
      </c>
      <c r="D187" s="18" t="s">
        <v>60</v>
      </c>
      <c r="E187" s="29" t="s">
        <v>143</v>
      </c>
      <c r="F187" s="29" t="s">
        <v>300</v>
      </c>
      <c r="G187" s="18">
        <v>2</v>
      </c>
      <c r="H187" s="18">
        <v>3</v>
      </c>
      <c r="I187" s="18" t="s">
        <v>9</v>
      </c>
      <c r="J187" s="18" t="s">
        <v>63</v>
      </c>
      <c r="K187" s="68">
        <v>63780</v>
      </c>
      <c r="L187" s="18">
        <v>2</v>
      </c>
      <c r="M187" s="18">
        <v>36</v>
      </c>
      <c r="N187" s="19">
        <v>45331</v>
      </c>
      <c r="O187" s="19">
        <v>45331</v>
      </c>
      <c r="P187" s="18">
        <f t="shared" si="8"/>
        <v>0</v>
      </c>
      <c r="Q187" s="30" t="s">
        <v>644</v>
      </c>
      <c r="S187" s="19">
        <v>45337</v>
      </c>
      <c r="T187" s="18">
        <f t="shared" si="9"/>
        <v>0</v>
      </c>
      <c r="X187" s="18" t="s">
        <v>53</v>
      </c>
      <c r="Y187" s="18" t="s">
        <v>51</v>
      </c>
      <c r="AA187" s="18">
        <v>0</v>
      </c>
      <c r="AB187" s="18">
        <v>0</v>
      </c>
      <c r="AC187" s="18">
        <v>0</v>
      </c>
      <c r="AD187" s="18" t="s">
        <v>65</v>
      </c>
      <c r="AE187" s="18">
        <v>0</v>
      </c>
      <c r="AF187" s="18">
        <f t="shared" si="10"/>
        <v>7</v>
      </c>
      <c r="AG187" s="18" t="str">
        <f t="shared" si="11"/>
        <v>LOW</v>
      </c>
    </row>
    <row r="188" spans="1:33" x14ac:dyDescent="0.3">
      <c r="A188" s="66">
        <v>187</v>
      </c>
      <c r="B188" s="18" t="s">
        <v>1</v>
      </c>
      <c r="C188" s="18" t="s">
        <v>69</v>
      </c>
      <c r="D188" s="18" t="s">
        <v>60</v>
      </c>
      <c r="E188" s="29" t="s">
        <v>139</v>
      </c>
      <c r="F188" s="29" t="s">
        <v>345</v>
      </c>
      <c r="G188" s="18">
        <v>2</v>
      </c>
      <c r="H188" s="18">
        <v>3</v>
      </c>
      <c r="I188" s="18" t="s">
        <v>9</v>
      </c>
      <c r="J188" s="18" t="s">
        <v>63</v>
      </c>
      <c r="K188" s="68" t="s">
        <v>456</v>
      </c>
      <c r="L188" s="18">
        <v>0</v>
      </c>
      <c r="M188" s="18">
        <v>24</v>
      </c>
      <c r="N188" s="19">
        <v>45331</v>
      </c>
      <c r="O188" s="19">
        <v>45331</v>
      </c>
      <c r="P188" s="18">
        <f t="shared" si="8"/>
        <v>0</v>
      </c>
      <c r="Q188" s="30" t="s">
        <v>645</v>
      </c>
      <c r="S188" s="19">
        <v>45337</v>
      </c>
      <c r="T188" s="18">
        <f t="shared" si="9"/>
        <v>0</v>
      </c>
      <c r="X188" s="18" t="s">
        <v>53</v>
      </c>
      <c r="Y188" s="18" t="s">
        <v>51</v>
      </c>
      <c r="AA188" s="18">
        <v>0</v>
      </c>
      <c r="AB188" s="18">
        <v>0</v>
      </c>
      <c r="AC188" s="18">
        <v>0</v>
      </c>
      <c r="AD188" s="18" t="s">
        <v>65</v>
      </c>
      <c r="AE188" s="18">
        <v>0</v>
      </c>
      <c r="AF188" s="18">
        <f t="shared" si="10"/>
        <v>5</v>
      </c>
      <c r="AG188" s="18" t="str">
        <f t="shared" si="11"/>
        <v>LOW</v>
      </c>
    </row>
    <row r="189" spans="1:33" ht="28.8" x14ac:dyDescent="0.3">
      <c r="A189" s="66">
        <v>188</v>
      </c>
      <c r="B189" s="18" t="s">
        <v>1</v>
      </c>
      <c r="C189" s="18" t="s">
        <v>69</v>
      </c>
      <c r="D189" s="18" t="s">
        <v>85</v>
      </c>
      <c r="E189" s="29" t="s">
        <v>970</v>
      </c>
      <c r="F189" s="29" t="s">
        <v>346</v>
      </c>
      <c r="G189" s="18">
        <v>2</v>
      </c>
      <c r="H189" s="18">
        <v>1</v>
      </c>
      <c r="I189" s="18" t="s">
        <v>9</v>
      </c>
      <c r="J189" s="18" t="s">
        <v>63</v>
      </c>
      <c r="K189" s="68">
        <v>119294.14</v>
      </c>
      <c r="L189" s="18">
        <v>2</v>
      </c>
      <c r="M189" s="18">
        <v>2</v>
      </c>
      <c r="N189" s="19">
        <v>45336</v>
      </c>
      <c r="O189" s="19">
        <v>45336</v>
      </c>
      <c r="P189" s="18">
        <f t="shared" si="8"/>
        <v>0</v>
      </c>
      <c r="Q189" s="30" t="s">
        <v>646</v>
      </c>
      <c r="S189" s="19">
        <v>45336</v>
      </c>
      <c r="T189" s="18">
        <f t="shared" si="9"/>
        <v>0</v>
      </c>
      <c r="X189" s="18" t="s">
        <v>53</v>
      </c>
      <c r="Y189" s="18" t="s">
        <v>51</v>
      </c>
      <c r="AA189" s="18">
        <v>0</v>
      </c>
      <c r="AB189" s="18">
        <v>0</v>
      </c>
      <c r="AC189" s="18">
        <v>0</v>
      </c>
      <c r="AD189" s="18" t="s">
        <v>65</v>
      </c>
      <c r="AE189" s="18">
        <v>0</v>
      </c>
      <c r="AF189" s="18">
        <f t="shared" si="10"/>
        <v>5</v>
      </c>
      <c r="AG189" s="18" t="str">
        <f t="shared" si="11"/>
        <v>LOW</v>
      </c>
    </row>
    <row r="190" spans="1:33" x14ac:dyDescent="0.3">
      <c r="A190" s="66">
        <v>189</v>
      </c>
      <c r="B190" s="18" t="s">
        <v>1</v>
      </c>
      <c r="C190" s="18" t="s">
        <v>69</v>
      </c>
      <c r="D190" s="18" t="s">
        <v>82</v>
      </c>
      <c r="E190" s="29" t="s">
        <v>971</v>
      </c>
      <c r="F190" s="29" t="s">
        <v>337</v>
      </c>
      <c r="G190" s="18">
        <v>2</v>
      </c>
      <c r="H190" s="18">
        <v>1</v>
      </c>
      <c r="I190" s="18" t="s">
        <v>9</v>
      </c>
      <c r="J190" s="18" t="s">
        <v>82</v>
      </c>
      <c r="K190" s="68">
        <v>365000</v>
      </c>
      <c r="L190" s="18">
        <v>3</v>
      </c>
      <c r="M190" s="18">
        <v>6</v>
      </c>
      <c r="N190" s="19">
        <v>45336</v>
      </c>
      <c r="O190" s="19">
        <v>45336</v>
      </c>
      <c r="P190" s="18">
        <f t="shared" si="8"/>
        <v>0</v>
      </c>
      <c r="Q190" s="30" t="s">
        <v>647</v>
      </c>
      <c r="S190" s="19">
        <v>1</v>
      </c>
      <c r="T190" s="18">
        <f t="shared" si="9"/>
        <v>0</v>
      </c>
      <c r="X190" s="18" t="s">
        <v>53</v>
      </c>
      <c r="Y190" s="18" t="s">
        <v>51</v>
      </c>
      <c r="AA190" s="18">
        <v>0</v>
      </c>
      <c r="AB190" s="18">
        <v>0</v>
      </c>
      <c r="AC190" s="18">
        <v>0</v>
      </c>
      <c r="AD190" s="18" t="s">
        <v>65</v>
      </c>
      <c r="AE190" s="18">
        <v>0</v>
      </c>
      <c r="AF190" s="18">
        <f t="shared" si="10"/>
        <v>6</v>
      </c>
      <c r="AG190" s="18" t="str">
        <f t="shared" si="11"/>
        <v>LOW</v>
      </c>
    </row>
    <row r="191" spans="1:33" x14ac:dyDescent="0.3">
      <c r="A191" s="66">
        <v>190</v>
      </c>
      <c r="B191" s="18" t="s">
        <v>2</v>
      </c>
      <c r="C191" s="18" t="s">
        <v>69</v>
      </c>
      <c r="D191" s="18" t="s">
        <v>82</v>
      </c>
      <c r="E191" s="29" t="s">
        <v>133</v>
      </c>
      <c r="F191" s="29" t="s">
        <v>324</v>
      </c>
      <c r="G191" s="18">
        <v>2</v>
      </c>
      <c r="H191" s="18">
        <v>1</v>
      </c>
      <c r="I191" s="18" t="s">
        <v>9</v>
      </c>
      <c r="J191" s="18" t="s">
        <v>82</v>
      </c>
      <c r="K191" s="68">
        <v>0</v>
      </c>
      <c r="L191" s="18">
        <v>0</v>
      </c>
      <c r="N191" s="19">
        <v>45337</v>
      </c>
      <c r="O191" s="19">
        <v>45337</v>
      </c>
      <c r="P191" s="18">
        <f t="shared" si="8"/>
        <v>0</v>
      </c>
      <c r="Q191" s="30" t="s">
        <v>648</v>
      </c>
      <c r="S191" s="19">
        <v>45337</v>
      </c>
      <c r="T191" s="18">
        <f t="shared" si="9"/>
        <v>0</v>
      </c>
      <c r="X191" s="18" t="s">
        <v>53</v>
      </c>
      <c r="Y191" s="18" t="s">
        <v>51</v>
      </c>
      <c r="AA191" s="18">
        <v>0</v>
      </c>
      <c r="AB191" s="18">
        <v>0</v>
      </c>
      <c r="AC191" s="18">
        <v>0</v>
      </c>
      <c r="AD191" s="18" t="s">
        <v>65</v>
      </c>
      <c r="AE191" s="18">
        <v>0</v>
      </c>
      <c r="AF191" s="18">
        <f t="shared" si="10"/>
        <v>3</v>
      </c>
      <c r="AG191" s="18" t="str">
        <f t="shared" si="11"/>
        <v>LOW</v>
      </c>
    </row>
    <row r="192" spans="1:33" x14ac:dyDescent="0.3">
      <c r="A192" s="66">
        <v>191</v>
      </c>
      <c r="B192" s="18" t="s">
        <v>2</v>
      </c>
      <c r="C192" s="18" t="s">
        <v>69</v>
      </c>
      <c r="D192" s="18" t="s">
        <v>60</v>
      </c>
      <c r="E192" s="29" t="s">
        <v>989</v>
      </c>
      <c r="F192" s="29" t="s">
        <v>144</v>
      </c>
      <c r="G192" s="18">
        <v>2</v>
      </c>
      <c r="H192" s="18">
        <v>1</v>
      </c>
      <c r="I192" s="18" t="s">
        <v>9</v>
      </c>
      <c r="J192" s="18" t="s">
        <v>63</v>
      </c>
      <c r="K192" s="68">
        <v>0</v>
      </c>
      <c r="L192" s="18">
        <v>0</v>
      </c>
      <c r="N192" s="19">
        <v>45337</v>
      </c>
      <c r="O192" s="19">
        <v>45337</v>
      </c>
      <c r="P192" s="18">
        <f t="shared" si="8"/>
        <v>0</v>
      </c>
      <c r="Q192" s="30" t="s">
        <v>649</v>
      </c>
      <c r="S192" s="19">
        <v>45337</v>
      </c>
      <c r="T192" s="18">
        <f t="shared" si="9"/>
        <v>0</v>
      </c>
      <c r="X192" s="18" t="s">
        <v>53</v>
      </c>
      <c r="Y192" s="18" t="s">
        <v>51</v>
      </c>
      <c r="AA192" s="18">
        <v>0</v>
      </c>
      <c r="AB192" s="18">
        <v>0</v>
      </c>
      <c r="AC192" s="18">
        <v>0</v>
      </c>
      <c r="AD192" s="18" t="s">
        <v>65</v>
      </c>
      <c r="AE192" s="18">
        <v>0</v>
      </c>
      <c r="AF192" s="18">
        <f t="shared" si="10"/>
        <v>3</v>
      </c>
      <c r="AG192" s="18" t="str">
        <f t="shared" si="11"/>
        <v>LOW</v>
      </c>
    </row>
    <row r="193" spans="1:33" x14ac:dyDescent="0.3">
      <c r="A193" s="66">
        <v>192</v>
      </c>
      <c r="B193" s="18" t="s">
        <v>2</v>
      </c>
      <c r="C193" s="18" t="s">
        <v>69</v>
      </c>
      <c r="D193" s="18" t="s">
        <v>12</v>
      </c>
      <c r="E193" s="29" t="s">
        <v>1008</v>
      </c>
      <c r="F193" s="29" t="s">
        <v>347</v>
      </c>
      <c r="G193" s="18">
        <v>2</v>
      </c>
      <c r="H193" s="18">
        <v>1</v>
      </c>
      <c r="I193" s="18" t="s">
        <v>12</v>
      </c>
      <c r="J193" s="18" t="s">
        <v>12</v>
      </c>
      <c r="K193" s="68">
        <v>0</v>
      </c>
      <c r="L193" s="18">
        <v>0</v>
      </c>
      <c r="N193" s="19">
        <v>45337</v>
      </c>
      <c r="O193" s="19">
        <v>45337</v>
      </c>
      <c r="P193" s="18">
        <f t="shared" si="8"/>
        <v>0</v>
      </c>
      <c r="Q193" s="30" t="s">
        <v>650</v>
      </c>
      <c r="S193" s="19">
        <v>45337</v>
      </c>
      <c r="T193" s="18">
        <f t="shared" si="9"/>
        <v>0</v>
      </c>
      <c r="X193" s="18" t="s">
        <v>53</v>
      </c>
      <c r="Y193" s="18" t="s">
        <v>51</v>
      </c>
      <c r="AA193" s="18">
        <v>0</v>
      </c>
      <c r="AB193" s="18">
        <v>0</v>
      </c>
      <c r="AC193" s="18">
        <v>0</v>
      </c>
      <c r="AD193" s="18" t="s">
        <v>65</v>
      </c>
      <c r="AE193" s="18">
        <v>0</v>
      </c>
      <c r="AF193" s="18">
        <f t="shared" si="10"/>
        <v>3</v>
      </c>
      <c r="AG193" s="18" t="str">
        <f t="shared" si="11"/>
        <v>LOW</v>
      </c>
    </row>
    <row r="194" spans="1:33" x14ac:dyDescent="0.3">
      <c r="A194" s="66">
        <v>193</v>
      </c>
      <c r="B194" s="18" t="s">
        <v>2</v>
      </c>
      <c r="C194" s="18" t="s">
        <v>69</v>
      </c>
      <c r="D194" s="18" t="s">
        <v>12</v>
      </c>
      <c r="E194" s="29" t="s">
        <v>1009</v>
      </c>
      <c r="F194" s="29" t="s">
        <v>347</v>
      </c>
      <c r="G194" s="18">
        <v>2</v>
      </c>
      <c r="H194" s="18">
        <v>1</v>
      </c>
      <c r="I194" s="18" t="s">
        <v>12</v>
      </c>
      <c r="J194" s="18" t="s">
        <v>12</v>
      </c>
      <c r="K194" s="68">
        <v>0</v>
      </c>
      <c r="L194" s="18">
        <v>0</v>
      </c>
      <c r="N194" s="19">
        <v>45337</v>
      </c>
      <c r="O194" s="19">
        <v>45337</v>
      </c>
      <c r="P194" s="18">
        <f t="shared" ref="P194:P257" si="12">$O194-$N194</f>
        <v>0</v>
      </c>
      <c r="Q194" s="30" t="s">
        <v>651</v>
      </c>
      <c r="S194" s="19">
        <v>45337</v>
      </c>
      <c r="T194" s="18">
        <f t="shared" ref="T194:T257" si="13">IF(AND(O194&lt;&gt; "",N194&lt;&gt;""),O194-N194,"")</f>
        <v>0</v>
      </c>
      <c r="X194" s="18" t="s">
        <v>53</v>
      </c>
      <c r="Y194" s="18" t="s">
        <v>51</v>
      </c>
      <c r="AA194" s="18">
        <v>0</v>
      </c>
      <c r="AB194" s="18">
        <v>0</v>
      </c>
      <c r="AC194" s="18">
        <v>0</v>
      </c>
      <c r="AD194" s="18" t="s">
        <v>65</v>
      </c>
      <c r="AE194" s="18">
        <v>0</v>
      </c>
      <c r="AF194" s="18">
        <f t="shared" ref="AF194:AF257" si="14">SUM($G194,$H194,$L194,$AA194,$AB194,$AC194,$AE194)</f>
        <v>3</v>
      </c>
      <c r="AG194" s="18" t="str">
        <f t="shared" ref="AG194:AG257" si="15">IF(AF194&lt;=15,"LOW",IF(AF194&gt;=31,"HIGH","MIDIUM"))</f>
        <v>LOW</v>
      </c>
    </row>
    <row r="195" spans="1:33" ht="28.8" x14ac:dyDescent="0.3">
      <c r="A195" s="66">
        <v>194</v>
      </c>
      <c r="B195" s="18" t="s">
        <v>2</v>
      </c>
      <c r="C195" s="18" t="s">
        <v>69</v>
      </c>
      <c r="D195" s="18" t="s">
        <v>82</v>
      </c>
      <c r="E195" s="29" t="s">
        <v>1010</v>
      </c>
      <c r="F195" s="29" t="s">
        <v>125</v>
      </c>
      <c r="G195" s="18">
        <v>2</v>
      </c>
      <c r="H195" s="18">
        <v>1</v>
      </c>
      <c r="I195" s="18" t="s">
        <v>9</v>
      </c>
      <c r="J195" s="18" t="s">
        <v>82</v>
      </c>
      <c r="K195" s="68">
        <v>0</v>
      </c>
      <c r="L195" s="18">
        <v>0</v>
      </c>
      <c r="N195" s="19">
        <v>45337</v>
      </c>
      <c r="O195" s="19">
        <v>45337</v>
      </c>
      <c r="P195" s="18">
        <f t="shared" si="12"/>
        <v>0</v>
      </c>
      <c r="Q195" s="30" t="s">
        <v>652</v>
      </c>
      <c r="S195" s="19">
        <v>45337</v>
      </c>
      <c r="T195" s="18">
        <f t="shared" si="13"/>
        <v>0</v>
      </c>
      <c r="X195" s="18" t="s">
        <v>51</v>
      </c>
      <c r="Y195" s="18" t="s">
        <v>51</v>
      </c>
      <c r="AA195" s="18">
        <v>0</v>
      </c>
      <c r="AB195" s="18">
        <v>0</v>
      </c>
      <c r="AC195" s="18">
        <v>0</v>
      </c>
      <c r="AD195" s="18" t="s">
        <v>65</v>
      </c>
      <c r="AE195" s="18">
        <v>0</v>
      </c>
      <c r="AF195" s="18">
        <f t="shared" si="14"/>
        <v>3</v>
      </c>
      <c r="AG195" s="18" t="str">
        <f t="shared" si="15"/>
        <v>LOW</v>
      </c>
    </row>
    <row r="196" spans="1:33" x14ac:dyDescent="0.3">
      <c r="A196" s="66">
        <v>195</v>
      </c>
      <c r="B196" s="18" t="s">
        <v>2</v>
      </c>
      <c r="C196" s="18" t="s">
        <v>69</v>
      </c>
      <c r="D196" s="18" t="s">
        <v>82</v>
      </c>
      <c r="E196" s="29" t="s">
        <v>1011</v>
      </c>
      <c r="F196" s="29" t="s">
        <v>125</v>
      </c>
      <c r="G196" s="18">
        <v>2</v>
      </c>
      <c r="H196" s="18">
        <v>1</v>
      </c>
      <c r="I196" s="18" t="s">
        <v>9</v>
      </c>
      <c r="J196" s="18" t="s">
        <v>82</v>
      </c>
      <c r="K196" s="68">
        <v>0</v>
      </c>
      <c r="L196" s="18">
        <v>0</v>
      </c>
      <c r="N196" s="19">
        <v>45337</v>
      </c>
      <c r="O196" s="19">
        <v>45337</v>
      </c>
      <c r="P196" s="18">
        <f t="shared" si="12"/>
        <v>0</v>
      </c>
      <c r="Q196" s="30" t="s">
        <v>653</v>
      </c>
      <c r="S196" s="19">
        <v>45337</v>
      </c>
      <c r="T196" s="18">
        <f t="shared" si="13"/>
        <v>0</v>
      </c>
      <c r="X196" s="18" t="s">
        <v>51</v>
      </c>
      <c r="Y196" s="18" t="s">
        <v>51</v>
      </c>
      <c r="AA196" s="18">
        <v>0</v>
      </c>
      <c r="AB196" s="18">
        <v>0</v>
      </c>
      <c r="AC196" s="18">
        <v>0</v>
      </c>
      <c r="AD196" s="18" t="s">
        <v>65</v>
      </c>
      <c r="AE196" s="18">
        <v>0</v>
      </c>
      <c r="AF196" s="18">
        <f t="shared" si="14"/>
        <v>3</v>
      </c>
      <c r="AG196" s="18" t="str">
        <f t="shared" si="15"/>
        <v>LOW</v>
      </c>
    </row>
    <row r="197" spans="1:33" x14ac:dyDescent="0.3">
      <c r="A197" s="66">
        <v>196</v>
      </c>
      <c r="B197" s="18" t="s">
        <v>2</v>
      </c>
      <c r="C197" s="18" t="s">
        <v>6</v>
      </c>
      <c r="D197" s="18" t="s">
        <v>74</v>
      </c>
      <c r="E197" s="29" t="s">
        <v>145</v>
      </c>
      <c r="F197" s="29" t="s">
        <v>117</v>
      </c>
      <c r="G197" s="18">
        <v>0</v>
      </c>
      <c r="H197" s="18">
        <v>0</v>
      </c>
      <c r="I197" s="18" t="s">
        <v>9</v>
      </c>
      <c r="J197" s="18" t="s">
        <v>454</v>
      </c>
      <c r="K197" s="68">
        <v>0</v>
      </c>
      <c r="L197" s="18">
        <v>0</v>
      </c>
      <c r="N197" s="19">
        <v>45336</v>
      </c>
      <c r="O197" s="19">
        <v>45336</v>
      </c>
      <c r="P197" s="18">
        <f t="shared" si="12"/>
        <v>0</v>
      </c>
      <c r="Q197" s="30" t="s">
        <v>654</v>
      </c>
      <c r="S197" s="19">
        <v>45336</v>
      </c>
      <c r="T197" s="18">
        <f t="shared" si="13"/>
        <v>0</v>
      </c>
      <c r="X197" s="18" t="s">
        <v>51</v>
      </c>
      <c r="Y197" s="18" t="s">
        <v>51</v>
      </c>
      <c r="AA197" s="18">
        <v>0</v>
      </c>
      <c r="AB197" s="18">
        <v>0</v>
      </c>
      <c r="AC197" s="18">
        <v>0</v>
      </c>
      <c r="AD197" s="18" t="s">
        <v>65</v>
      </c>
      <c r="AE197" s="18">
        <v>0</v>
      </c>
      <c r="AF197" s="18">
        <f t="shared" si="14"/>
        <v>0</v>
      </c>
      <c r="AG197" s="18" t="str">
        <f t="shared" si="15"/>
        <v>LOW</v>
      </c>
    </row>
    <row r="198" spans="1:33" ht="28.8" x14ac:dyDescent="0.3">
      <c r="A198" s="66">
        <v>197</v>
      </c>
      <c r="B198" s="18" t="s">
        <v>2</v>
      </c>
      <c r="C198" s="18" t="s">
        <v>6</v>
      </c>
      <c r="D198" s="18" t="s">
        <v>74</v>
      </c>
      <c r="E198" s="29" t="s">
        <v>146</v>
      </c>
      <c r="F198" s="29" t="s">
        <v>117</v>
      </c>
      <c r="G198" s="18">
        <v>0</v>
      </c>
      <c r="H198" s="18">
        <v>0</v>
      </c>
      <c r="I198" s="18" t="s">
        <v>9</v>
      </c>
      <c r="J198" s="18" t="s">
        <v>63</v>
      </c>
      <c r="K198" s="68">
        <v>0</v>
      </c>
      <c r="L198" s="18">
        <v>0</v>
      </c>
      <c r="N198" s="19">
        <v>45336</v>
      </c>
      <c r="O198" s="19">
        <v>45336</v>
      </c>
      <c r="P198" s="18">
        <f t="shared" si="12"/>
        <v>0</v>
      </c>
      <c r="Q198" s="30" t="s">
        <v>655</v>
      </c>
      <c r="S198" s="19">
        <v>45336</v>
      </c>
      <c r="T198" s="18">
        <f t="shared" si="13"/>
        <v>0</v>
      </c>
      <c r="X198" s="18" t="s">
        <v>51</v>
      </c>
      <c r="Y198" s="18" t="s">
        <v>51</v>
      </c>
      <c r="AA198" s="18">
        <v>0</v>
      </c>
      <c r="AB198" s="18">
        <v>0</v>
      </c>
      <c r="AC198" s="18">
        <v>0</v>
      </c>
      <c r="AD198" s="18" t="s">
        <v>65</v>
      </c>
      <c r="AE198" s="18">
        <v>0</v>
      </c>
      <c r="AF198" s="18">
        <f t="shared" si="14"/>
        <v>0</v>
      </c>
      <c r="AG198" s="18" t="str">
        <f t="shared" si="15"/>
        <v>LOW</v>
      </c>
    </row>
    <row r="199" spans="1:33" x14ac:dyDescent="0.3">
      <c r="A199" s="66">
        <v>198</v>
      </c>
      <c r="B199" s="18" t="s">
        <v>2</v>
      </c>
      <c r="C199" s="18" t="s">
        <v>6</v>
      </c>
      <c r="D199" s="18" t="s">
        <v>74</v>
      </c>
      <c r="E199" s="29" t="s">
        <v>147</v>
      </c>
      <c r="F199" s="29" t="s">
        <v>117</v>
      </c>
      <c r="G199" s="18">
        <v>0</v>
      </c>
      <c r="H199" s="18">
        <v>0</v>
      </c>
      <c r="I199" s="18" t="s">
        <v>9</v>
      </c>
      <c r="J199" s="18" t="s">
        <v>63</v>
      </c>
      <c r="K199" s="68">
        <v>0</v>
      </c>
      <c r="L199" s="18">
        <v>0</v>
      </c>
      <c r="N199" s="19">
        <v>45336</v>
      </c>
      <c r="O199" s="19">
        <v>45336</v>
      </c>
      <c r="P199" s="18">
        <f t="shared" si="12"/>
        <v>0</v>
      </c>
      <c r="Q199" s="30" t="s">
        <v>656</v>
      </c>
      <c r="S199" s="19">
        <v>45336</v>
      </c>
      <c r="T199" s="18">
        <f t="shared" si="13"/>
        <v>0</v>
      </c>
      <c r="X199" s="18" t="s">
        <v>51</v>
      </c>
      <c r="Y199" s="18" t="s">
        <v>51</v>
      </c>
      <c r="AA199" s="18">
        <v>0</v>
      </c>
      <c r="AB199" s="18">
        <v>0</v>
      </c>
      <c r="AC199" s="18">
        <v>0</v>
      </c>
      <c r="AD199" s="18" t="s">
        <v>65</v>
      </c>
      <c r="AE199" s="18">
        <v>0</v>
      </c>
      <c r="AF199" s="18">
        <f t="shared" si="14"/>
        <v>0</v>
      </c>
      <c r="AG199" s="18" t="str">
        <f t="shared" si="15"/>
        <v>LOW</v>
      </c>
    </row>
    <row r="200" spans="1:33" x14ac:dyDescent="0.3">
      <c r="A200" s="66">
        <v>199</v>
      </c>
      <c r="B200" s="18" t="s">
        <v>2</v>
      </c>
      <c r="C200" s="18" t="s">
        <v>6</v>
      </c>
      <c r="D200" s="18" t="s">
        <v>74</v>
      </c>
      <c r="E200" s="29" t="s">
        <v>148</v>
      </c>
      <c r="F200" s="29" t="s">
        <v>117</v>
      </c>
      <c r="G200" s="18">
        <v>0</v>
      </c>
      <c r="H200" s="18">
        <v>0</v>
      </c>
      <c r="I200" s="18" t="s">
        <v>9</v>
      </c>
      <c r="J200" s="18" t="s">
        <v>63</v>
      </c>
      <c r="K200" s="68">
        <v>0</v>
      </c>
      <c r="L200" s="18">
        <v>0</v>
      </c>
      <c r="N200" s="19">
        <v>45336</v>
      </c>
      <c r="O200" s="19">
        <v>45336</v>
      </c>
      <c r="P200" s="18">
        <f t="shared" si="12"/>
        <v>0</v>
      </c>
      <c r="Q200" s="30" t="s">
        <v>656</v>
      </c>
      <c r="S200" s="19">
        <v>45336</v>
      </c>
      <c r="T200" s="18">
        <f t="shared" si="13"/>
        <v>0</v>
      </c>
      <c r="X200" s="18" t="s">
        <v>51</v>
      </c>
      <c r="Y200" s="18" t="s">
        <v>51</v>
      </c>
      <c r="AA200" s="18">
        <v>0</v>
      </c>
      <c r="AB200" s="18">
        <v>0</v>
      </c>
      <c r="AC200" s="18">
        <v>0</v>
      </c>
      <c r="AD200" s="18" t="s">
        <v>65</v>
      </c>
      <c r="AE200" s="18">
        <v>0</v>
      </c>
      <c r="AF200" s="18">
        <f t="shared" si="14"/>
        <v>0</v>
      </c>
      <c r="AG200" s="18" t="str">
        <f t="shared" si="15"/>
        <v>LOW</v>
      </c>
    </row>
    <row r="201" spans="1:33" x14ac:dyDescent="0.3">
      <c r="A201" s="66">
        <v>200</v>
      </c>
      <c r="B201" s="18" t="s">
        <v>2</v>
      </c>
      <c r="C201" s="18" t="s">
        <v>6</v>
      </c>
      <c r="D201" s="18" t="s">
        <v>74</v>
      </c>
      <c r="E201" s="29" t="s">
        <v>149</v>
      </c>
      <c r="F201" s="29" t="s">
        <v>117</v>
      </c>
      <c r="G201" s="18">
        <v>0</v>
      </c>
      <c r="H201" s="18">
        <v>0</v>
      </c>
      <c r="I201" s="18" t="s">
        <v>9</v>
      </c>
      <c r="J201" s="18" t="s">
        <v>63</v>
      </c>
      <c r="K201" s="68">
        <v>0</v>
      </c>
      <c r="L201" s="18">
        <v>0</v>
      </c>
      <c r="N201" s="19">
        <v>45336</v>
      </c>
      <c r="O201" s="19">
        <v>45336</v>
      </c>
      <c r="P201" s="18">
        <f t="shared" si="12"/>
        <v>0</v>
      </c>
      <c r="Q201" s="30" t="s">
        <v>657</v>
      </c>
      <c r="S201" s="19">
        <v>45336</v>
      </c>
      <c r="T201" s="18">
        <f t="shared" si="13"/>
        <v>0</v>
      </c>
      <c r="X201" s="18" t="s">
        <v>51</v>
      </c>
      <c r="Y201" s="18" t="s">
        <v>51</v>
      </c>
      <c r="AA201" s="18">
        <v>0</v>
      </c>
      <c r="AB201" s="18">
        <v>0</v>
      </c>
      <c r="AC201" s="18">
        <v>0</v>
      </c>
      <c r="AD201" s="18" t="s">
        <v>65</v>
      </c>
      <c r="AE201" s="18">
        <v>0</v>
      </c>
      <c r="AF201" s="18">
        <f t="shared" si="14"/>
        <v>0</v>
      </c>
      <c r="AG201" s="18" t="str">
        <f t="shared" si="15"/>
        <v>LOW</v>
      </c>
    </row>
    <row r="202" spans="1:33" x14ac:dyDescent="0.3">
      <c r="A202" s="66">
        <v>201</v>
      </c>
      <c r="B202" s="18" t="s">
        <v>2</v>
      </c>
      <c r="C202" s="18" t="s">
        <v>6</v>
      </c>
      <c r="D202" s="18" t="s">
        <v>74</v>
      </c>
      <c r="E202" s="29" t="s">
        <v>149</v>
      </c>
      <c r="F202" s="29" t="s">
        <v>117</v>
      </c>
      <c r="G202" s="18">
        <v>0</v>
      </c>
      <c r="H202" s="18">
        <v>0</v>
      </c>
      <c r="I202" s="18" t="s">
        <v>9</v>
      </c>
      <c r="J202" s="18" t="s">
        <v>63</v>
      </c>
      <c r="K202" s="68">
        <v>0</v>
      </c>
      <c r="L202" s="18">
        <v>0</v>
      </c>
      <c r="N202" s="19">
        <v>45336</v>
      </c>
      <c r="O202" s="19">
        <v>45336</v>
      </c>
      <c r="P202" s="18">
        <f t="shared" si="12"/>
        <v>0</v>
      </c>
      <c r="Q202" s="30" t="s">
        <v>658</v>
      </c>
      <c r="S202" s="19">
        <v>45336</v>
      </c>
      <c r="T202" s="18">
        <f t="shared" si="13"/>
        <v>0</v>
      </c>
      <c r="X202" s="18" t="s">
        <v>51</v>
      </c>
      <c r="Y202" s="18" t="s">
        <v>51</v>
      </c>
      <c r="AA202" s="18">
        <v>0</v>
      </c>
      <c r="AB202" s="18">
        <v>0</v>
      </c>
      <c r="AC202" s="18">
        <v>0</v>
      </c>
      <c r="AD202" s="18" t="s">
        <v>65</v>
      </c>
      <c r="AE202" s="18">
        <v>0</v>
      </c>
      <c r="AF202" s="18">
        <f t="shared" si="14"/>
        <v>0</v>
      </c>
      <c r="AG202" s="18" t="str">
        <f t="shared" si="15"/>
        <v>LOW</v>
      </c>
    </row>
    <row r="203" spans="1:33" x14ac:dyDescent="0.3">
      <c r="A203" s="66">
        <v>202</v>
      </c>
      <c r="B203" s="18" t="s">
        <v>2</v>
      </c>
      <c r="C203" s="18" t="s">
        <v>6</v>
      </c>
      <c r="D203" s="18" t="s">
        <v>74</v>
      </c>
      <c r="E203" s="29" t="s">
        <v>150</v>
      </c>
      <c r="F203" s="29" t="s">
        <v>117</v>
      </c>
      <c r="G203" s="18">
        <v>0</v>
      </c>
      <c r="H203" s="18">
        <v>0</v>
      </c>
      <c r="I203" s="18" t="s">
        <v>9</v>
      </c>
      <c r="J203" s="18" t="s">
        <v>63</v>
      </c>
      <c r="K203" s="68">
        <v>0</v>
      </c>
      <c r="L203" s="18">
        <v>0</v>
      </c>
      <c r="N203" s="19">
        <v>45336</v>
      </c>
      <c r="O203" s="19">
        <v>45336</v>
      </c>
      <c r="P203" s="18">
        <f t="shared" si="12"/>
        <v>0</v>
      </c>
      <c r="Q203" s="30" t="s">
        <v>623</v>
      </c>
      <c r="S203" s="19">
        <v>45336</v>
      </c>
      <c r="T203" s="18">
        <f t="shared" si="13"/>
        <v>0</v>
      </c>
      <c r="X203" s="18" t="s">
        <v>51</v>
      </c>
      <c r="Y203" s="18" t="s">
        <v>51</v>
      </c>
      <c r="AA203" s="18">
        <v>0</v>
      </c>
      <c r="AB203" s="18">
        <v>0</v>
      </c>
      <c r="AC203" s="18">
        <v>0</v>
      </c>
      <c r="AD203" s="18" t="s">
        <v>65</v>
      </c>
      <c r="AE203" s="18">
        <v>0</v>
      </c>
      <c r="AF203" s="18">
        <f t="shared" si="14"/>
        <v>0</v>
      </c>
      <c r="AG203" s="18" t="str">
        <f t="shared" si="15"/>
        <v>LOW</v>
      </c>
    </row>
    <row r="204" spans="1:33" x14ac:dyDescent="0.3">
      <c r="A204" s="66">
        <v>203</v>
      </c>
      <c r="B204" s="18" t="s">
        <v>2</v>
      </c>
      <c r="C204" s="18" t="s">
        <v>6</v>
      </c>
      <c r="D204" s="18" t="s">
        <v>74</v>
      </c>
      <c r="E204" s="29" t="s">
        <v>149</v>
      </c>
      <c r="F204" s="29" t="s">
        <v>117</v>
      </c>
      <c r="G204" s="18">
        <v>0</v>
      </c>
      <c r="H204" s="18">
        <v>0</v>
      </c>
      <c r="I204" s="18" t="s">
        <v>9</v>
      </c>
      <c r="J204" s="18" t="s">
        <v>63</v>
      </c>
      <c r="K204" s="68">
        <v>0</v>
      </c>
      <c r="L204" s="18">
        <v>0</v>
      </c>
      <c r="N204" s="19">
        <v>45336</v>
      </c>
      <c r="O204" s="19">
        <v>45336</v>
      </c>
      <c r="P204" s="18">
        <f t="shared" si="12"/>
        <v>0</v>
      </c>
      <c r="Q204" s="30" t="s">
        <v>659</v>
      </c>
      <c r="S204" s="19">
        <v>45336</v>
      </c>
      <c r="T204" s="18">
        <f t="shared" si="13"/>
        <v>0</v>
      </c>
      <c r="X204" s="18" t="s">
        <v>51</v>
      </c>
      <c r="Y204" s="18" t="s">
        <v>51</v>
      </c>
      <c r="AA204" s="18">
        <v>0</v>
      </c>
      <c r="AB204" s="18">
        <v>0</v>
      </c>
      <c r="AC204" s="18">
        <v>0</v>
      </c>
      <c r="AD204" s="18" t="s">
        <v>65</v>
      </c>
      <c r="AE204" s="18">
        <v>0</v>
      </c>
      <c r="AF204" s="18">
        <f t="shared" si="14"/>
        <v>0</v>
      </c>
      <c r="AG204" s="18" t="str">
        <f t="shared" si="15"/>
        <v>LOW</v>
      </c>
    </row>
    <row r="205" spans="1:33" ht="28.8" x14ac:dyDescent="0.3">
      <c r="A205" s="66">
        <v>204</v>
      </c>
      <c r="B205" s="18" t="s">
        <v>2</v>
      </c>
      <c r="C205" s="18" t="s">
        <v>6</v>
      </c>
      <c r="D205" s="18" t="s">
        <v>74</v>
      </c>
      <c r="E205" s="29" t="s">
        <v>151</v>
      </c>
      <c r="F205" s="29" t="s">
        <v>117</v>
      </c>
      <c r="G205" s="18">
        <v>0</v>
      </c>
      <c r="H205" s="18">
        <v>0</v>
      </c>
      <c r="I205" s="18" t="s">
        <v>9</v>
      </c>
      <c r="J205" s="18" t="s">
        <v>63</v>
      </c>
      <c r="K205" s="68">
        <v>0</v>
      </c>
      <c r="L205" s="18">
        <v>0</v>
      </c>
      <c r="N205" s="19">
        <v>45336</v>
      </c>
      <c r="O205" s="19">
        <v>45336</v>
      </c>
      <c r="P205" s="18">
        <f t="shared" si="12"/>
        <v>0</v>
      </c>
      <c r="Q205" s="30" t="s">
        <v>660</v>
      </c>
      <c r="S205" s="19">
        <v>45336</v>
      </c>
      <c r="T205" s="18">
        <f t="shared" si="13"/>
        <v>0</v>
      </c>
      <c r="X205" s="18" t="s">
        <v>51</v>
      </c>
      <c r="Y205" s="18" t="s">
        <v>51</v>
      </c>
      <c r="AA205" s="18">
        <v>0</v>
      </c>
      <c r="AB205" s="18">
        <v>0</v>
      </c>
      <c r="AC205" s="18">
        <v>0</v>
      </c>
      <c r="AD205" s="18" t="s">
        <v>65</v>
      </c>
      <c r="AE205" s="18">
        <v>0</v>
      </c>
      <c r="AF205" s="18">
        <f t="shared" si="14"/>
        <v>0</v>
      </c>
      <c r="AG205" s="18" t="str">
        <f t="shared" si="15"/>
        <v>LOW</v>
      </c>
    </row>
    <row r="206" spans="1:33" x14ac:dyDescent="0.3">
      <c r="A206" s="66">
        <v>205</v>
      </c>
      <c r="B206" s="18" t="s">
        <v>2</v>
      </c>
      <c r="C206" s="18" t="s">
        <v>6</v>
      </c>
      <c r="D206" s="18" t="s">
        <v>74</v>
      </c>
      <c r="E206" s="29" t="s">
        <v>152</v>
      </c>
      <c r="F206" s="29" t="s">
        <v>117</v>
      </c>
      <c r="G206" s="18">
        <v>0</v>
      </c>
      <c r="H206" s="18">
        <v>0</v>
      </c>
      <c r="I206" s="18" t="s">
        <v>9</v>
      </c>
      <c r="J206" s="18" t="s">
        <v>63</v>
      </c>
      <c r="K206" s="68">
        <v>0</v>
      </c>
      <c r="L206" s="18">
        <v>0</v>
      </c>
      <c r="N206" s="19">
        <v>45337</v>
      </c>
      <c r="O206" s="19">
        <v>45337</v>
      </c>
      <c r="P206" s="18">
        <f t="shared" si="12"/>
        <v>0</v>
      </c>
      <c r="Q206" s="30" t="s">
        <v>661</v>
      </c>
      <c r="T206" s="18">
        <f t="shared" si="13"/>
        <v>0</v>
      </c>
      <c r="X206" s="18" t="s">
        <v>53</v>
      </c>
      <c r="Y206" s="18" t="s">
        <v>51</v>
      </c>
      <c r="AA206" s="18">
        <v>0</v>
      </c>
      <c r="AB206" s="18">
        <v>0</v>
      </c>
      <c r="AC206" s="18">
        <v>0</v>
      </c>
      <c r="AD206" s="18" t="s">
        <v>65</v>
      </c>
      <c r="AE206" s="18">
        <v>0</v>
      </c>
      <c r="AF206" s="18">
        <f t="shared" si="14"/>
        <v>0</v>
      </c>
      <c r="AG206" s="18" t="str">
        <f t="shared" si="15"/>
        <v>LOW</v>
      </c>
    </row>
    <row r="207" spans="1:33" x14ac:dyDescent="0.3">
      <c r="A207" s="66">
        <v>206</v>
      </c>
      <c r="B207" s="18" t="s">
        <v>2</v>
      </c>
      <c r="C207" s="18" t="s">
        <v>6</v>
      </c>
      <c r="D207" s="18" t="s">
        <v>74</v>
      </c>
      <c r="E207" s="29" t="s">
        <v>153</v>
      </c>
      <c r="F207" s="29" t="s">
        <v>117</v>
      </c>
      <c r="G207" s="18">
        <v>0</v>
      </c>
      <c r="H207" s="18">
        <v>0</v>
      </c>
      <c r="I207" s="18" t="s">
        <v>9</v>
      </c>
      <c r="J207" s="18" t="s">
        <v>63</v>
      </c>
      <c r="K207" s="68">
        <v>0</v>
      </c>
      <c r="L207" s="18">
        <v>0</v>
      </c>
      <c r="N207" s="19">
        <v>45337</v>
      </c>
      <c r="O207" s="19">
        <v>45337</v>
      </c>
      <c r="P207" s="18">
        <f t="shared" si="12"/>
        <v>0</v>
      </c>
      <c r="Q207" s="30" t="s">
        <v>662</v>
      </c>
      <c r="S207" s="19">
        <v>45337</v>
      </c>
      <c r="T207" s="18">
        <f t="shared" si="13"/>
        <v>0</v>
      </c>
      <c r="X207" s="18" t="s">
        <v>51</v>
      </c>
      <c r="Y207" s="18" t="s">
        <v>51</v>
      </c>
      <c r="AA207" s="18">
        <v>0</v>
      </c>
      <c r="AB207" s="18">
        <v>0</v>
      </c>
      <c r="AC207" s="18">
        <v>0</v>
      </c>
      <c r="AD207" s="18" t="s">
        <v>65</v>
      </c>
      <c r="AE207" s="18">
        <v>0</v>
      </c>
      <c r="AF207" s="18">
        <f t="shared" si="14"/>
        <v>0</v>
      </c>
      <c r="AG207" s="18" t="str">
        <f t="shared" si="15"/>
        <v>LOW</v>
      </c>
    </row>
    <row r="208" spans="1:33" x14ac:dyDescent="0.3">
      <c r="A208" s="66">
        <v>207</v>
      </c>
      <c r="B208" s="18" t="s">
        <v>2</v>
      </c>
      <c r="C208" s="18" t="s">
        <v>6</v>
      </c>
      <c r="D208" s="18" t="s">
        <v>74</v>
      </c>
      <c r="E208" s="29" t="s">
        <v>154</v>
      </c>
      <c r="F208" s="29" t="s">
        <v>117</v>
      </c>
      <c r="G208" s="18">
        <v>0</v>
      </c>
      <c r="H208" s="18">
        <v>0</v>
      </c>
      <c r="I208" s="18" t="s">
        <v>9</v>
      </c>
      <c r="J208" s="18" t="s">
        <v>63</v>
      </c>
      <c r="K208" s="68">
        <v>0</v>
      </c>
      <c r="L208" s="18">
        <v>0</v>
      </c>
      <c r="N208" s="19">
        <v>45337</v>
      </c>
      <c r="O208" s="19">
        <v>45337</v>
      </c>
      <c r="P208" s="18">
        <f t="shared" si="12"/>
        <v>0</v>
      </c>
      <c r="Q208" s="30" t="s">
        <v>663</v>
      </c>
      <c r="S208" s="19">
        <v>45337</v>
      </c>
      <c r="T208" s="18">
        <f t="shared" si="13"/>
        <v>0</v>
      </c>
      <c r="X208" s="18" t="s">
        <v>51</v>
      </c>
      <c r="Y208" s="18" t="s">
        <v>51</v>
      </c>
      <c r="AA208" s="18">
        <v>0</v>
      </c>
      <c r="AB208" s="18">
        <v>0</v>
      </c>
      <c r="AC208" s="18">
        <v>0</v>
      </c>
      <c r="AD208" s="18" t="s">
        <v>65</v>
      </c>
      <c r="AE208" s="18">
        <v>0</v>
      </c>
      <c r="AF208" s="18">
        <f t="shared" si="14"/>
        <v>0</v>
      </c>
      <c r="AG208" s="18" t="str">
        <f t="shared" si="15"/>
        <v>LOW</v>
      </c>
    </row>
    <row r="209" spans="1:33" x14ac:dyDescent="0.3">
      <c r="A209" s="66">
        <v>208</v>
      </c>
      <c r="B209" s="18" t="s">
        <v>2</v>
      </c>
      <c r="C209" s="18" t="s">
        <v>6</v>
      </c>
      <c r="D209" s="18" t="s">
        <v>74</v>
      </c>
      <c r="E209" s="29" t="s">
        <v>155</v>
      </c>
      <c r="F209" s="29" t="s">
        <v>117</v>
      </c>
      <c r="G209" s="18">
        <v>0</v>
      </c>
      <c r="H209" s="18">
        <v>0</v>
      </c>
      <c r="I209" s="18" t="s">
        <v>9</v>
      </c>
      <c r="J209" s="18" t="s">
        <v>63</v>
      </c>
      <c r="K209" s="68">
        <v>0</v>
      </c>
      <c r="L209" s="18">
        <v>0</v>
      </c>
      <c r="N209" s="19">
        <v>45337</v>
      </c>
      <c r="O209" s="19">
        <v>45337</v>
      </c>
      <c r="P209" s="18">
        <f t="shared" si="12"/>
        <v>0</v>
      </c>
      <c r="Q209" s="30" t="s">
        <v>664</v>
      </c>
      <c r="S209" s="19">
        <v>45337</v>
      </c>
      <c r="T209" s="18">
        <f t="shared" si="13"/>
        <v>0</v>
      </c>
      <c r="X209" s="18" t="s">
        <v>51</v>
      </c>
      <c r="Y209" s="18" t="s">
        <v>51</v>
      </c>
      <c r="AA209" s="18">
        <v>0</v>
      </c>
      <c r="AB209" s="18">
        <v>0</v>
      </c>
      <c r="AC209" s="18">
        <v>0</v>
      </c>
      <c r="AD209" s="18" t="s">
        <v>65</v>
      </c>
      <c r="AE209" s="18">
        <v>0</v>
      </c>
      <c r="AF209" s="18">
        <f t="shared" si="14"/>
        <v>0</v>
      </c>
      <c r="AG209" s="18" t="str">
        <f t="shared" si="15"/>
        <v>LOW</v>
      </c>
    </row>
    <row r="210" spans="1:33" x14ac:dyDescent="0.3">
      <c r="A210" s="66">
        <v>209</v>
      </c>
      <c r="B210" s="18" t="s">
        <v>2</v>
      </c>
      <c r="C210" s="18" t="s">
        <v>6</v>
      </c>
      <c r="D210" s="18" t="s">
        <v>74</v>
      </c>
      <c r="E210" s="29" t="s">
        <v>156</v>
      </c>
      <c r="F210" s="29" t="s">
        <v>117</v>
      </c>
      <c r="G210" s="18">
        <v>0</v>
      </c>
      <c r="H210" s="18">
        <v>0</v>
      </c>
      <c r="I210" s="18" t="s">
        <v>9</v>
      </c>
      <c r="J210" s="18" t="s">
        <v>63</v>
      </c>
      <c r="K210" s="68">
        <v>0</v>
      </c>
      <c r="L210" s="18">
        <v>0</v>
      </c>
      <c r="N210" s="19">
        <v>45337</v>
      </c>
      <c r="O210" s="19">
        <v>45337</v>
      </c>
      <c r="P210" s="18">
        <f t="shared" si="12"/>
        <v>0</v>
      </c>
      <c r="Q210" s="30" t="s">
        <v>665</v>
      </c>
      <c r="S210" s="19">
        <v>45337</v>
      </c>
      <c r="T210" s="18">
        <f t="shared" si="13"/>
        <v>0</v>
      </c>
      <c r="X210" s="18" t="s">
        <v>51</v>
      </c>
      <c r="Y210" s="18" t="s">
        <v>51</v>
      </c>
      <c r="AA210" s="18">
        <v>0</v>
      </c>
      <c r="AB210" s="18">
        <v>0</v>
      </c>
      <c r="AC210" s="18">
        <v>0</v>
      </c>
      <c r="AD210" s="18" t="s">
        <v>65</v>
      </c>
      <c r="AE210" s="18">
        <v>0</v>
      </c>
      <c r="AF210" s="18">
        <f t="shared" si="14"/>
        <v>0</v>
      </c>
      <c r="AG210" s="18" t="str">
        <f t="shared" si="15"/>
        <v>LOW</v>
      </c>
    </row>
    <row r="211" spans="1:33" x14ac:dyDescent="0.3">
      <c r="A211" s="66">
        <v>210</v>
      </c>
      <c r="B211" s="18" t="s">
        <v>2</v>
      </c>
      <c r="C211" s="18" t="s">
        <v>6</v>
      </c>
      <c r="D211" s="18" t="s">
        <v>74</v>
      </c>
      <c r="E211" s="29" t="s">
        <v>149</v>
      </c>
      <c r="F211" s="29" t="s">
        <v>117</v>
      </c>
      <c r="G211" s="18">
        <v>0</v>
      </c>
      <c r="H211" s="18">
        <v>0</v>
      </c>
      <c r="I211" s="18" t="s">
        <v>9</v>
      </c>
      <c r="J211" s="18" t="s">
        <v>63</v>
      </c>
      <c r="K211" s="68">
        <v>0</v>
      </c>
      <c r="L211" s="18">
        <v>0</v>
      </c>
      <c r="N211" s="19">
        <v>45337</v>
      </c>
      <c r="O211" s="19">
        <v>45337</v>
      </c>
      <c r="P211" s="18">
        <f t="shared" si="12"/>
        <v>0</v>
      </c>
      <c r="Q211" s="30" t="s">
        <v>666</v>
      </c>
      <c r="S211" s="19">
        <v>45337</v>
      </c>
      <c r="T211" s="18">
        <f t="shared" si="13"/>
        <v>0</v>
      </c>
      <c r="X211" s="18" t="s">
        <v>51</v>
      </c>
      <c r="Y211" s="18" t="s">
        <v>51</v>
      </c>
      <c r="AA211" s="18">
        <v>0</v>
      </c>
      <c r="AB211" s="18">
        <v>0</v>
      </c>
      <c r="AC211" s="18">
        <v>0</v>
      </c>
      <c r="AD211" s="18" t="s">
        <v>65</v>
      </c>
      <c r="AE211" s="18">
        <v>0</v>
      </c>
      <c r="AF211" s="18">
        <f t="shared" si="14"/>
        <v>0</v>
      </c>
      <c r="AG211" s="18" t="str">
        <f t="shared" si="15"/>
        <v>LOW</v>
      </c>
    </row>
    <row r="212" spans="1:33" x14ac:dyDescent="0.3">
      <c r="A212" s="66">
        <v>211</v>
      </c>
      <c r="B212" s="18" t="s">
        <v>2</v>
      </c>
      <c r="C212" s="18" t="s">
        <v>6</v>
      </c>
      <c r="D212" s="18" t="s">
        <v>74</v>
      </c>
      <c r="E212" s="29" t="s">
        <v>149</v>
      </c>
      <c r="F212" s="29" t="s">
        <v>117</v>
      </c>
      <c r="G212" s="18">
        <v>0</v>
      </c>
      <c r="H212" s="18">
        <v>0</v>
      </c>
      <c r="I212" s="18" t="s">
        <v>9</v>
      </c>
      <c r="J212" s="18" t="s">
        <v>63</v>
      </c>
      <c r="K212" s="68">
        <v>0</v>
      </c>
      <c r="L212" s="18">
        <v>0</v>
      </c>
      <c r="N212" s="19">
        <v>45337</v>
      </c>
      <c r="O212" s="19">
        <v>45337</v>
      </c>
      <c r="P212" s="18">
        <f t="shared" si="12"/>
        <v>0</v>
      </c>
      <c r="Q212" s="30" t="s">
        <v>623</v>
      </c>
      <c r="S212" s="19">
        <v>45337</v>
      </c>
      <c r="T212" s="18">
        <f t="shared" si="13"/>
        <v>0</v>
      </c>
      <c r="X212" s="18" t="s">
        <v>51</v>
      </c>
      <c r="Y212" s="18" t="s">
        <v>51</v>
      </c>
      <c r="AA212" s="18">
        <v>0</v>
      </c>
      <c r="AB212" s="18">
        <v>0</v>
      </c>
      <c r="AC212" s="18">
        <v>0</v>
      </c>
      <c r="AD212" s="18" t="s">
        <v>65</v>
      </c>
      <c r="AE212" s="18">
        <v>0</v>
      </c>
      <c r="AF212" s="18">
        <f t="shared" si="14"/>
        <v>0</v>
      </c>
      <c r="AG212" s="18" t="str">
        <f t="shared" si="15"/>
        <v>LOW</v>
      </c>
    </row>
    <row r="213" spans="1:33" ht="28.8" x14ac:dyDescent="0.3">
      <c r="A213" s="66">
        <v>212</v>
      </c>
      <c r="B213" s="18" t="s">
        <v>2</v>
      </c>
      <c r="C213" s="18" t="s">
        <v>6</v>
      </c>
      <c r="D213" s="18" t="s">
        <v>76</v>
      </c>
      <c r="E213" s="29" t="s">
        <v>157</v>
      </c>
      <c r="F213" s="29" t="s">
        <v>117</v>
      </c>
      <c r="G213" s="18">
        <v>0</v>
      </c>
      <c r="H213" s="18">
        <v>0</v>
      </c>
      <c r="I213" s="18" t="s">
        <v>9</v>
      </c>
      <c r="J213" s="18" t="s">
        <v>63</v>
      </c>
      <c r="K213" s="68">
        <v>0</v>
      </c>
      <c r="L213" s="18">
        <v>0</v>
      </c>
      <c r="N213" s="19">
        <v>45337</v>
      </c>
      <c r="O213" s="19">
        <v>45337</v>
      </c>
      <c r="P213" s="18">
        <f t="shared" si="12"/>
        <v>0</v>
      </c>
      <c r="Q213" s="30" t="s">
        <v>667</v>
      </c>
      <c r="S213" s="19">
        <v>45337</v>
      </c>
      <c r="T213" s="18">
        <f t="shared" si="13"/>
        <v>0</v>
      </c>
      <c r="X213" s="18" t="s">
        <v>51</v>
      </c>
      <c r="Y213" s="18" t="s">
        <v>51</v>
      </c>
      <c r="AA213" s="18">
        <v>0</v>
      </c>
      <c r="AB213" s="18">
        <v>0</v>
      </c>
      <c r="AC213" s="18">
        <v>0</v>
      </c>
      <c r="AD213" s="18" t="s">
        <v>65</v>
      </c>
      <c r="AE213" s="18">
        <v>0</v>
      </c>
      <c r="AF213" s="18">
        <f t="shared" si="14"/>
        <v>0</v>
      </c>
      <c r="AG213" s="18" t="str">
        <f t="shared" si="15"/>
        <v>LOW</v>
      </c>
    </row>
    <row r="214" spans="1:33" x14ac:dyDescent="0.3">
      <c r="A214" s="66">
        <v>213</v>
      </c>
      <c r="B214" s="18" t="s">
        <v>2</v>
      </c>
      <c r="C214" s="18" t="s">
        <v>6</v>
      </c>
      <c r="D214" s="18" t="s">
        <v>74</v>
      </c>
      <c r="E214" s="29" t="s">
        <v>149</v>
      </c>
      <c r="F214" s="29" t="s">
        <v>117</v>
      </c>
      <c r="G214" s="18">
        <v>0</v>
      </c>
      <c r="H214" s="18">
        <v>0</v>
      </c>
      <c r="I214" s="18" t="s">
        <v>9</v>
      </c>
      <c r="J214" s="18" t="s">
        <v>63</v>
      </c>
      <c r="K214" s="68">
        <v>0</v>
      </c>
      <c r="L214" s="18">
        <v>0</v>
      </c>
      <c r="N214" s="19">
        <v>45337</v>
      </c>
      <c r="O214" s="19">
        <v>45337</v>
      </c>
      <c r="P214" s="18">
        <f t="shared" si="12"/>
        <v>0</v>
      </c>
      <c r="Q214" s="30" t="s">
        <v>668</v>
      </c>
      <c r="S214" s="19">
        <v>45337</v>
      </c>
      <c r="T214" s="18">
        <f t="shared" si="13"/>
        <v>0</v>
      </c>
      <c r="X214" s="18" t="s">
        <v>51</v>
      </c>
      <c r="Y214" s="18" t="s">
        <v>51</v>
      </c>
      <c r="AA214" s="18">
        <v>0</v>
      </c>
      <c r="AB214" s="18">
        <v>0</v>
      </c>
      <c r="AC214" s="18">
        <v>0</v>
      </c>
      <c r="AD214" s="18" t="s">
        <v>65</v>
      </c>
      <c r="AE214" s="18">
        <v>0</v>
      </c>
      <c r="AF214" s="18">
        <f t="shared" si="14"/>
        <v>0</v>
      </c>
      <c r="AG214" s="18" t="str">
        <f t="shared" si="15"/>
        <v>LOW</v>
      </c>
    </row>
    <row r="215" spans="1:33" x14ac:dyDescent="0.3">
      <c r="A215" s="66">
        <v>214</v>
      </c>
      <c r="B215" s="18" t="s">
        <v>2</v>
      </c>
      <c r="C215" s="18" t="s">
        <v>6</v>
      </c>
      <c r="D215" s="18" t="s">
        <v>74</v>
      </c>
      <c r="E215" s="29" t="s">
        <v>158</v>
      </c>
      <c r="F215" s="29" t="s">
        <v>117</v>
      </c>
      <c r="G215" s="18">
        <v>0</v>
      </c>
      <c r="H215" s="18">
        <v>0</v>
      </c>
      <c r="I215" s="18" t="s">
        <v>9</v>
      </c>
      <c r="J215" s="18" t="s">
        <v>63</v>
      </c>
      <c r="K215" s="68">
        <v>0</v>
      </c>
      <c r="L215" s="18">
        <v>0</v>
      </c>
      <c r="N215" s="19">
        <v>45337</v>
      </c>
      <c r="O215" s="19">
        <v>45337</v>
      </c>
      <c r="P215" s="18">
        <f t="shared" si="12"/>
        <v>0</v>
      </c>
      <c r="Q215" s="30" t="s">
        <v>669</v>
      </c>
      <c r="S215" s="19">
        <v>45337</v>
      </c>
      <c r="T215" s="18">
        <f t="shared" si="13"/>
        <v>0</v>
      </c>
      <c r="X215" s="18" t="s">
        <v>51</v>
      </c>
      <c r="Y215" s="18" t="s">
        <v>51</v>
      </c>
      <c r="AA215" s="18">
        <v>0</v>
      </c>
      <c r="AB215" s="18">
        <v>0</v>
      </c>
      <c r="AC215" s="18">
        <v>0</v>
      </c>
      <c r="AD215" s="18" t="s">
        <v>65</v>
      </c>
      <c r="AE215" s="18">
        <v>0</v>
      </c>
      <c r="AF215" s="18">
        <f t="shared" si="14"/>
        <v>0</v>
      </c>
      <c r="AG215" s="18" t="str">
        <f t="shared" si="15"/>
        <v>LOW</v>
      </c>
    </row>
    <row r="216" spans="1:33" x14ac:dyDescent="0.3">
      <c r="A216" s="66">
        <v>215</v>
      </c>
      <c r="B216" s="18" t="s">
        <v>2</v>
      </c>
      <c r="C216" s="18" t="s">
        <v>6</v>
      </c>
      <c r="D216" s="18" t="s">
        <v>76</v>
      </c>
      <c r="E216" s="29" t="s">
        <v>991</v>
      </c>
      <c r="F216" s="29" t="s">
        <v>117</v>
      </c>
      <c r="G216" s="18">
        <v>0</v>
      </c>
      <c r="H216" s="18">
        <v>0</v>
      </c>
      <c r="I216" s="18" t="s">
        <v>9</v>
      </c>
      <c r="J216" s="18" t="s">
        <v>63</v>
      </c>
      <c r="K216" s="68">
        <v>0</v>
      </c>
      <c r="L216" s="18">
        <v>0</v>
      </c>
      <c r="N216" s="19">
        <v>45337</v>
      </c>
      <c r="O216" s="19">
        <v>45337</v>
      </c>
      <c r="P216" s="18">
        <f t="shared" si="12"/>
        <v>0</v>
      </c>
      <c r="Q216" s="30" t="s">
        <v>670</v>
      </c>
      <c r="S216" s="19">
        <v>45337</v>
      </c>
      <c r="T216" s="18">
        <f t="shared" si="13"/>
        <v>0</v>
      </c>
      <c r="X216" s="18" t="s">
        <v>51</v>
      </c>
      <c r="Y216" s="18" t="s">
        <v>51</v>
      </c>
      <c r="AA216" s="18">
        <v>0</v>
      </c>
      <c r="AB216" s="18">
        <v>0</v>
      </c>
      <c r="AC216" s="18">
        <v>0</v>
      </c>
      <c r="AD216" s="18" t="s">
        <v>65</v>
      </c>
      <c r="AE216" s="18">
        <v>0</v>
      </c>
      <c r="AF216" s="18">
        <f t="shared" si="14"/>
        <v>0</v>
      </c>
      <c r="AG216" s="18" t="str">
        <f t="shared" si="15"/>
        <v>LOW</v>
      </c>
    </row>
    <row r="217" spans="1:33" ht="43.2" x14ac:dyDescent="0.3">
      <c r="A217" s="66">
        <v>216</v>
      </c>
      <c r="B217" s="18" t="s">
        <v>1</v>
      </c>
      <c r="C217" s="18" t="s">
        <v>5</v>
      </c>
      <c r="D217" s="18" t="s">
        <v>86</v>
      </c>
      <c r="E217" s="29" t="s">
        <v>107</v>
      </c>
      <c r="F217" s="29" t="s">
        <v>348</v>
      </c>
      <c r="G217" s="18">
        <v>2</v>
      </c>
      <c r="H217" s="18">
        <v>1</v>
      </c>
      <c r="I217" s="18" t="s">
        <v>9</v>
      </c>
      <c r="J217" s="18" t="s">
        <v>451</v>
      </c>
      <c r="K217" s="68">
        <v>268800</v>
      </c>
      <c r="L217" s="18">
        <v>3</v>
      </c>
      <c r="M217" s="18">
        <v>24</v>
      </c>
      <c r="N217" s="19">
        <v>45294</v>
      </c>
      <c r="O217" s="19">
        <v>45301</v>
      </c>
      <c r="P217" s="18">
        <f t="shared" si="12"/>
        <v>7</v>
      </c>
      <c r="Q217" s="30" t="s">
        <v>671</v>
      </c>
      <c r="S217" s="19">
        <v>45342</v>
      </c>
      <c r="T217" s="18">
        <f t="shared" si="13"/>
        <v>7</v>
      </c>
      <c r="X217" s="18" t="s">
        <v>53</v>
      </c>
      <c r="Y217" s="18" t="s">
        <v>51</v>
      </c>
      <c r="Z217" s="18" t="s">
        <v>65</v>
      </c>
      <c r="AA217" s="18">
        <v>0</v>
      </c>
      <c r="AB217" s="18">
        <v>0</v>
      </c>
      <c r="AC217" s="18">
        <v>0</v>
      </c>
      <c r="AD217" s="18" t="s">
        <v>65</v>
      </c>
      <c r="AE217" s="18">
        <v>0</v>
      </c>
      <c r="AF217" s="18">
        <f t="shared" si="14"/>
        <v>6</v>
      </c>
      <c r="AG217" s="18" t="str">
        <f t="shared" si="15"/>
        <v>LOW</v>
      </c>
    </row>
    <row r="218" spans="1:33" x14ac:dyDescent="0.3">
      <c r="A218" s="66">
        <v>217</v>
      </c>
      <c r="B218" s="18" t="s">
        <v>1</v>
      </c>
      <c r="C218" s="18" t="s">
        <v>5</v>
      </c>
      <c r="D218" s="18" t="s">
        <v>60</v>
      </c>
      <c r="E218" s="29" t="s">
        <v>159</v>
      </c>
      <c r="F218" s="29" t="s">
        <v>349</v>
      </c>
      <c r="G218" s="18">
        <v>2</v>
      </c>
      <c r="H218" s="18">
        <v>1</v>
      </c>
      <c r="I218" s="18" t="s">
        <v>9</v>
      </c>
      <c r="J218" s="18" t="s">
        <v>63</v>
      </c>
      <c r="K218" s="68" t="s">
        <v>457</v>
      </c>
      <c r="L218" s="18">
        <v>0</v>
      </c>
      <c r="M218" s="18">
        <v>24</v>
      </c>
      <c r="N218" s="19">
        <v>45284</v>
      </c>
      <c r="O218" s="19">
        <v>45301</v>
      </c>
      <c r="P218" s="18">
        <f t="shared" si="12"/>
        <v>17</v>
      </c>
      <c r="Q218" s="30" t="s">
        <v>672</v>
      </c>
      <c r="S218" s="19">
        <v>45337</v>
      </c>
      <c r="T218" s="18">
        <f t="shared" si="13"/>
        <v>17</v>
      </c>
      <c r="X218" s="18" t="s">
        <v>53</v>
      </c>
      <c r="Y218" s="18" t="s">
        <v>51</v>
      </c>
      <c r="Z218" s="18" t="s">
        <v>66</v>
      </c>
      <c r="AA218" s="18">
        <v>0</v>
      </c>
      <c r="AB218" s="18">
        <v>0</v>
      </c>
      <c r="AC218" s="18">
        <v>0</v>
      </c>
      <c r="AD218" s="18" t="s">
        <v>65</v>
      </c>
      <c r="AE218" s="18">
        <v>0</v>
      </c>
      <c r="AF218" s="18">
        <f t="shared" si="14"/>
        <v>3</v>
      </c>
      <c r="AG218" s="18" t="str">
        <f t="shared" si="15"/>
        <v>LOW</v>
      </c>
    </row>
    <row r="219" spans="1:33" x14ac:dyDescent="0.3">
      <c r="A219" s="66">
        <v>218</v>
      </c>
      <c r="B219" s="18" t="s">
        <v>1</v>
      </c>
      <c r="C219" s="18" t="s">
        <v>4</v>
      </c>
      <c r="D219" s="18" t="s">
        <v>10</v>
      </c>
      <c r="E219" s="29" t="s">
        <v>160</v>
      </c>
      <c r="F219" s="29" t="s">
        <v>350</v>
      </c>
      <c r="G219" s="18">
        <v>2</v>
      </c>
      <c r="H219" s="18">
        <v>1</v>
      </c>
      <c r="I219" s="18" t="s">
        <v>10</v>
      </c>
      <c r="J219" s="18" t="s">
        <v>10</v>
      </c>
      <c r="K219" s="68">
        <v>0</v>
      </c>
      <c r="L219" s="18">
        <v>0</v>
      </c>
      <c r="M219" s="18">
        <v>36</v>
      </c>
      <c r="N219" s="19">
        <v>45336</v>
      </c>
      <c r="O219" s="19">
        <v>45338</v>
      </c>
      <c r="P219" s="18">
        <f t="shared" si="12"/>
        <v>2</v>
      </c>
      <c r="Q219" s="30" t="s">
        <v>673</v>
      </c>
      <c r="S219" s="19">
        <v>45344</v>
      </c>
      <c r="T219" s="18">
        <f t="shared" si="13"/>
        <v>2</v>
      </c>
      <c r="X219" s="18" t="s">
        <v>53</v>
      </c>
      <c r="Y219" s="18" t="s">
        <v>53</v>
      </c>
      <c r="AA219" s="18">
        <v>0</v>
      </c>
      <c r="AB219" s="18">
        <v>0</v>
      </c>
      <c r="AC219" s="18">
        <v>0</v>
      </c>
      <c r="AD219" s="18" t="s">
        <v>65</v>
      </c>
      <c r="AE219" s="18">
        <v>0</v>
      </c>
      <c r="AF219" s="18">
        <f t="shared" si="14"/>
        <v>3</v>
      </c>
      <c r="AG219" s="18" t="str">
        <f t="shared" si="15"/>
        <v>LOW</v>
      </c>
    </row>
    <row r="220" spans="1:33" x14ac:dyDescent="0.3">
      <c r="A220" s="66">
        <v>219</v>
      </c>
      <c r="B220" s="18" t="s">
        <v>2</v>
      </c>
      <c r="C220" s="18" t="s">
        <v>4</v>
      </c>
      <c r="D220" s="18" t="s">
        <v>76</v>
      </c>
      <c r="E220" s="29" t="s">
        <v>161</v>
      </c>
      <c r="F220" s="29" t="s">
        <v>117</v>
      </c>
      <c r="G220" s="18">
        <v>0</v>
      </c>
      <c r="H220" s="18">
        <v>0</v>
      </c>
      <c r="I220" s="18" t="s">
        <v>9</v>
      </c>
      <c r="J220" s="18" t="s">
        <v>63</v>
      </c>
      <c r="K220" s="68">
        <v>0</v>
      </c>
      <c r="L220" s="18">
        <v>0</v>
      </c>
      <c r="N220" s="19">
        <v>45337</v>
      </c>
      <c r="O220" s="19">
        <v>45337</v>
      </c>
      <c r="P220" s="18">
        <f t="shared" si="12"/>
        <v>0</v>
      </c>
      <c r="Q220" s="30" t="s">
        <v>674</v>
      </c>
      <c r="S220" s="19">
        <v>45349</v>
      </c>
      <c r="T220" s="18">
        <f t="shared" si="13"/>
        <v>0</v>
      </c>
      <c r="X220" s="18" t="s">
        <v>53</v>
      </c>
      <c r="Y220" s="18" t="s">
        <v>51</v>
      </c>
      <c r="AA220" s="18">
        <v>0</v>
      </c>
      <c r="AB220" s="18">
        <v>0</v>
      </c>
      <c r="AC220" s="18">
        <v>0</v>
      </c>
      <c r="AD220" s="18" t="s">
        <v>65</v>
      </c>
      <c r="AE220" s="18">
        <v>0</v>
      </c>
      <c r="AF220" s="18">
        <f t="shared" si="14"/>
        <v>0</v>
      </c>
      <c r="AG220" s="18" t="str">
        <f t="shared" si="15"/>
        <v>LOW</v>
      </c>
    </row>
    <row r="221" spans="1:33" x14ac:dyDescent="0.3">
      <c r="A221" s="66">
        <v>220</v>
      </c>
      <c r="B221" s="18" t="s">
        <v>2</v>
      </c>
      <c r="C221" s="18" t="s">
        <v>4</v>
      </c>
      <c r="D221" s="18" t="s">
        <v>71</v>
      </c>
      <c r="E221" s="29" t="s">
        <v>162</v>
      </c>
      <c r="F221" s="29" t="s">
        <v>117</v>
      </c>
      <c r="G221" s="18">
        <v>0</v>
      </c>
      <c r="H221" s="18">
        <v>0</v>
      </c>
      <c r="I221" s="18" t="s">
        <v>9</v>
      </c>
      <c r="J221" s="18" t="s">
        <v>63</v>
      </c>
      <c r="K221" s="68">
        <v>0</v>
      </c>
      <c r="L221" s="18">
        <v>0</v>
      </c>
      <c r="N221" s="19">
        <v>45337</v>
      </c>
      <c r="O221" s="19">
        <v>45338</v>
      </c>
      <c r="P221" s="18">
        <f t="shared" si="12"/>
        <v>1</v>
      </c>
      <c r="Q221" s="30" t="s">
        <v>675</v>
      </c>
      <c r="S221" s="19">
        <v>45342</v>
      </c>
      <c r="T221" s="18">
        <f t="shared" si="13"/>
        <v>1</v>
      </c>
      <c r="X221" s="18" t="s">
        <v>53</v>
      </c>
      <c r="Y221" s="18" t="s">
        <v>51</v>
      </c>
      <c r="AA221" s="18">
        <v>0</v>
      </c>
      <c r="AB221" s="18">
        <v>0</v>
      </c>
      <c r="AC221" s="18">
        <v>0</v>
      </c>
      <c r="AD221" s="18" t="s">
        <v>65</v>
      </c>
      <c r="AE221" s="18">
        <v>0</v>
      </c>
      <c r="AF221" s="18">
        <f t="shared" si="14"/>
        <v>0</v>
      </c>
      <c r="AG221" s="18" t="str">
        <f t="shared" si="15"/>
        <v>LOW</v>
      </c>
    </row>
    <row r="222" spans="1:33" ht="28.8" x14ac:dyDescent="0.3">
      <c r="A222" s="66">
        <v>221</v>
      </c>
      <c r="B222" s="18" t="s">
        <v>2</v>
      </c>
      <c r="C222" s="18" t="s">
        <v>4</v>
      </c>
      <c r="D222" s="18" t="s">
        <v>74</v>
      </c>
      <c r="E222" s="29" t="s">
        <v>163</v>
      </c>
      <c r="F222" s="29" t="s">
        <v>117</v>
      </c>
      <c r="G222" s="18">
        <v>0</v>
      </c>
      <c r="H222" s="18">
        <v>0</v>
      </c>
      <c r="I222" s="18" t="s">
        <v>9</v>
      </c>
      <c r="J222" s="18" t="s">
        <v>450</v>
      </c>
      <c r="K222" s="68">
        <v>0</v>
      </c>
      <c r="L222" s="18">
        <v>0</v>
      </c>
      <c r="N222" s="19">
        <v>45337</v>
      </c>
      <c r="O222" s="19">
        <v>45338</v>
      </c>
      <c r="P222" s="18">
        <f t="shared" si="12"/>
        <v>1</v>
      </c>
      <c r="Q222" s="30" t="s">
        <v>676</v>
      </c>
      <c r="S222" s="19">
        <v>45344</v>
      </c>
      <c r="T222" s="18">
        <f t="shared" si="13"/>
        <v>1</v>
      </c>
      <c r="X222" s="18" t="s">
        <v>53</v>
      </c>
      <c r="Y222" s="18" t="s">
        <v>51</v>
      </c>
      <c r="AA222" s="18">
        <v>0</v>
      </c>
      <c r="AB222" s="18">
        <v>0</v>
      </c>
      <c r="AC222" s="18">
        <v>0</v>
      </c>
      <c r="AD222" s="18" t="s">
        <v>65</v>
      </c>
      <c r="AE222" s="18">
        <v>0</v>
      </c>
      <c r="AF222" s="18">
        <f t="shared" si="14"/>
        <v>0</v>
      </c>
      <c r="AG222" s="18" t="str">
        <f t="shared" si="15"/>
        <v>LOW</v>
      </c>
    </row>
    <row r="223" spans="1:33" ht="28.8" x14ac:dyDescent="0.3">
      <c r="A223" s="66">
        <v>222</v>
      </c>
      <c r="B223" s="18" t="s">
        <v>2</v>
      </c>
      <c r="C223" s="18" t="s">
        <v>4</v>
      </c>
      <c r="D223" s="18" t="s">
        <v>76</v>
      </c>
      <c r="E223" s="29" t="s">
        <v>164</v>
      </c>
      <c r="F223" s="29" t="s">
        <v>117</v>
      </c>
      <c r="G223" s="18">
        <v>0</v>
      </c>
      <c r="H223" s="18">
        <v>0</v>
      </c>
      <c r="I223" s="18" t="s">
        <v>9</v>
      </c>
      <c r="J223" s="18" t="s">
        <v>63</v>
      </c>
      <c r="K223" s="68">
        <v>0</v>
      </c>
      <c r="L223" s="18">
        <v>0</v>
      </c>
      <c r="N223" s="19">
        <v>45337</v>
      </c>
      <c r="O223" s="19">
        <v>45337</v>
      </c>
      <c r="P223" s="18">
        <f t="shared" si="12"/>
        <v>0</v>
      </c>
      <c r="Q223" s="30" t="s">
        <v>677</v>
      </c>
      <c r="S223" s="19">
        <v>45337</v>
      </c>
      <c r="T223" s="18">
        <f t="shared" si="13"/>
        <v>0</v>
      </c>
      <c r="X223" s="18" t="s">
        <v>53</v>
      </c>
      <c r="Y223" s="18" t="s">
        <v>51</v>
      </c>
      <c r="AA223" s="18">
        <v>0</v>
      </c>
      <c r="AB223" s="18">
        <v>0</v>
      </c>
      <c r="AC223" s="18">
        <v>0</v>
      </c>
      <c r="AD223" s="18" t="s">
        <v>65</v>
      </c>
      <c r="AE223" s="18">
        <v>0</v>
      </c>
      <c r="AF223" s="18">
        <f t="shared" si="14"/>
        <v>0</v>
      </c>
      <c r="AG223" s="18" t="str">
        <f t="shared" si="15"/>
        <v>LOW</v>
      </c>
    </row>
    <row r="224" spans="1:33" ht="28.8" x14ac:dyDescent="0.3">
      <c r="A224" s="66">
        <v>223</v>
      </c>
      <c r="B224" s="18" t="s">
        <v>2</v>
      </c>
      <c r="C224" s="18" t="s">
        <v>4</v>
      </c>
      <c r="D224" s="18" t="s">
        <v>10</v>
      </c>
      <c r="E224" s="29" t="s">
        <v>165</v>
      </c>
      <c r="F224" s="29" t="s">
        <v>117</v>
      </c>
      <c r="G224" s="18">
        <v>0</v>
      </c>
      <c r="H224" s="18">
        <v>0</v>
      </c>
      <c r="I224" s="18" t="s">
        <v>10</v>
      </c>
      <c r="J224" s="18" t="s">
        <v>10</v>
      </c>
      <c r="K224" s="68">
        <v>0</v>
      </c>
      <c r="L224" s="18">
        <v>0</v>
      </c>
      <c r="N224" s="19">
        <v>45337</v>
      </c>
      <c r="O224" s="19">
        <v>45337</v>
      </c>
      <c r="P224" s="18">
        <f t="shared" si="12"/>
        <v>0</v>
      </c>
      <c r="Q224" s="30" t="s">
        <v>678</v>
      </c>
      <c r="S224" s="19">
        <v>45337</v>
      </c>
      <c r="T224" s="18">
        <f t="shared" si="13"/>
        <v>0</v>
      </c>
      <c r="X224" s="18" t="s">
        <v>53</v>
      </c>
      <c r="Y224" s="18" t="s">
        <v>51</v>
      </c>
      <c r="AA224" s="18">
        <v>0</v>
      </c>
      <c r="AB224" s="18">
        <v>0</v>
      </c>
      <c r="AC224" s="18">
        <v>0</v>
      </c>
      <c r="AD224" s="18" t="s">
        <v>65</v>
      </c>
      <c r="AE224" s="18">
        <v>0</v>
      </c>
      <c r="AF224" s="18">
        <f t="shared" si="14"/>
        <v>0</v>
      </c>
      <c r="AG224" s="18" t="str">
        <f t="shared" si="15"/>
        <v>LOW</v>
      </c>
    </row>
    <row r="225" spans="1:33" ht="28.8" x14ac:dyDescent="0.3">
      <c r="A225" s="66">
        <v>224</v>
      </c>
      <c r="B225" s="18" t="s">
        <v>2</v>
      </c>
      <c r="C225" s="18" t="s">
        <v>4</v>
      </c>
      <c r="D225" s="18" t="s">
        <v>71</v>
      </c>
      <c r="E225" s="29" t="s">
        <v>166</v>
      </c>
      <c r="F225" s="29" t="s">
        <v>117</v>
      </c>
      <c r="G225" s="18">
        <v>0</v>
      </c>
      <c r="H225" s="18">
        <v>0</v>
      </c>
      <c r="I225" s="18" t="s">
        <v>9</v>
      </c>
      <c r="J225" s="18" t="s">
        <v>63</v>
      </c>
      <c r="K225" s="68">
        <v>0</v>
      </c>
      <c r="L225" s="18">
        <v>0</v>
      </c>
      <c r="N225" s="19">
        <v>45337</v>
      </c>
      <c r="O225" s="19">
        <v>45337</v>
      </c>
      <c r="P225" s="18">
        <f t="shared" si="12"/>
        <v>0</v>
      </c>
      <c r="Q225" s="30" t="s">
        <v>679</v>
      </c>
      <c r="S225" s="19">
        <v>45337</v>
      </c>
      <c r="T225" s="18">
        <f t="shared" si="13"/>
        <v>0</v>
      </c>
      <c r="X225" s="18" t="s">
        <v>53</v>
      </c>
      <c r="Y225" s="18" t="s">
        <v>51</v>
      </c>
      <c r="AA225" s="18">
        <v>0</v>
      </c>
      <c r="AB225" s="18">
        <v>0</v>
      </c>
      <c r="AC225" s="18">
        <v>0</v>
      </c>
      <c r="AD225" s="18" t="s">
        <v>65</v>
      </c>
      <c r="AE225" s="18">
        <v>0</v>
      </c>
      <c r="AF225" s="18">
        <f t="shared" si="14"/>
        <v>0</v>
      </c>
      <c r="AG225" s="18" t="str">
        <f t="shared" si="15"/>
        <v>LOW</v>
      </c>
    </row>
    <row r="226" spans="1:33" ht="28.8" x14ac:dyDescent="0.3">
      <c r="A226" s="66">
        <v>225</v>
      </c>
      <c r="B226" s="18" t="s">
        <v>2</v>
      </c>
      <c r="C226" s="18" t="s">
        <v>4</v>
      </c>
      <c r="D226" s="18" t="s">
        <v>74</v>
      </c>
      <c r="E226" s="29" t="s">
        <v>167</v>
      </c>
      <c r="F226" s="29" t="s">
        <v>117</v>
      </c>
      <c r="G226" s="18">
        <v>0</v>
      </c>
      <c r="H226" s="18">
        <v>0</v>
      </c>
      <c r="I226" s="18" t="s">
        <v>9</v>
      </c>
      <c r="J226" s="18" t="s">
        <v>451</v>
      </c>
      <c r="K226" s="68">
        <v>0</v>
      </c>
      <c r="L226" s="18">
        <v>0</v>
      </c>
      <c r="N226" s="19">
        <v>45337</v>
      </c>
      <c r="O226" s="19">
        <v>45337</v>
      </c>
      <c r="P226" s="18">
        <f t="shared" si="12"/>
        <v>0</v>
      </c>
      <c r="Q226" s="30" t="s">
        <v>680</v>
      </c>
      <c r="S226" s="19">
        <v>45341</v>
      </c>
      <c r="T226" s="18">
        <f t="shared" si="13"/>
        <v>0</v>
      </c>
      <c r="X226" s="18" t="s">
        <v>53</v>
      </c>
      <c r="Y226" s="18" t="s">
        <v>51</v>
      </c>
      <c r="AA226" s="18">
        <v>0</v>
      </c>
      <c r="AB226" s="18">
        <v>0</v>
      </c>
      <c r="AC226" s="18">
        <v>0</v>
      </c>
      <c r="AD226" s="18" t="s">
        <v>65</v>
      </c>
      <c r="AE226" s="18">
        <v>0</v>
      </c>
      <c r="AF226" s="18">
        <f t="shared" si="14"/>
        <v>0</v>
      </c>
      <c r="AG226" s="18" t="str">
        <f t="shared" si="15"/>
        <v>LOW</v>
      </c>
    </row>
    <row r="227" spans="1:33" ht="28.8" x14ac:dyDescent="0.3">
      <c r="A227" s="66">
        <v>226</v>
      </c>
      <c r="B227" s="18" t="s">
        <v>2</v>
      </c>
      <c r="C227" s="18" t="s">
        <v>4</v>
      </c>
      <c r="D227" s="18" t="s">
        <v>74</v>
      </c>
      <c r="E227" s="29" t="s">
        <v>168</v>
      </c>
      <c r="F227" s="29" t="s">
        <v>117</v>
      </c>
      <c r="G227" s="18">
        <v>0</v>
      </c>
      <c r="H227" s="18">
        <v>0</v>
      </c>
      <c r="I227" s="18" t="s">
        <v>9</v>
      </c>
      <c r="J227" s="18" t="s">
        <v>452</v>
      </c>
      <c r="K227" s="68">
        <v>0</v>
      </c>
      <c r="L227" s="18">
        <v>0</v>
      </c>
      <c r="N227" s="19">
        <v>45337</v>
      </c>
      <c r="O227" s="19">
        <v>45338</v>
      </c>
      <c r="P227" s="18">
        <f t="shared" si="12"/>
        <v>1</v>
      </c>
      <c r="Q227" s="30" t="s">
        <v>681</v>
      </c>
      <c r="S227" s="19">
        <v>45349</v>
      </c>
      <c r="T227" s="18">
        <f t="shared" si="13"/>
        <v>1</v>
      </c>
      <c r="X227" s="18" t="s">
        <v>53</v>
      </c>
      <c r="Y227" s="18" t="s">
        <v>51</v>
      </c>
      <c r="AA227" s="18">
        <v>0</v>
      </c>
      <c r="AB227" s="18">
        <v>0</v>
      </c>
      <c r="AC227" s="18">
        <v>0</v>
      </c>
      <c r="AD227" s="18" t="s">
        <v>65</v>
      </c>
      <c r="AE227" s="18">
        <v>0</v>
      </c>
      <c r="AF227" s="18">
        <f t="shared" si="14"/>
        <v>0</v>
      </c>
      <c r="AG227" s="18" t="str">
        <f t="shared" si="15"/>
        <v>LOW</v>
      </c>
    </row>
    <row r="228" spans="1:33" x14ac:dyDescent="0.3">
      <c r="A228" s="66">
        <v>227</v>
      </c>
      <c r="B228" s="18" t="s">
        <v>2</v>
      </c>
      <c r="C228" s="18" t="s">
        <v>4</v>
      </c>
      <c r="D228" s="18" t="s">
        <v>76</v>
      </c>
      <c r="E228" s="29" t="s">
        <v>169</v>
      </c>
      <c r="F228" s="29" t="s">
        <v>117</v>
      </c>
      <c r="G228" s="18">
        <v>0</v>
      </c>
      <c r="H228" s="18">
        <v>0</v>
      </c>
      <c r="I228" s="18" t="s">
        <v>9</v>
      </c>
      <c r="J228" s="18" t="s">
        <v>63</v>
      </c>
      <c r="K228" s="68">
        <v>0</v>
      </c>
      <c r="L228" s="18">
        <v>0</v>
      </c>
      <c r="N228" s="19">
        <v>45337</v>
      </c>
      <c r="O228" s="19">
        <v>45337</v>
      </c>
      <c r="P228" s="18">
        <f t="shared" si="12"/>
        <v>0</v>
      </c>
      <c r="Q228" s="30" t="s">
        <v>682</v>
      </c>
      <c r="S228" s="19">
        <v>45337</v>
      </c>
      <c r="T228" s="18">
        <f t="shared" si="13"/>
        <v>0</v>
      </c>
      <c r="X228" s="18" t="s">
        <v>53</v>
      </c>
      <c r="Y228" s="18" t="s">
        <v>51</v>
      </c>
      <c r="AA228" s="18">
        <v>0</v>
      </c>
      <c r="AB228" s="18">
        <v>0</v>
      </c>
      <c r="AC228" s="18">
        <v>0</v>
      </c>
      <c r="AD228" s="18" t="s">
        <v>65</v>
      </c>
      <c r="AE228" s="18">
        <v>0</v>
      </c>
      <c r="AF228" s="18">
        <f t="shared" si="14"/>
        <v>0</v>
      </c>
      <c r="AG228" s="18" t="str">
        <f t="shared" si="15"/>
        <v>LOW</v>
      </c>
    </row>
    <row r="229" spans="1:33" ht="28.8" x14ac:dyDescent="0.3">
      <c r="A229" s="66">
        <v>228</v>
      </c>
      <c r="B229" s="18" t="s">
        <v>2</v>
      </c>
      <c r="C229" s="18" t="s">
        <v>4</v>
      </c>
      <c r="D229" s="18" t="s">
        <v>76</v>
      </c>
      <c r="E229" s="29" t="s">
        <v>170</v>
      </c>
      <c r="F229" s="29" t="s">
        <v>351</v>
      </c>
      <c r="G229" s="18">
        <v>3</v>
      </c>
      <c r="H229" s="18">
        <v>1</v>
      </c>
      <c r="I229" s="18" t="s">
        <v>9</v>
      </c>
      <c r="J229" s="18" t="s">
        <v>63</v>
      </c>
      <c r="K229" s="68">
        <v>0</v>
      </c>
      <c r="L229" s="18">
        <v>0</v>
      </c>
      <c r="N229" s="19">
        <v>45338</v>
      </c>
      <c r="O229" s="19">
        <v>45338</v>
      </c>
      <c r="P229" s="18">
        <f t="shared" si="12"/>
        <v>0</v>
      </c>
      <c r="Q229" s="30" t="s">
        <v>683</v>
      </c>
      <c r="S229" s="19">
        <v>45342</v>
      </c>
      <c r="T229" s="18">
        <f t="shared" si="13"/>
        <v>0</v>
      </c>
      <c r="X229" s="18" t="s">
        <v>53</v>
      </c>
      <c r="Y229" s="18" t="s">
        <v>51</v>
      </c>
      <c r="AA229" s="18">
        <v>0</v>
      </c>
      <c r="AB229" s="18">
        <v>0</v>
      </c>
      <c r="AC229" s="18">
        <v>0</v>
      </c>
      <c r="AD229" s="18" t="s">
        <v>65</v>
      </c>
      <c r="AE229" s="18">
        <v>0</v>
      </c>
      <c r="AF229" s="18">
        <f t="shared" si="14"/>
        <v>4</v>
      </c>
      <c r="AG229" s="18" t="str">
        <f t="shared" si="15"/>
        <v>LOW</v>
      </c>
    </row>
    <row r="230" spans="1:33" ht="28.8" x14ac:dyDescent="0.3">
      <c r="A230" s="66">
        <v>229</v>
      </c>
      <c r="B230" s="18" t="s">
        <v>1</v>
      </c>
      <c r="C230" s="18" t="s">
        <v>4</v>
      </c>
      <c r="D230" s="18" t="s">
        <v>10</v>
      </c>
      <c r="E230" s="29" t="s">
        <v>171</v>
      </c>
      <c r="F230" s="29" t="s">
        <v>352</v>
      </c>
      <c r="G230" s="18">
        <v>0</v>
      </c>
      <c r="H230" s="18">
        <v>0</v>
      </c>
      <c r="I230" s="18" t="s">
        <v>10</v>
      </c>
      <c r="J230" s="18" t="s">
        <v>10</v>
      </c>
      <c r="K230" s="68">
        <v>0</v>
      </c>
      <c r="L230" s="18">
        <v>0</v>
      </c>
      <c r="N230" s="19">
        <v>45338</v>
      </c>
      <c r="O230" s="19">
        <v>45338</v>
      </c>
      <c r="P230" s="18">
        <f t="shared" si="12"/>
        <v>0</v>
      </c>
      <c r="Q230" s="30" t="s">
        <v>684</v>
      </c>
      <c r="S230" s="19">
        <v>45341</v>
      </c>
      <c r="T230" s="18">
        <f t="shared" si="13"/>
        <v>0</v>
      </c>
      <c r="X230" s="18" t="s">
        <v>53</v>
      </c>
      <c r="Y230" s="18" t="s">
        <v>53</v>
      </c>
      <c r="AA230" s="18">
        <v>0</v>
      </c>
      <c r="AB230" s="18">
        <v>0</v>
      </c>
      <c r="AC230" s="18">
        <v>0</v>
      </c>
      <c r="AD230" s="18" t="s">
        <v>65</v>
      </c>
      <c r="AE230" s="18">
        <v>0</v>
      </c>
      <c r="AF230" s="18">
        <f t="shared" si="14"/>
        <v>0</v>
      </c>
      <c r="AG230" s="18" t="str">
        <f t="shared" si="15"/>
        <v>LOW</v>
      </c>
    </row>
    <row r="231" spans="1:33" x14ac:dyDescent="0.3">
      <c r="A231" s="66">
        <v>230</v>
      </c>
      <c r="B231" s="18" t="s">
        <v>2</v>
      </c>
      <c r="C231" s="18" t="s">
        <v>4</v>
      </c>
      <c r="D231" s="18" t="s">
        <v>87</v>
      </c>
      <c r="E231" s="29" t="s">
        <v>172</v>
      </c>
      <c r="F231" s="29" t="s">
        <v>353</v>
      </c>
      <c r="G231" s="18">
        <v>0</v>
      </c>
      <c r="H231" s="18">
        <v>0</v>
      </c>
      <c r="I231" s="18" t="s">
        <v>9</v>
      </c>
      <c r="J231" s="18" t="s">
        <v>452</v>
      </c>
      <c r="K231" s="68">
        <v>0</v>
      </c>
      <c r="L231" s="18">
        <v>0</v>
      </c>
      <c r="N231" s="19">
        <v>45338</v>
      </c>
      <c r="O231" s="19">
        <v>45338</v>
      </c>
      <c r="P231" s="18">
        <f t="shared" si="12"/>
        <v>0</v>
      </c>
      <c r="Q231" s="30" t="s">
        <v>685</v>
      </c>
      <c r="S231" s="19">
        <v>45338</v>
      </c>
      <c r="T231" s="18">
        <f t="shared" si="13"/>
        <v>0</v>
      </c>
      <c r="X231" s="18" t="s">
        <v>53</v>
      </c>
      <c r="Y231" s="18" t="s">
        <v>51</v>
      </c>
      <c r="AA231" s="18">
        <v>0</v>
      </c>
      <c r="AB231" s="18">
        <v>0</v>
      </c>
      <c r="AC231" s="18">
        <v>0</v>
      </c>
      <c r="AD231" s="18" t="s">
        <v>65</v>
      </c>
      <c r="AE231" s="18">
        <v>0</v>
      </c>
      <c r="AF231" s="18">
        <f t="shared" si="14"/>
        <v>0</v>
      </c>
      <c r="AG231" s="18" t="str">
        <f t="shared" si="15"/>
        <v>LOW</v>
      </c>
    </row>
    <row r="232" spans="1:33" x14ac:dyDescent="0.3">
      <c r="A232" s="66">
        <v>231</v>
      </c>
      <c r="B232" s="18" t="s">
        <v>2</v>
      </c>
      <c r="C232" s="18" t="s">
        <v>4</v>
      </c>
      <c r="D232" s="18" t="s">
        <v>10</v>
      </c>
      <c r="E232" s="29" t="s">
        <v>173</v>
      </c>
      <c r="F232" s="29" t="s">
        <v>354</v>
      </c>
      <c r="G232" s="18">
        <v>0</v>
      </c>
      <c r="H232" s="18">
        <v>0</v>
      </c>
      <c r="I232" s="18" t="s">
        <v>10</v>
      </c>
      <c r="J232" s="18" t="s">
        <v>10</v>
      </c>
      <c r="K232" s="68">
        <v>0</v>
      </c>
      <c r="L232" s="18">
        <v>0</v>
      </c>
      <c r="N232" s="19">
        <v>45338</v>
      </c>
      <c r="O232" s="19">
        <v>45338</v>
      </c>
      <c r="P232" s="18">
        <f t="shared" si="12"/>
        <v>0</v>
      </c>
      <c r="Q232" s="30" t="s">
        <v>686</v>
      </c>
      <c r="S232" s="19">
        <v>45343</v>
      </c>
      <c r="T232" s="18">
        <f t="shared" si="13"/>
        <v>0</v>
      </c>
      <c r="X232" s="18" t="s">
        <v>53</v>
      </c>
      <c r="Y232" s="18" t="s">
        <v>51</v>
      </c>
      <c r="AA232" s="18">
        <v>0</v>
      </c>
      <c r="AB232" s="18">
        <v>0</v>
      </c>
      <c r="AC232" s="18">
        <v>0</v>
      </c>
      <c r="AD232" s="18" t="s">
        <v>65</v>
      </c>
      <c r="AE232" s="18">
        <v>0</v>
      </c>
      <c r="AF232" s="18">
        <f t="shared" si="14"/>
        <v>0</v>
      </c>
      <c r="AG232" s="18" t="str">
        <f t="shared" si="15"/>
        <v>LOW</v>
      </c>
    </row>
    <row r="233" spans="1:33" ht="28.8" x14ac:dyDescent="0.3">
      <c r="A233" s="66">
        <v>232</v>
      </c>
      <c r="B233" s="18" t="s">
        <v>2</v>
      </c>
      <c r="C233" s="18" t="s">
        <v>4</v>
      </c>
      <c r="D233" s="18" t="s">
        <v>11</v>
      </c>
      <c r="E233" s="29" t="s">
        <v>174</v>
      </c>
      <c r="F233" s="29" t="s">
        <v>117</v>
      </c>
      <c r="G233" s="18">
        <v>0</v>
      </c>
      <c r="H233" s="18">
        <v>0</v>
      </c>
      <c r="I233" s="18" t="s">
        <v>11</v>
      </c>
      <c r="J233" s="18" t="s">
        <v>11</v>
      </c>
      <c r="K233" s="68">
        <v>0</v>
      </c>
      <c r="L233" s="18">
        <v>0</v>
      </c>
      <c r="N233" s="19">
        <v>45338</v>
      </c>
      <c r="O233" s="19">
        <v>45338</v>
      </c>
      <c r="P233" s="18">
        <f t="shared" si="12"/>
        <v>0</v>
      </c>
      <c r="Q233" s="30" t="s">
        <v>687</v>
      </c>
      <c r="S233" s="19">
        <v>45338</v>
      </c>
      <c r="T233" s="18">
        <f t="shared" si="13"/>
        <v>0</v>
      </c>
      <c r="X233" s="18" t="s">
        <v>53</v>
      </c>
      <c r="Y233" s="18" t="s">
        <v>51</v>
      </c>
      <c r="AA233" s="18">
        <v>0</v>
      </c>
      <c r="AB233" s="18">
        <v>0</v>
      </c>
      <c r="AC233" s="18">
        <v>0</v>
      </c>
      <c r="AD233" s="18" t="s">
        <v>65</v>
      </c>
      <c r="AE233" s="18">
        <v>0</v>
      </c>
      <c r="AF233" s="18">
        <f t="shared" si="14"/>
        <v>0</v>
      </c>
      <c r="AG233" s="18" t="str">
        <f t="shared" si="15"/>
        <v>LOW</v>
      </c>
    </row>
    <row r="234" spans="1:33" x14ac:dyDescent="0.3">
      <c r="A234" s="66">
        <v>233</v>
      </c>
      <c r="B234" s="18" t="s">
        <v>2</v>
      </c>
      <c r="C234" s="18" t="s">
        <v>4</v>
      </c>
      <c r="D234" s="18" t="s">
        <v>71</v>
      </c>
      <c r="E234" s="29" t="s">
        <v>175</v>
      </c>
      <c r="F234" s="29" t="s">
        <v>355</v>
      </c>
      <c r="G234" s="18">
        <v>2</v>
      </c>
      <c r="H234" s="18">
        <v>1</v>
      </c>
      <c r="I234" s="18" t="s">
        <v>9</v>
      </c>
      <c r="J234" s="18" t="s">
        <v>63</v>
      </c>
      <c r="K234" s="68">
        <v>0</v>
      </c>
      <c r="L234" s="18">
        <v>0</v>
      </c>
      <c r="N234" s="19">
        <v>45338</v>
      </c>
      <c r="O234" s="19">
        <v>45338</v>
      </c>
      <c r="P234" s="18">
        <f t="shared" si="12"/>
        <v>0</v>
      </c>
      <c r="Q234" s="30" t="s">
        <v>688</v>
      </c>
      <c r="S234" s="19">
        <v>45341</v>
      </c>
      <c r="T234" s="18">
        <f t="shared" si="13"/>
        <v>0</v>
      </c>
      <c r="X234" s="18" t="s">
        <v>53</v>
      </c>
      <c r="Y234" s="18" t="s">
        <v>51</v>
      </c>
      <c r="AA234" s="18">
        <v>0</v>
      </c>
      <c r="AB234" s="18">
        <v>0</v>
      </c>
      <c r="AC234" s="18">
        <v>0</v>
      </c>
      <c r="AD234" s="18" t="s">
        <v>65</v>
      </c>
      <c r="AE234" s="18">
        <v>0</v>
      </c>
      <c r="AF234" s="18">
        <f t="shared" si="14"/>
        <v>3</v>
      </c>
      <c r="AG234" s="18" t="str">
        <f t="shared" si="15"/>
        <v>LOW</v>
      </c>
    </row>
    <row r="235" spans="1:33" ht="28.8" x14ac:dyDescent="0.3">
      <c r="A235" s="66">
        <v>234</v>
      </c>
      <c r="B235" s="18" t="s">
        <v>1</v>
      </c>
      <c r="C235" s="18" t="s">
        <v>70</v>
      </c>
      <c r="D235" s="18" t="s">
        <v>60</v>
      </c>
      <c r="E235" s="29" t="s">
        <v>176</v>
      </c>
      <c r="F235" s="29" t="s">
        <v>176</v>
      </c>
      <c r="G235" s="18">
        <v>2</v>
      </c>
      <c r="H235" s="18">
        <v>1</v>
      </c>
      <c r="I235" s="18" t="s">
        <v>9</v>
      </c>
      <c r="J235" s="18" t="s">
        <v>63</v>
      </c>
      <c r="K235" s="68">
        <v>949995.76</v>
      </c>
      <c r="L235" s="18">
        <v>3</v>
      </c>
      <c r="M235" s="18">
        <v>3</v>
      </c>
      <c r="N235" s="19">
        <v>45338</v>
      </c>
      <c r="O235" s="19">
        <v>45341</v>
      </c>
      <c r="P235" s="18">
        <f t="shared" si="12"/>
        <v>3</v>
      </c>
      <c r="Q235" s="30" t="s">
        <v>689</v>
      </c>
      <c r="S235" s="19">
        <v>45341</v>
      </c>
      <c r="T235" s="18">
        <f t="shared" si="13"/>
        <v>3</v>
      </c>
      <c r="X235" s="18" t="s">
        <v>51</v>
      </c>
      <c r="Y235" s="18" t="s">
        <v>51</v>
      </c>
      <c r="AA235" s="18">
        <v>0</v>
      </c>
      <c r="AB235" s="18">
        <v>0</v>
      </c>
      <c r="AC235" s="18">
        <v>0</v>
      </c>
      <c r="AD235" s="18" t="s">
        <v>65</v>
      </c>
      <c r="AE235" s="18">
        <v>0</v>
      </c>
      <c r="AF235" s="18">
        <f t="shared" si="14"/>
        <v>6</v>
      </c>
      <c r="AG235" s="18" t="str">
        <f t="shared" si="15"/>
        <v>LOW</v>
      </c>
    </row>
    <row r="236" spans="1:33" ht="43.2" x14ac:dyDescent="0.3">
      <c r="A236" s="66">
        <v>235</v>
      </c>
      <c r="B236" s="18" t="s">
        <v>2</v>
      </c>
      <c r="C236" s="18" t="s">
        <v>69</v>
      </c>
      <c r="D236" s="18" t="s">
        <v>60</v>
      </c>
      <c r="E236" s="29" t="s">
        <v>177</v>
      </c>
      <c r="F236" s="29" t="s">
        <v>177</v>
      </c>
      <c r="G236" s="18">
        <v>2</v>
      </c>
      <c r="H236" s="18">
        <v>1</v>
      </c>
      <c r="I236" s="18" t="s">
        <v>9</v>
      </c>
      <c r="J236" s="18" t="s">
        <v>63</v>
      </c>
      <c r="K236" s="68">
        <v>0</v>
      </c>
      <c r="L236" s="18">
        <v>0</v>
      </c>
      <c r="N236" s="19">
        <v>45341</v>
      </c>
      <c r="O236" s="19">
        <v>45341</v>
      </c>
      <c r="P236" s="18">
        <f t="shared" si="12"/>
        <v>0</v>
      </c>
      <c r="Q236" s="30" t="s">
        <v>690</v>
      </c>
      <c r="S236" s="19">
        <v>45341</v>
      </c>
      <c r="T236" s="18">
        <f t="shared" si="13"/>
        <v>0</v>
      </c>
      <c r="X236" s="18" t="s">
        <v>51</v>
      </c>
      <c r="Y236" s="18" t="s">
        <v>51</v>
      </c>
      <c r="AA236" s="18">
        <v>0</v>
      </c>
      <c r="AB236" s="18">
        <v>0</v>
      </c>
      <c r="AC236" s="18">
        <v>0</v>
      </c>
      <c r="AD236" s="18" t="s">
        <v>65</v>
      </c>
      <c r="AE236" s="18">
        <v>0</v>
      </c>
      <c r="AF236" s="18">
        <f t="shared" si="14"/>
        <v>3</v>
      </c>
      <c r="AG236" s="18" t="str">
        <f t="shared" si="15"/>
        <v>LOW</v>
      </c>
    </row>
    <row r="237" spans="1:33" ht="57.6" x14ac:dyDescent="0.3">
      <c r="A237" s="66">
        <v>236</v>
      </c>
      <c r="B237" s="18" t="s">
        <v>2</v>
      </c>
      <c r="C237" s="18" t="s">
        <v>69</v>
      </c>
      <c r="D237" s="18" t="s">
        <v>12</v>
      </c>
      <c r="E237" s="29" t="s">
        <v>178</v>
      </c>
      <c r="F237" s="29" t="s">
        <v>178</v>
      </c>
      <c r="G237" s="18">
        <v>2</v>
      </c>
      <c r="H237" s="18">
        <v>1</v>
      </c>
      <c r="I237" s="18" t="s">
        <v>12</v>
      </c>
      <c r="J237" s="18" t="s">
        <v>12</v>
      </c>
      <c r="K237" s="68">
        <v>0</v>
      </c>
      <c r="L237" s="18">
        <v>0</v>
      </c>
      <c r="N237" s="19">
        <v>45341</v>
      </c>
      <c r="O237" s="19">
        <v>45341</v>
      </c>
      <c r="P237" s="18">
        <f t="shared" si="12"/>
        <v>0</v>
      </c>
      <c r="Q237" s="30" t="s">
        <v>691</v>
      </c>
      <c r="S237" s="19">
        <v>45341</v>
      </c>
      <c r="T237" s="18">
        <f t="shared" si="13"/>
        <v>0</v>
      </c>
      <c r="X237" s="18" t="s">
        <v>53</v>
      </c>
      <c r="Y237" s="18" t="s">
        <v>51</v>
      </c>
      <c r="AA237" s="18">
        <v>0</v>
      </c>
      <c r="AB237" s="18">
        <v>0</v>
      </c>
      <c r="AC237" s="18">
        <v>0</v>
      </c>
      <c r="AD237" s="18" t="s">
        <v>65</v>
      </c>
      <c r="AE237" s="18">
        <v>0</v>
      </c>
      <c r="AF237" s="18">
        <f t="shared" si="14"/>
        <v>3</v>
      </c>
      <c r="AG237" s="18" t="str">
        <f t="shared" si="15"/>
        <v>LOW</v>
      </c>
    </row>
    <row r="238" spans="1:33" x14ac:dyDescent="0.3">
      <c r="A238" s="66">
        <v>237</v>
      </c>
      <c r="B238" s="18" t="s">
        <v>1</v>
      </c>
      <c r="C238" s="18" t="s">
        <v>69</v>
      </c>
      <c r="D238" s="18" t="s">
        <v>85</v>
      </c>
      <c r="E238" s="29" t="s">
        <v>139</v>
      </c>
      <c r="F238" s="29" t="s">
        <v>335</v>
      </c>
      <c r="G238" s="18">
        <v>2</v>
      </c>
      <c r="H238" s="18">
        <v>1</v>
      </c>
      <c r="I238" s="18" t="s">
        <v>9</v>
      </c>
      <c r="J238" s="18" t="s">
        <v>63</v>
      </c>
      <c r="K238" s="68" t="s">
        <v>456</v>
      </c>
      <c r="L238" s="18">
        <v>0</v>
      </c>
      <c r="M238" s="18">
        <v>12</v>
      </c>
      <c r="N238" s="19">
        <v>45341</v>
      </c>
      <c r="O238" s="19">
        <v>45341</v>
      </c>
      <c r="P238" s="18">
        <f t="shared" si="12"/>
        <v>0</v>
      </c>
      <c r="Q238" s="30" t="s">
        <v>692</v>
      </c>
      <c r="S238" s="19">
        <v>45341</v>
      </c>
      <c r="T238" s="18">
        <f t="shared" si="13"/>
        <v>0</v>
      </c>
      <c r="X238" s="18" t="s">
        <v>51</v>
      </c>
      <c r="Y238" s="18" t="s">
        <v>51</v>
      </c>
      <c r="AA238" s="18">
        <v>0</v>
      </c>
      <c r="AB238" s="18">
        <v>0</v>
      </c>
      <c r="AC238" s="18">
        <v>0</v>
      </c>
      <c r="AD238" s="18" t="s">
        <v>65</v>
      </c>
      <c r="AE238" s="18">
        <v>0</v>
      </c>
      <c r="AF238" s="18">
        <f t="shared" si="14"/>
        <v>3</v>
      </c>
      <c r="AG238" s="18" t="str">
        <f t="shared" si="15"/>
        <v>LOW</v>
      </c>
    </row>
    <row r="239" spans="1:33" ht="28.8" x14ac:dyDescent="0.3">
      <c r="A239" s="66">
        <v>238</v>
      </c>
      <c r="B239" s="18" t="s">
        <v>2</v>
      </c>
      <c r="C239" s="18" t="s">
        <v>69</v>
      </c>
      <c r="D239" s="18" t="s">
        <v>60</v>
      </c>
      <c r="E239" s="29" t="s">
        <v>179</v>
      </c>
      <c r="F239" s="29" t="s">
        <v>356</v>
      </c>
      <c r="G239" s="18">
        <v>2</v>
      </c>
      <c r="H239" s="18">
        <v>1</v>
      </c>
      <c r="I239" s="18" t="s">
        <v>9</v>
      </c>
      <c r="J239" s="18" t="s">
        <v>63</v>
      </c>
      <c r="K239" s="68">
        <v>0</v>
      </c>
      <c r="L239" s="18">
        <v>0</v>
      </c>
      <c r="N239" s="19">
        <v>45341</v>
      </c>
      <c r="O239" s="19">
        <v>45341</v>
      </c>
      <c r="P239" s="18">
        <f t="shared" si="12"/>
        <v>0</v>
      </c>
      <c r="Q239" s="30" t="s">
        <v>693</v>
      </c>
      <c r="S239" s="19">
        <v>45341</v>
      </c>
      <c r="T239" s="18">
        <f t="shared" si="13"/>
        <v>0</v>
      </c>
      <c r="X239" s="18" t="s">
        <v>53</v>
      </c>
      <c r="Y239" s="18" t="s">
        <v>51</v>
      </c>
      <c r="AA239" s="18">
        <v>0</v>
      </c>
      <c r="AB239" s="18">
        <v>0</v>
      </c>
      <c r="AC239" s="18">
        <v>0</v>
      </c>
      <c r="AD239" s="18" t="s">
        <v>65</v>
      </c>
      <c r="AE239" s="18">
        <v>0</v>
      </c>
      <c r="AF239" s="18">
        <f t="shared" si="14"/>
        <v>3</v>
      </c>
      <c r="AG239" s="18" t="str">
        <f t="shared" si="15"/>
        <v>LOW</v>
      </c>
    </row>
    <row r="240" spans="1:33" ht="28.8" x14ac:dyDescent="0.3">
      <c r="A240" s="66">
        <v>239</v>
      </c>
      <c r="B240" s="18" t="s">
        <v>2</v>
      </c>
      <c r="C240" s="18" t="s">
        <v>69</v>
      </c>
      <c r="D240" s="18" t="s">
        <v>88</v>
      </c>
      <c r="E240" s="29" t="s">
        <v>180</v>
      </c>
      <c r="F240" s="29" t="s">
        <v>357</v>
      </c>
      <c r="G240" s="18">
        <v>2</v>
      </c>
      <c r="H240" s="18">
        <v>1</v>
      </c>
      <c r="I240" s="18" t="s">
        <v>9</v>
      </c>
      <c r="J240" s="18" t="s">
        <v>63</v>
      </c>
      <c r="K240" s="68">
        <v>0</v>
      </c>
      <c r="L240" s="18">
        <v>0</v>
      </c>
      <c r="N240" s="19">
        <v>45341</v>
      </c>
      <c r="O240" s="19">
        <v>45341</v>
      </c>
      <c r="P240" s="18">
        <f t="shared" si="12"/>
        <v>0</v>
      </c>
      <c r="Q240" s="30" t="s">
        <v>694</v>
      </c>
      <c r="S240" s="19">
        <v>45343</v>
      </c>
      <c r="T240" s="18">
        <f t="shared" si="13"/>
        <v>0</v>
      </c>
      <c r="X240" s="18" t="s">
        <v>53</v>
      </c>
      <c r="Y240" s="18" t="s">
        <v>51</v>
      </c>
      <c r="AA240" s="18">
        <v>0</v>
      </c>
      <c r="AB240" s="18">
        <v>0</v>
      </c>
      <c r="AC240" s="18">
        <v>0</v>
      </c>
      <c r="AD240" s="18" t="s">
        <v>65</v>
      </c>
      <c r="AE240" s="18">
        <v>0</v>
      </c>
      <c r="AF240" s="18">
        <f t="shared" si="14"/>
        <v>3</v>
      </c>
      <c r="AG240" s="18" t="str">
        <f t="shared" si="15"/>
        <v>LOW</v>
      </c>
    </row>
    <row r="241" spans="1:33" ht="28.8" x14ac:dyDescent="0.3">
      <c r="A241" s="66">
        <v>240</v>
      </c>
      <c r="B241" s="18" t="s">
        <v>2</v>
      </c>
      <c r="C241" s="18" t="s">
        <v>69</v>
      </c>
      <c r="D241" s="18" t="s">
        <v>60</v>
      </c>
      <c r="E241" s="29" t="s">
        <v>181</v>
      </c>
      <c r="F241" s="29" t="s">
        <v>181</v>
      </c>
      <c r="G241" s="18">
        <v>2</v>
      </c>
      <c r="H241" s="18">
        <v>1</v>
      </c>
      <c r="I241" s="18" t="s">
        <v>9</v>
      </c>
      <c r="J241" s="18" t="s">
        <v>63</v>
      </c>
      <c r="K241" s="68">
        <v>0</v>
      </c>
      <c r="L241" s="18">
        <v>0</v>
      </c>
      <c r="N241" s="19">
        <v>45341</v>
      </c>
      <c r="O241" s="19">
        <v>45341</v>
      </c>
      <c r="P241" s="18">
        <f t="shared" si="12"/>
        <v>0</v>
      </c>
      <c r="Q241" s="30" t="s">
        <v>695</v>
      </c>
      <c r="S241" s="19">
        <v>45341</v>
      </c>
      <c r="T241" s="18">
        <f t="shared" si="13"/>
        <v>0</v>
      </c>
      <c r="X241" s="18" t="s">
        <v>51</v>
      </c>
      <c r="Y241" s="18" t="s">
        <v>51</v>
      </c>
      <c r="AA241" s="18">
        <v>0</v>
      </c>
      <c r="AB241" s="18">
        <v>0</v>
      </c>
      <c r="AC241" s="18">
        <v>0</v>
      </c>
      <c r="AD241" s="18" t="s">
        <v>65</v>
      </c>
      <c r="AE241" s="18">
        <v>0</v>
      </c>
      <c r="AF241" s="18">
        <f t="shared" si="14"/>
        <v>3</v>
      </c>
      <c r="AG241" s="18" t="str">
        <f t="shared" si="15"/>
        <v>LOW</v>
      </c>
    </row>
    <row r="242" spans="1:33" x14ac:dyDescent="0.3">
      <c r="A242" s="66">
        <v>241</v>
      </c>
      <c r="B242" s="18" t="s">
        <v>2</v>
      </c>
      <c r="C242" s="18" t="s">
        <v>69</v>
      </c>
      <c r="D242" s="18" t="s">
        <v>60</v>
      </c>
      <c r="E242" s="29" t="s">
        <v>182</v>
      </c>
      <c r="F242" s="29" t="s">
        <v>358</v>
      </c>
      <c r="G242" s="18">
        <v>2</v>
      </c>
      <c r="H242" s="18">
        <v>0</v>
      </c>
      <c r="I242" s="18" t="s">
        <v>9</v>
      </c>
      <c r="J242" s="18" t="s">
        <v>63</v>
      </c>
      <c r="K242" s="68">
        <v>0</v>
      </c>
      <c r="L242" s="18">
        <v>0</v>
      </c>
      <c r="N242" s="19">
        <v>45341</v>
      </c>
      <c r="O242" s="19">
        <v>45341</v>
      </c>
      <c r="P242" s="18">
        <f t="shared" si="12"/>
        <v>0</v>
      </c>
      <c r="Q242" s="30" t="s">
        <v>696</v>
      </c>
      <c r="S242" s="19">
        <v>45341</v>
      </c>
      <c r="T242" s="18">
        <f t="shared" si="13"/>
        <v>0</v>
      </c>
      <c r="X242" s="18" t="s">
        <v>51</v>
      </c>
      <c r="Y242" s="18" t="s">
        <v>51</v>
      </c>
      <c r="AA242" s="18">
        <v>0</v>
      </c>
      <c r="AB242" s="18">
        <v>0</v>
      </c>
      <c r="AC242" s="18">
        <v>0</v>
      </c>
      <c r="AD242" s="18" t="s">
        <v>65</v>
      </c>
      <c r="AE242" s="18">
        <v>0</v>
      </c>
      <c r="AF242" s="18">
        <f t="shared" si="14"/>
        <v>2</v>
      </c>
      <c r="AG242" s="18" t="str">
        <f t="shared" si="15"/>
        <v>LOW</v>
      </c>
    </row>
    <row r="243" spans="1:33" x14ac:dyDescent="0.3">
      <c r="A243" s="66">
        <v>242</v>
      </c>
      <c r="B243" s="18" t="s">
        <v>1</v>
      </c>
      <c r="C243" s="18" t="s">
        <v>69</v>
      </c>
      <c r="D243" s="18" t="s">
        <v>89</v>
      </c>
      <c r="E243" s="29" t="s">
        <v>183</v>
      </c>
      <c r="F243" s="29" t="s">
        <v>359</v>
      </c>
      <c r="G243" s="18">
        <v>2</v>
      </c>
      <c r="H243" s="18">
        <v>1</v>
      </c>
      <c r="I243" s="18" t="s">
        <v>9</v>
      </c>
      <c r="J243" s="18" t="s">
        <v>63</v>
      </c>
      <c r="K243" s="68">
        <v>2280</v>
      </c>
      <c r="L243" s="18">
        <v>1</v>
      </c>
      <c r="M243" s="18">
        <v>36</v>
      </c>
      <c r="N243" s="19">
        <v>45341</v>
      </c>
      <c r="O243" s="19">
        <v>45341</v>
      </c>
      <c r="P243" s="18">
        <f t="shared" si="12"/>
        <v>0</v>
      </c>
      <c r="Q243" s="30" t="s">
        <v>697</v>
      </c>
      <c r="S243" s="19">
        <v>45341</v>
      </c>
      <c r="T243" s="18">
        <f t="shared" si="13"/>
        <v>0</v>
      </c>
      <c r="X243" s="18" t="s">
        <v>53</v>
      </c>
      <c r="Y243" s="18" t="s">
        <v>51</v>
      </c>
      <c r="AA243" s="18">
        <v>0</v>
      </c>
      <c r="AB243" s="18">
        <v>0</v>
      </c>
      <c r="AC243" s="18">
        <v>0</v>
      </c>
      <c r="AD243" s="18" t="s">
        <v>65</v>
      </c>
      <c r="AE243" s="18">
        <v>0</v>
      </c>
      <c r="AF243" s="18">
        <f t="shared" si="14"/>
        <v>4</v>
      </c>
      <c r="AG243" s="18" t="str">
        <f t="shared" si="15"/>
        <v>LOW</v>
      </c>
    </row>
    <row r="244" spans="1:33" x14ac:dyDescent="0.3">
      <c r="A244" s="66">
        <v>243</v>
      </c>
      <c r="B244" s="18" t="s">
        <v>2</v>
      </c>
      <c r="C244" s="18" t="s">
        <v>69</v>
      </c>
      <c r="D244" s="18" t="s">
        <v>82</v>
      </c>
      <c r="E244" s="29" t="s">
        <v>184</v>
      </c>
      <c r="F244" s="29" t="s">
        <v>117</v>
      </c>
      <c r="G244" s="18">
        <v>0</v>
      </c>
      <c r="H244" s="18">
        <v>0</v>
      </c>
      <c r="I244" s="18" t="s">
        <v>9</v>
      </c>
      <c r="J244" s="18" t="s">
        <v>82</v>
      </c>
      <c r="K244" s="68">
        <v>0</v>
      </c>
      <c r="L244" s="18">
        <v>0</v>
      </c>
      <c r="N244" s="19">
        <v>45341</v>
      </c>
      <c r="O244" s="19">
        <v>45341</v>
      </c>
      <c r="P244" s="18">
        <f t="shared" si="12"/>
        <v>0</v>
      </c>
      <c r="Q244" s="30" t="s">
        <v>698</v>
      </c>
      <c r="S244" s="19">
        <v>45341</v>
      </c>
      <c r="T244" s="18">
        <f t="shared" si="13"/>
        <v>0</v>
      </c>
      <c r="X244" s="18" t="s">
        <v>53</v>
      </c>
      <c r="Y244" s="18" t="s">
        <v>51</v>
      </c>
      <c r="AA244" s="18">
        <v>0</v>
      </c>
      <c r="AB244" s="18">
        <v>0</v>
      </c>
      <c r="AC244" s="18">
        <v>0</v>
      </c>
      <c r="AD244" s="18" t="s">
        <v>65</v>
      </c>
      <c r="AE244" s="18">
        <v>0</v>
      </c>
      <c r="AF244" s="18">
        <f t="shared" si="14"/>
        <v>0</v>
      </c>
      <c r="AG244" s="18" t="str">
        <f t="shared" si="15"/>
        <v>LOW</v>
      </c>
    </row>
    <row r="245" spans="1:33" x14ac:dyDescent="0.3">
      <c r="A245" s="66">
        <v>244</v>
      </c>
      <c r="B245" s="18" t="s">
        <v>2</v>
      </c>
      <c r="C245" s="18" t="s">
        <v>69</v>
      </c>
      <c r="D245" s="18" t="s">
        <v>80</v>
      </c>
      <c r="E245" s="29" t="s">
        <v>985</v>
      </c>
      <c r="F245" s="29" t="s">
        <v>322</v>
      </c>
      <c r="G245" s="18">
        <v>0</v>
      </c>
      <c r="H245" s="18">
        <v>0</v>
      </c>
      <c r="I245" s="18" t="s">
        <v>9</v>
      </c>
      <c r="J245" s="18" t="s">
        <v>130</v>
      </c>
      <c r="K245" s="68">
        <v>0</v>
      </c>
      <c r="L245" s="18">
        <v>0</v>
      </c>
      <c r="N245" s="19">
        <v>45341</v>
      </c>
      <c r="O245" s="19">
        <v>45341</v>
      </c>
      <c r="P245" s="18">
        <f t="shared" si="12"/>
        <v>0</v>
      </c>
      <c r="Q245" s="30" t="s">
        <v>699</v>
      </c>
      <c r="S245" s="19">
        <v>45341</v>
      </c>
      <c r="T245" s="18">
        <f t="shared" si="13"/>
        <v>0</v>
      </c>
      <c r="X245" s="18" t="s">
        <v>51</v>
      </c>
      <c r="Y245" s="18" t="s">
        <v>51</v>
      </c>
      <c r="AA245" s="18">
        <v>0</v>
      </c>
      <c r="AB245" s="18">
        <v>0</v>
      </c>
      <c r="AC245" s="18">
        <v>2</v>
      </c>
      <c r="AD245" s="18" t="s">
        <v>65</v>
      </c>
      <c r="AE245" s="18">
        <v>0</v>
      </c>
      <c r="AF245" s="18">
        <f t="shared" si="14"/>
        <v>2</v>
      </c>
      <c r="AG245" s="18" t="str">
        <f t="shared" si="15"/>
        <v>LOW</v>
      </c>
    </row>
    <row r="246" spans="1:33" ht="43.2" x14ac:dyDescent="0.3">
      <c r="A246" s="66">
        <v>245</v>
      </c>
      <c r="B246" s="18" t="s">
        <v>2</v>
      </c>
      <c r="C246" s="18" t="s">
        <v>69</v>
      </c>
      <c r="D246" s="18" t="s">
        <v>82</v>
      </c>
      <c r="E246" s="29" t="s">
        <v>131</v>
      </c>
      <c r="F246" s="29" t="s">
        <v>323</v>
      </c>
      <c r="G246" s="18">
        <v>0</v>
      </c>
      <c r="H246" s="18">
        <v>2</v>
      </c>
      <c r="I246" s="18" t="s">
        <v>9</v>
      </c>
      <c r="J246" s="18" t="s">
        <v>82</v>
      </c>
      <c r="K246" s="68">
        <v>0</v>
      </c>
      <c r="L246" s="18">
        <v>0</v>
      </c>
      <c r="N246" s="19">
        <v>45341</v>
      </c>
      <c r="O246" s="19">
        <v>45344</v>
      </c>
      <c r="P246" s="18">
        <f t="shared" si="12"/>
        <v>3</v>
      </c>
      <c r="Q246" s="30" t="s">
        <v>700</v>
      </c>
      <c r="S246" s="19">
        <v>45344</v>
      </c>
      <c r="T246" s="18">
        <f t="shared" si="13"/>
        <v>3</v>
      </c>
      <c r="X246" s="18" t="s">
        <v>53</v>
      </c>
      <c r="Y246" s="18" t="s">
        <v>51</v>
      </c>
      <c r="AA246" s="18">
        <v>0</v>
      </c>
      <c r="AB246" s="18">
        <v>0</v>
      </c>
      <c r="AC246" s="18">
        <v>1</v>
      </c>
      <c r="AD246" s="18" t="s">
        <v>65</v>
      </c>
      <c r="AE246" s="18">
        <v>0</v>
      </c>
      <c r="AF246" s="18">
        <f t="shared" si="14"/>
        <v>3</v>
      </c>
      <c r="AG246" s="18" t="str">
        <f t="shared" si="15"/>
        <v>LOW</v>
      </c>
    </row>
    <row r="247" spans="1:33" x14ac:dyDescent="0.3">
      <c r="A247" s="66">
        <v>246</v>
      </c>
      <c r="B247" s="18" t="s">
        <v>1</v>
      </c>
      <c r="C247" s="18" t="s">
        <v>69</v>
      </c>
      <c r="D247" s="18" t="s">
        <v>71</v>
      </c>
      <c r="E247" s="29" t="s">
        <v>185</v>
      </c>
      <c r="F247" s="29" t="s">
        <v>359</v>
      </c>
      <c r="G247" s="18">
        <v>2</v>
      </c>
      <c r="H247" s="18">
        <v>1</v>
      </c>
      <c r="I247" s="18" t="s">
        <v>9</v>
      </c>
      <c r="J247" s="18" t="s">
        <v>63</v>
      </c>
      <c r="K247" s="68">
        <v>0</v>
      </c>
      <c r="L247" s="18">
        <v>0</v>
      </c>
      <c r="M247" s="18">
        <v>36</v>
      </c>
      <c r="N247" s="19">
        <v>45341</v>
      </c>
      <c r="O247" s="19">
        <v>45341</v>
      </c>
      <c r="P247" s="18">
        <f t="shared" si="12"/>
        <v>0</v>
      </c>
      <c r="Q247" s="30" t="s">
        <v>692</v>
      </c>
      <c r="S247" s="19">
        <v>45341</v>
      </c>
      <c r="T247" s="18">
        <f t="shared" si="13"/>
        <v>0</v>
      </c>
      <c r="X247" s="18" t="s">
        <v>51</v>
      </c>
      <c r="Y247" s="18" t="s">
        <v>51</v>
      </c>
      <c r="AA247" s="18">
        <v>0</v>
      </c>
      <c r="AB247" s="18">
        <v>0</v>
      </c>
      <c r="AC247" s="18">
        <v>0</v>
      </c>
      <c r="AD247" s="18" t="s">
        <v>65</v>
      </c>
      <c r="AE247" s="18">
        <v>0</v>
      </c>
      <c r="AF247" s="18">
        <f t="shared" si="14"/>
        <v>3</v>
      </c>
      <c r="AG247" s="18" t="str">
        <f t="shared" si="15"/>
        <v>LOW</v>
      </c>
    </row>
    <row r="248" spans="1:33" x14ac:dyDescent="0.3">
      <c r="A248" s="66">
        <v>247</v>
      </c>
      <c r="B248" s="18" t="s">
        <v>1</v>
      </c>
      <c r="C248" s="18" t="s">
        <v>69</v>
      </c>
      <c r="D248" s="18" t="s">
        <v>60</v>
      </c>
      <c r="E248" s="29" t="s">
        <v>186</v>
      </c>
      <c r="F248" s="29" t="s">
        <v>117</v>
      </c>
      <c r="G248" s="18">
        <v>2</v>
      </c>
      <c r="H248" s="18">
        <v>1</v>
      </c>
      <c r="I248" s="18" t="s">
        <v>9</v>
      </c>
      <c r="J248" s="18" t="s">
        <v>63</v>
      </c>
      <c r="K248" s="68">
        <v>0</v>
      </c>
      <c r="L248" s="18">
        <v>0</v>
      </c>
      <c r="M248" s="18">
        <v>24</v>
      </c>
      <c r="N248" s="19">
        <v>45341</v>
      </c>
      <c r="O248" s="19">
        <v>45341</v>
      </c>
      <c r="P248" s="18">
        <f t="shared" si="12"/>
        <v>0</v>
      </c>
      <c r="Q248" s="30" t="s">
        <v>701</v>
      </c>
      <c r="S248" s="19">
        <v>45341</v>
      </c>
      <c r="T248" s="18">
        <f t="shared" si="13"/>
        <v>0</v>
      </c>
      <c r="X248" s="18" t="s">
        <v>51</v>
      </c>
      <c r="Y248" s="18" t="s">
        <v>51</v>
      </c>
      <c r="AA248" s="18">
        <v>0</v>
      </c>
      <c r="AB248" s="18">
        <v>0</v>
      </c>
      <c r="AC248" s="18">
        <v>0</v>
      </c>
      <c r="AD248" s="18" t="s">
        <v>65</v>
      </c>
      <c r="AE248" s="18">
        <v>0</v>
      </c>
      <c r="AF248" s="18">
        <f t="shared" si="14"/>
        <v>3</v>
      </c>
      <c r="AG248" s="18" t="str">
        <f t="shared" si="15"/>
        <v>LOW</v>
      </c>
    </row>
    <row r="249" spans="1:33" x14ac:dyDescent="0.3">
      <c r="A249" s="66">
        <v>248</v>
      </c>
      <c r="B249" s="18" t="s">
        <v>1</v>
      </c>
      <c r="C249" s="18" t="s">
        <v>69</v>
      </c>
      <c r="D249" s="18" t="s">
        <v>60</v>
      </c>
      <c r="E249" s="29" t="s">
        <v>187</v>
      </c>
      <c r="F249" s="29" t="s">
        <v>359</v>
      </c>
      <c r="G249" s="18">
        <v>2</v>
      </c>
      <c r="H249" s="18">
        <v>1</v>
      </c>
      <c r="I249" s="18" t="s">
        <v>9</v>
      </c>
      <c r="J249" s="18" t="s">
        <v>63</v>
      </c>
      <c r="K249" s="68">
        <v>0</v>
      </c>
      <c r="L249" s="18">
        <v>0</v>
      </c>
      <c r="M249" s="18">
        <v>24</v>
      </c>
      <c r="N249" s="19">
        <v>45341</v>
      </c>
      <c r="O249" s="19">
        <v>45341</v>
      </c>
      <c r="P249" s="18">
        <f t="shared" si="12"/>
        <v>0</v>
      </c>
      <c r="Q249" s="30" t="s">
        <v>702</v>
      </c>
      <c r="S249" s="19">
        <v>45341</v>
      </c>
      <c r="T249" s="18">
        <f t="shared" si="13"/>
        <v>0</v>
      </c>
      <c r="X249" s="18" t="s">
        <v>51</v>
      </c>
      <c r="Y249" s="18" t="s">
        <v>51</v>
      </c>
      <c r="AA249" s="18">
        <v>0</v>
      </c>
      <c r="AB249" s="18">
        <v>0</v>
      </c>
      <c r="AC249" s="18">
        <v>0</v>
      </c>
      <c r="AD249" s="18" t="s">
        <v>65</v>
      </c>
      <c r="AE249" s="18">
        <v>0</v>
      </c>
      <c r="AF249" s="18">
        <f t="shared" si="14"/>
        <v>3</v>
      </c>
      <c r="AG249" s="18" t="str">
        <f t="shared" si="15"/>
        <v>LOW</v>
      </c>
    </row>
    <row r="250" spans="1:33" ht="28.8" x14ac:dyDescent="0.3">
      <c r="A250" s="66">
        <v>249</v>
      </c>
      <c r="B250" s="18" t="s">
        <v>2</v>
      </c>
      <c r="C250" s="18" t="s">
        <v>69</v>
      </c>
      <c r="D250" s="18" t="s">
        <v>82</v>
      </c>
      <c r="E250" s="29" t="s">
        <v>137</v>
      </c>
      <c r="F250" s="29" t="s">
        <v>360</v>
      </c>
      <c r="G250" s="18">
        <v>2</v>
      </c>
      <c r="H250" s="18">
        <v>1</v>
      </c>
      <c r="I250" s="18" t="s">
        <v>9</v>
      </c>
      <c r="J250" s="18" t="s">
        <v>82</v>
      </c>
      <c r="K250" s="68">
        <v>0</v>
      </c>
      <c r="L250" s="18">
        <v>0</v>
      </c>
      <c r="N250" s="19">
        <v>45342</v>
      </c>
      <c r="O250" s="19">
        <v>45341</v>
      </c>
      <c r="P250" s="18">
        <f t="shared" si="12"/>
        <v>-1</v>
      </c>
      <c r="Q250" s="30" t="s">
        <v>618</v>
      </c>
      <c r="S250" s="19">
        <v>45341</v>
      </c>
      <c r="T250" s="18">
        <f t="shared" si="13"/>
        <v>-1</v>
      </c>
      <c r="X250" s="18" t="s">
        <v>51</v>
      </c>
      <c r="Y250" s="18" t="s">
        <v>51</v>
      </c>
      <c r="AA250" s="18">
        <v>0</v>
      </c>
      <c r="AB250" s="18">
        <v>0</v>
      </c>
      <c r="AC250" s="18">
        <v>0</v>
      </c>
      <c r="AD250" s="18" t="s">
        <v>65</v>
      </c>
      <c r="AE250" s="18">
        <v>0</v>
      </c>
      <c r="AF250" s="18">
        <f t="shared" si="14"/>
        <v>3</v>
      </c>
      <c r="AG250" s="18" t="str">
        <f t="shared" si="15"/>
        <v>LOW</v>
      </c>
    </row>
    <row r="251" spans="1:33" x14ac:dyDescent="0.3">
      <c r="A251" s="66">
        <v>250</v>
      </c>
      <c r="B251" s="18" t="s">
        <v>2</v>
      </c>
      <c r="C251" s="18" t="s">
        <v>69</v>
      </c>
      <c r="D251" s="18" t="s">
        <v>82</v>
      </c>
      <c r="E251" s="29" t="s">
        <v>82</v>
      </c>
      <c r="F251" s="29" t="s">
        <v>82</v>
      </c>
      <c r="G251" s="18">
        <v>2</v>
      </c>
      <c r="H251" s="18">
        <v>0</v>
      </c>
      <c r="I251" s="18" t="s">
        <v>9</v>
      </c>
      <c r="J251" s="18" t="s">
        <v>82</v>
      </c>
      <c r="K251" s="68">
        <v>0</v>
      </c>
      <c r="L251" s="18">
        <v>0</v>
      </c>
      <c r="N251" s="19">
        <v>45342</v>
      </c>
      <c r="O251" s="19">
        <v>45342</v>
      </c>
      <c r="P251" s="18">
        <f t="shared" si="12"/>
        <v>0</v>
      </c>
      <c r="Q251" s="30" t="s">
        <v>703</v>
      </c>
      <c r="S251" s="19">
        <v>45342</v>
      </c>
      <c r="T251" s="18">
        <f t="shared" si="13"/>
        <v>0</v>
      </c>
      <c r="X251" s="18" t="s">
        <v>51</v>
      </c>
      <c r="Y251" s="18" t="s">
        <v>51</v>
      </c>
      <c r="AA251" s="18">
        <v>0</v>
      </c>
      <c r="AB251" s="18">
        <v>0</v>
      </c>
      <c r="AC251" s="18">
        <v>0</v>
      </c>
      <c r="AD251" s="18" t="s">
        <v>65</v>
      </c>
      <c r="AE251" s="18">
        <v>0</v>
      </c>
      <c r="AF251" s="18">
        <f t="shared" si="14"/>
        <v>2</v>
      </c>
      <c r="AG251" s="18" t="str">
        <f t="shared" si="15"/>
        <v>LOW</v>
      </c>
    </row>
    <row r="252" spans="1:33" x14ac:dyDescent="0.3">
      <c r="A252" s="66">
        <v>251</v>
      </c>
      <c r="B252" s="18" t="s">
        <v>1</v>
      </c>
      <c r="C252" s="18" t="s">
        <v>69</v>
      </c>
      <c r="D252" s="18" t="s">
        <v>72</v>
      </c>
      <c r="E252" s="29" t="s">
        <v>188</v>
      </c>
      <c r="F252" s="29" t="s">
        <v>361</v>
      </c>
      <c r="G252" s="18">
        <v>2</v>
      </c>
      <c r="H252" s="18">
        <v>1</v>
      </c>
      <c r="I252" s="18" t="s">
        <v>9</v>
      </c>
      <c r="J252" s="18" t="s">
        <v>63</v>
      </c>
      <c r="K252" s="68">
        <v>54000</v>
      </c>
      <c r="L252" s="18">
        <v>2</v>
      </c>
      <c r="N252" s="19">
        <v>45343</v>
      </c>
      <c r="O252" s="19">
        <v>45342</v>
      </c>
      <c r="P252" s="18">
        <f t="shared" si="12"/>
        <v>-1</v>
      </c>
      <c r="Q252" s="30" t="s">
        <v>704</v>
      </c>
      <c r="S252" s="19">
        <v>45342</v>
      </c>
      <c r="T252" s="18">
        <f t="shared" si="13"/>
        <v>-1</v>
      </c>
      <c r="X252" s="18" t="s">
        <v>53</v>
      </c>
      <c r="Y252" s="18" t="s">
        <v>51</v>
      </c>
      <c r="AA252" s="18">
        <v>0</v>
      </c>
      <c r="AB252" s="18">
        <v>0</v>
      </c>
      <c r="AC252" s="18">
        <v>0</v>
      </c>
      <c r="AD252" s="18" t="s">
        <v>65</v>
      </c>
      <c r="AE252" s="18">
        <v>0</v>
      </c>
      <c r="AF252" s="18">
        <f t="shared" si="14"/>
        <v>5</v>
      </c>
      <c r="AG252" s="18" t="str">
        <f t="shared" si="15"/>
        <v>LOW</v>
      </c>
    </row>
    <row r="253" spans="1:33" ht="28.8" x14ac:dyDescent="0.3">
      <c r="A253" s="66">
        <v>252</v>
      </c>
      <c r="B253" s="18" t="s">
        <v>2</v>
      </c>
      <c r="C253" s="18" t="s">
        <v>69</v>
      </c>
      <c r="D253" s="18" t="s">
        <v>83</v>
      </c>
      <c r="E253" s="29" t="s">
        <v>189</v>
      </c>
      <c r="F253" s="29" t="s">
        <v>135</v>
      </c>
      <c r="G253" s="18">
        <v>3</v>
      </c>
      <c r="H253" s="18">
        <v>2</v>
      </c>
      <c r="I253" s="18" t="s">
        <v>9</v>
      </c>
      <c r="J253" s="18" t="s">
        <v>63</v>
      </c>
      <c r="K253" s="68">
        <v>0</v>
      </c>
      <c r="L253" s="18">
        <v>0</v>
      </c>
      <c r="N253" s="19">
        <v>45343</v>
      </c>
      <c r="O253" s="19">
        <v>45342</v>
      </c>
      <c r="P253" s="18">
        <f t="shared" si="12"/>
        <v>-1</v>
      </c>
      <c r="Q253" s="30" t="s">
        <v>705</v>
      </c>
      <c r="S253" s="19">
        <v>45342</v>
      </c>
      <c r="T253" s="18">
        <f t="shared" si="13"/>
        <v>-1</v>
      </c>
      <c r="X253" s="18" t="s">
        <v>53</v>
      </c>
      <c r="Y253" s="18" t="s">
        <v>51</v>
      </c>
      <c r="AA253" s="18">
        <v>0</v>
      </c>
      <c r="AB253" s="18">
        <v>0</v>
      </c>
      <c r="AC253" s="18">
        <v>0</v>
      </c>
      <c r="AD253" s="18" t="s">
        <v>65</v>
      </c>
      <c r="AE253" s="18">
        <v>0</v>
      </c>
      <c r="AF253" s="18">
        <f t="shared" si="14"/>
        <v>5</v>
      </c>
      <c r="AG253" s="18" t="str">
        <f t="shared" si="15"/>
        <v>LOW</v>
      </c>
    </row>
    <row r="254" spans="1:33" x14ac:dyDescent="0.3">
      <c r="A254" s="66">
        <v>253</v>
      </c>
      <c r="B254" s="18" t="s">
        <v>2</v>
      </c>
      <c r="C254" s="18" t="s">
        <v>69</v>
      </c>
      <c r="D254" s="18" t="s">
        <v>80</v>
      </c>
      <c r="E254" s="29" t="s">
        <v>986</v>
      </c>
      <c r="F254" s="29" t="s">
        <v>362</v>
      </c>
      <c r="G254" s="18">
        <v>2</v>
      </c>
      <c r="H254" s="18">
        <v>1</v>
      </c>
      <c r="I254" s="18" t="s">
        <v>9</v>
      </c>
      <c r="J254" s="18" t="s">
        <v>130</v>
      </c>
      <c r="K254" s="68">
        <v>0</v>
      </c>
      <c r="L254" s="18">
        <v>0</v>
      </c>
      <c r="N254" s="19">
        <v>45343</v>
      </c>
      <c r="O254" s="19">
        <v>45342</v>
      </c>
      <c r="P254" s="18">
        <f t="shared" si="12"/>
        <v>-1</v>
      </c>
      <c r="Q254" s="30" t="s">
        <v>706</v>
      </c>
      <c r="S254" s="19">
        <v>45342</v>
      </c>
      <c r="T254" s="18">
        <f t="shared" si="13"/>
        <v>-1</v>
      </c>
      <c r="X254" s="18" t="s">
        <v>51</v>
      </c>
      <c r="Y254" s="18" t="s">
        <v>51</v>
      </c>
      <c r="AA254" s="18">
        <v>0</v>
      </c>
      <c r="AB254" s="18">
        <v>0</v>
      </c>
      <c r="AC254" s="18">
        <v>0</v>
      </c>
      <c r="AD254" s="18" t="s">
        <v>65</v>
      </c>
      <c r="AE254" s="18">
        <v>0</v>
      </c>
      <c r="AF254" s="18">
        <f t="shared" si="14"/>
        <v>3</v>
      </c>
      <c r="AG254" s="18" t="str">
        <f t="shared" si="15"/>
        <v>LOW</v>
      </c>
    </row>
    <row r="255" spans="1:33" x14ac:dyDescent="0.3">
      <c r="A255" s="66">
        <v>254</v>
      </c>
      <c r="B255" s="18" t="s">
        <v>2</v>
      </c>
      <c r="C255" s="18" t="s">
        <v>69</v>
      </c>
      <c r="D255" s="18" t="s">
        <v>80</v>
      </c>
      <c r="E255" s="29" t="s">
        <v>987</v>
      </c>
      <c r="F255" s="29" t="s">
        <v>362</v>
      </c>
      <c r="G255" s="18">
        <v>2</v>
      </c>
      <c r="H255" s="18">
        <v>1</v>
      </c>
      <c r="I255" s="18" t="s">
        <v>9</v>
      </c>
      <c r="J255" s="18" t="s">
        <v>130</v>
      </c>
      <c r="K255" s="68">
        <v>0</v>
      </c>
      <c r="L255" s="18">
        <v>0</v>
      </c>
      <c r="N255" s="19">
        <v>45343</v>
      </c>
      <c r="O255" s="19">
        <v>45343</v>
      </c>
      <c r="P255" s="18">
        <f t="shared" si="12"/>
        <v>0</v>
      </c>
      <c r="Q255" s="30" t="s">
        <v>707</v>
      </c>
      <c r="S255" s="19">
        <v>45343</v>
      </c>
      <c r="T255" s="18">
        <f t="shared" si="13"/>
        <v>0</v>
      </c>
      <c r="X255" s="18" t="s">
        <v>51</v>
      </c>
      <c r="Y255" s="18" t="s">
        <v>51</v>
      </c>
      <c r="AA255" s="18">
        <v>0</v>
      </c>
      <c r="AB255" s="18">
        <v>0</v>
      </c>
      <c r="AC255" s="18">
        <v>0</v>
      </c>
      <c r="AD255" s="18" t="s">
        <v>65</v>
      </c>
      <c r="AE255" s="18">
        <v>0</v>
      </c>
      <c r="AF255" s="18">
        <f t="shared" si="14"/>
        <v>3</v>
      </c>
      <c r="AG255" s="18" t="str">
        <f t="shared" si="15"/>
        <v>LOW</v>
      </c>
    </row>
    <row r="256" spans="1:33" x14ac:dyDescent="0.3">
      <c r="A256" s="66">
        <v>255</v>
      </c>
      <c r="B256" s="18" t="s">
        <v>2</v>
      </c>
      <c r="C256" s="18" t="s">
        <v>69</v>
      </c>
      <c r="D256" s="18" t="s">
        <v>82</v>
      </c>
      <c r="E256" s="29" t="s">
        <v>82</v>
      </c>
      <c r="F256" s="29" t="s">
        <v>82</v>
      </c>
      <c r="G256" s="18">
        <v>2</v>
      </c>
      <c r="H256" s="18">
        <v>1</v>
      </c>
      <c r="I256" s="18" t="s">
        <v>9</v>
      </c>
      <c r="J256" s="18" t="s">
        <v>82</v>
      </c>
      <c r="K256" s="68">
        <v>0</v>
      </c>
      <c r="L256" s="18">
        <v>0</v>
      </c>
      <c r="N256" s="19">
        <v>45343</v>
      </c>
      <c r="O256" s="19">
        <v>45343</v>
      </c>
      <c r="P256" s="18">
        <f t="shared" si="12"/>
        <v>0</v>
      </c>
      <c r="Q256" s="30" t="s">
        <v>708</v>
      </c>
      <c r="S256" s="19">
        <v>45343</v>
      </c>
      <c r="T256" s="18">
        <f t="shared" si="13"/>
        <v>0</v>
      </c>
      <c r="X256" s="18" t="s">
        <v>51</v>
      </c>
      <c r="Y256" s="18" t="s">
        <v>51</v>
      </c>
      <c r="AA256" s="18">
        <v>0</v>
      </c>
      <c r="AB256" s="18">
        <v>0</v>
      </c>
      <c r="AC256" s="18">
        <v>0</v>
      </c>
      <c r="AD256" s="18" t="s">
        <v>65</v>
      </c>
      <c r="AE256" s="18">
        <v>0</v>
      </c>
      <c r="AF256" s="18">
        <f t="shared" si="14"/>
        <v>3</v>
      </c>
      <c r="AG256" s="18" t="str">
        <f t="shared" si="15"/>
        <v>LOW</v>
      </c>
    </row>
    <row r="257" spans="1:33" x14ac:dyDescent="0.3">
      <c r="A257" s="66">
        <v>256</v>
      </c>
      <c r="B257" s="18" t="s">
        <v>2</v>
      </c>
      <c r="C257" s="18" t="s">
        <v>69</v>
      </c>
      <c r="D257" s="18" t="s">
        <v>82</v>
      </c>
      <c r="E257" s="29" t="s">
        <v>82</v>
      </c>
      <c r="F257" s="29" t="s">
        <v>82</v>
      </c>
      <c r="G257" s="18">
        <v>2</v>
      </c>
      <c r="H257" s="18">
        <v>1</v>
      </c>
      <c r="I257" s="18" t="s">
        <v>9</v>
      </c>
      <c r="J257" s="18" t="s">
        <v>82</v>
      </c>
      <c r="K257" s="68">
        <v>0</v>
      </c>
      <c r="L257" s="18">
        <v>0</v>
      </c>
      <c r="N257" s="19">
        <v>45343</v>
      </c>
      <c r="O257" s="19">
        <v>45343</v>
      </c>
      <c r="P257" s="18">
        <f t="shared" si="12"/>
        <v>0</v>
      </c>
      <c r="Q257" s="30" t="s">
        <v>709</v>
      </c>
      <c r="S257" s="19">
        <v>45343</v>
      </c>
      <c r="T257" s="18">
        <f t="shared" si="13"/>
        <v>0</v>
      </c>
      <c r="X257" s="18" t="s">
        <v>51</v>
      </c>
      <c r="Y257" s="18" t="s">
        <v>51</v>
      </c>
      <c r="AA257" s="18">
        <v>0</v>
      </c>
      <c r="AB257" s="18">
        <v>0</v>
      </c>
      <c r="AC257" s="18">
        <v>0</v>
      </c>
      <c r="AD257" s="18" t="s">
        <v>65</v>
      </c>
      <c r="AE257" s="18">
        <v>0</v>
      </c>
      <c r="AF257" s="18">
        <f t="shared" si="14"/>
        <v>3</v>
      </c>
      <c r="AG257" s="18" t="str">
        <f t="shared" si="15"/>
        <v>LOW</v>
      </c>
    </row>
    <row r="258" spans="1:33" x14ac:dyDescent="0.3">
      <c r="A258" s="66">
        <v>257</v>
      </c>
      <c r="B258" s="18" t="s">
        <v>2</v>
      </c>
      <c r="C258" s="18" t="s">
        <v>69</v>
      </c>
      <c r="D258" s="18" t="s">
        <v>82</v>
      </c>
      <c r="E258" s="29" t="s">
        <v>82</v>
      </c>
      <c r="F258" s="29" t="s">
        <v>82</v>
      </c>
      <c r="G258" s="18">
        <v>2</v>
      </c>
      <c r="H258" s="18">
        <v>1</v>
      </c>
      <c r="I258" s="18" t="s">
        <v>9</v>
      </c>
      <c r="J258" s="18" t="s">
        <v>82</v>
      </c>
      <c r="K258" s="68">
        <v>0</v>
      </c>
      <c r="L258" s="18">
        <v>0</v>
      </c>
      <c r="N258" s="19">
        <v>45343</v>
      </c>
      <c r="O258" s="19">
        <v>45343</v>
      </c>
      <c r="P258" s="18">
        <f t="shared" ref="P258:P321" si="16">$O258-$N258</f>
        <v>0</v>
      </c>
      <c r="Q258" s="30" t="s">
        <v>710</v>
      </c>
      <c r="S258" s="19">
        <v>45343</v>
      </c>
      <c r="T258" s="18">
        <f t="shared" ref="T258:T321" si="17">IF(AND(O258&lt;&gt; "",N258&lt;&gt;""),O258-N258,"")</f>
        <v>0</v>
      </c>
      <c r="X258" s="18" t="s">
        <v>51</v>
      </c>
      <c r="Y258" s="18" t="s">
        <v>51</v>
      </c>
      <c r="AA258" s="18">
        <v>0</v>
      </c>
      <c r="AB258" s="18">
        <v>0</v>
      </c>
      <c r="AC258" s="18">
        <v>0</v>
      </c>
      <c r="AD258" s="18" t="s">
        <v>65</v>
      </c>
      <c r="AE258" s="18">
        <v>0</v>
      </c>
      <c r="AF258" s="18">
        <f t="shared" ref="AF258:AF321" si="18">SUM($G258,$H258,$L258,$AA258,$AB258,$AC258,$AE258)</f>
        <v>3</v>
      </c>
      <c r="AG258" s="18" t="str">
        <f t="shared" ref="AG258:AG321" si="19">IF(AF258&lt;=15,"LOW",IF(AF258&gt;=31,"HIGH","MIDIUM"))</f>
        <v>LOW</v>
      </c>
    </row>
    <row r="259" spans="1:33" x14ac:dyDescent="0.3">
      <c r="A259" s="66">
        <v>258</v>
      </c>
      <c r="B259" s="18" t="s">
        <v>1</v>
      </c>
      <c r="C259" s="18" t="s">
        <v>69</v>
      </c>
      <c r="D259" s="18" t="s">
        <v>60</v>
      </c>
      <c r="E259" s="29" t="s">
        <v>139</v>
      </c>
      <c r="F259" s="29" t="s">
        <v>334</v>
      </c>
      <c r="G259" s="18">
        <v>2</v>
      </c>
      <c r="H259" s="18">
        <v>1</v>
      </c>
      <c r="I259" s="18" t="s">
        <v>9</v>
      </c>
      <c r="J259" s="18" t="s">
        <v>63</v>
      </c>
      <c r="K259" s="68">
        <v>0</v>
      </c>
      <c r="L259" s="18">
        <v>0</v>
      </c>
      <c r="N259" s="19">
        <v>45343</v>
      </c>
      <c r="O259" s="19">
        <v>45343</v>
      </c>
      <c r="P259" s="18">
        <f t="shared" si="16"/>
        <v>0</v>
      </c>
      <c r="Q259" s="30" t="s">
        <v>619</v>
      </c>
      <c r="S259" s="19">
        <v>45343</v>
      </c>
      <c r="T259" s="18">
        <f t="shared" si="17"/>
        <v>0</v>
      </c>
      <c r="X259" s="18" t="s">
        <v>53</v>
      </c>
      <c r="Y259" s="18" t="s">
        <v>51</v>
      </c>
      <c r="AA259" s="18">
        <v>0</v>
      </c>
      <c r="AB259" s="18">
        <v>0</v>
      </c>
      <c r="AC259" s="18">
        <v>0</v>
      </c>
      <c r="AD259" s="18" t="s">
        <v>65</v>
      </c>
      <c r="AE259" s="18">
        <v>0</v>
      </c>
      <c r="AF259" s="18">
        <f t="shared" si="18"/>
        <v>3</v>
      </c>
      <c r="AG259" s="18" t="str">
        <f t="shared" si="19"/>
        <v>LOW</v>
      </c>
    </row>
    <row r="260" spans="1:33" x14ac:dyDescent="0.3">
      <c r="A260" s="66">
        <v>259</v>
      </c>
      <c r="B260" s="18" t="s">
        <v>1</v>
      </c>
      <c r="C260" s="18" t="s">
        <v>69</v>
      </c>
      <c r="D260" s="18" t="s">
        <v>60</v>
      </c>
      <c r="E260" s="29" t="s">
        <v>190</v>
      </c>
      <c r="F260" s="29" t="s">
        <v>359</v>
      </c>
      <c r="G260" s="18">
        <v>2</v>
      </c>
      <c r="H260" s="18">
        <v>1</v>
      </c>
      <c r="I260" s="18" t="s">
        <v>9</v>
      </c>
      <c r="J260" s="18" t="s">
        <v>63</v>
      </c>
      <c r="K260" s="68">
        <v>0</v>
      </c>
      <c r="L260" s="18">
        <v>0</v>
      </c>
      <c r="N260" s="19">
        <v>45343</v>
      </c>
      <c r="O260" s="19">
        <v>45343</v>
      </c>
      <c r="P260" s="18">
        <f t="shared" si="16"/>
        <v>0</v>
      </c>
      <c r="Q260" s="30" t="s">
        <v>711</v>
      </c>
      <c r="S260" s="19">
        <v>45343</v>
      </c>
      <c r="T260" s="18">
        <f t="shared" si="17"/>
        <v>0</v>
      </c>
      <c r="X260" s="18" t="s">
        <v>51</v>
      </c>
      <c r="Y260" s="18" t="s">
        <v>51</v>
      </c>
      <c r="AA260" s="18">
        <v>0</v>
      </c>
      <c r="AB260" s="18">
        <v>0</v>
      </c>
      <c r="AC260" s="18">
        <v>0</v>
      </c>
      <c r="AD260" s="18" t="s">
        <v>65</v>
      </c>
      <c r="AE260" s="18">
        <v>0</v>
      </c>
      <c r="AF260" s="18">
        <f t="shared" si="18"/>
        <v>3</v>
      </c>
      <c r="AG260" s="18" t="str">
        <f t="shared" si="19"/>
        <v>LOW</v>
      </c>
    </row>
    <row r="261" spans="1:33" x14ac:dyDescent="0.3">
      <c r="A261" s="66">
        <v>260</v>
      </c>
      <c r="B261" s="18" t="s">
        <v>1</v>
      </c>
      <c r="C261" s="18" t="s">
        <v>69</v>
      </c>
      <c r="D261" s="18" t="s">
        <v>60</v>
      </c>
      <c r="E261" s="29" t="s">
        <v>191</v>
      </c>
      <c r="F261" s="29" t="s">
        <v>359</v>
      </c>
      <c r="G261" s="18">
        <v>2</v>
      </c>
      <c r="H261" s="18">
        <v>1</v>
      </c>
      <c r="I261" s="18" t="s">
        <v>9</v>
      </c>
      <c r="J261" s="18" t="s">
        <v>63</v>
      </c>
      <c r="K261" s="68">
        <v>0</v>
      </c>
      <c r="L261" s="18">
        <v>0</v>
      </c>
      <c r="N261" s="19">
        <v>45343</v>
      </c>
      <c r="O261" s="19">
        <v>45343</v>
      </c>
      <c r="P261" s="18">
        <f t="shared" si="16"/>
        <v>0</v>
      </c>
      <c r="Q261" s="30" t="s">
        <v>711</v>
      </c>
      <c r="S261" s="19">
        <v>45343</v>
      </c>
      <c r="T261" s="18">
        <f t="shared" si="17"/>
        <v>0</v>
      </c>
      <c r="X261" s="18" t="s">
        <v>51</v>
      </c>
      <c r="Y261" s="18" t="s">
        <v>51</v>
      </c>
      <c r="AA261" s="18">
        <v>0</v>
      </c>
      <c r="AB261" s="18">
        <v>0</v>
      </c>
      <c r="AC261" s="18">
        <v>0</v>
      </c>
      <c r="AD261" s="18" t="s">
        <v>65</v>
      </c>
      <c r="AE261" s="18">
        <v>0</v>
      </c>
      <c r="AF261" s="18">
        <f t="shared" si="18"/>
        <v>3</v>
      </c>
      <c r="AG261" s="18" t="str">
        <f t="shared" si="19"/>
        <v>LOW</v>
      </c>
    </row>
    <row r="262" spans="1:33" x14ac:dyDescent="0.3">
      <c r="A262" s="66">
        <v>261</v>
      </c>
      <c r="B262" s="18" t="s">
        <v>1</v>
      </c>
      <c r="C262" s="18" t="s">
        <v>69</v>
      </c>
      <c r="D262" s="18" t="s">
        <v>85</v>
      </c>
      <c r="E262" s="29" t="s">
        <v>972</v>
      </c>
      <c r="F262" s="29" t="s">
        <v>346</v>
      </c>
      <c r="G262" s="18">
        <v>2</v>
      </c>
      <c r="H262" s="18">
        <v>1</v>
      </c>
      <c r="I262" s="18" t="s">
        <v>9</v>
      </c>
      <c r="J262" s="18" t="s">
        <v>63</v>
      </c>
      <c r="K262" s="68">
        <v>119294.14</v>
      </c>
      <c r="L262" s="18">
        <v>2</v>
      </c>
      <c r="M262" s="18">
        <v>2</v>
      </c>
      <c r="N262" s="19">
        <v>45343</v>
      </c>
      <c r="O262" s="19">
        <v>45343</v>
      </c>
      <c r="P262" s="18">
        <f t="shared" si="16"/>
        <v>0</v>
      </c>
      <c r="Q262" s="30" t="s">
        <v>712</v>
      </c>
      <c r="S262" s="19">
        <v>45343</v>
      </c>
      <c r="T262" s="18">
        <f t="shared" si="17"/>
        <v>0</v>
      </c>
      <c r="X262" s="18" t="s">
        <v>51</v>
      </c>
      <c r="Y262" s="18" t="s">
        <v>51</v>
      </c>
      <c r="AA262" s="18">
        <v>0</v>
      </c>
      <c r="AB262" s="18">
        <v>0</v>
      </c>
      <c r="AC262" s="18">
        <v>0</v>
      </c>
      <c r="AD262" s="18" t="s">
        <v>65</v>
      </c>
      <c r="AE262" s="18">
        <v>0</v>
      </c>
      <c r="AF262" s="18">
        <f t="shared" si="18"/>
        <v>5</v>
      </c>
      <c r="AG262" s="18" t="str">
        <f t="shared" si="19"/>
        <v>LOW</v>
      </c>
    </row>
    <row r="263" spans="1:33" x14ac:dyDescent="0.3">
      <c r="A263" s="66">
        <v>262</v>
      </c>
      <c r="B263" s="18" t="s">
        <v>1</v>
      </c>
      <c r="C263" s="18" t="s">
        <v>69</v>
      </c>
      <c r="D263" s="18" t="s">
        <v>60</v>
      </c>
      <c r="E263" s="29" t="s">
        <v>192</v>
      </c>
      <c r="F263" s="29" t="s">
        <v>359</v>
      </c>
      <c r="G263" s="18">
        <v>2</v>
      </c>
      <c r="H263" s="18">
        <v>1</v>
      </c>
      <c r="I263" s="18" t="s">
        <v>9</v>
      </c>
      <c r="J263" s="18" t="s">
        <v>63</v>
      </c>
      <c r="K263" s="68">
        <v>0</v>
      </c>
      <c r="L263" s="18">
        <v>0</v>
      </c>
      <c r="N263" s="19">
        <v>45343</v>
      </c>
      <c r="O263" s="19">
        <v>45343</v>
      </c>
      <c r="P263" s="18">
        <f t="shared" si="16"/>
        <v>0</v>
      </c>
      <c r="Q263" s="30" t="s">
        <v>712</v>
      </c>
      <c r="S263" s="19">
        <v>45343</v>
      </c>
      <c r="T263" s="18">
        <f t="shared" si="17"/>
        <v>0</v>
      </c>
      <c r="X263" s="18" t="s">
        <v>51</v>
      </c>
      <c r="Y263" s="18" t="s">
        <v>51</v>
      </c>
      <c r="AA263" s="18">
        <v>0</v>
      </c>
      <c r="AB263" s="18">
        <v>0</v>
      </c>
      <c r="AC263" s="18">
        <v>0</v>
      </c>
      <c r="AD263" s="18" t="s">
        <v>65</v>
      </c>
      <c r="AE263" s="18">
        <v>0</v>
      </c>
      <c r="AF263" s="18">
        <f t="shared" si="18"/>
        <v>3</v>
      </c>
      <c r="AG263" s="18" t="str">
        <f t="shared" si="19"/>
        <v>LOW</v>
      </c>
    </row>
    <row r="264" spans="1:33" x14ac:dyDescent="0.3">
      <c r="A264" s="66">
        <v>263</v>
      </c>
      <c r="B264" s="18" t="s">
        <v>2</v>
      </c>
      <c r="C264" s="18" t="s">
        <v>69</v>
      </c>
      <c r="D264" s="18" t="s">
        <v>83</v>
      </c>
      <c r="E264" s="29" t="s">
        <v>981</v>
      </c>
      <c r="F264" s="29" t="s">
        <v>235</v>
      </c>
      <c r="G264" s="18">
        <v>0</v>
      </c>
      <c r="H264" s="18">
        <v>2</v>
      </c>
      <c r="I264" s="18" t="s">
        <v>9</v>
      </c>
      <c r="J264" s="18" t="s">
        <v>63</v>
      </c>
      <c r="K264" s="68">
        <v>0</v>
      </c>
      <c r="L264" s="18">
        <v>0</v>
      </c>
      <c r="N264" s="19">
        <v>45343</v>
      </c>
      <c r="O264" s="19">
        <v>45343</v>
      </c>
      <c r="P264" s="18">
        <f t="shared" si="16"/>
        <v>0</v>
      </c>
      <c r="Q264" s="30" t="s">
        <v>713</v>
      </c>
      <c r="S264" s="19">
        <v>45343</v>
      </c>
      <c r="T264" s="18">
        <f t="shared" si="17"/>
        <v>0</v>
      </c>
      <c r="X264" s="18" t="s">
        <v>53</v>
      </c>
      <c r="Y264" s="18" t="s">
        <v>51</v>
      </c>
      <c r="AA264" s="18">
        <v>0</v>
      </c>
      <c r="AB264" s="18">
        <v>0</v>
      </c>
      <c r="AC264" s="18">
        <v>0</v>
      </c>
      <c r="AD264" s="18" t="s">
        <v>65</v>
      </c>
      <c r="AE264" s="18">
        <v>0</v>
      </c>
      <c r="AF264" s="18">
        <f t="shared" si="18"/>
        <v>2</v>
      </c>
      <c r="AG264" s="18" t="str">
        <f t="shared" si="19"/>
        <v>LOW</v>
      </c>
    </row>
    <row r="265" spans="1:33" ht="28.8" x14ac:dyDescent="0.3">
      <c r="A265" s="66">
        <v>264</v>
      </c>
      <c r="B265" s="18" t="s">
        <v>2</v>
      </c>
      <c r="C265" s="18" t="s">
        <v>69</v>
      </c>
      <c r="D265" s="18" t="s">
        <v>83</v>
      </c>
      <c r="E265" s="29" t="s">
        <v>982</v>
      </c>
      <c r="F265" s="29" t="s">
        <v>363</v>
      </c>
      <c r="G265" s="18">
        <v>0</v>
      </c>
      <c r="H265" s="18">
        <v>2</v>
      </c>
      <c r="I265" s="18" t="s">
        <v>9</v>
      </c>
      <c r="J265" s="18" t="s">
        <v>63</v>
      </c>
      <c r="K265" s="68">
        <v>0</v>
      </c>
      <c r="L265" s="18">
        <v>0</v>
      </c>
      <c r="N265" s="19">
        <v>45343</v>
      </c>
      <c r="O265" s="19">
        <v>45343</v>
      </c>
      <c r="P265" s="18">
        <f t="shared" si="16"/>
        <v>0</v>
      </c>
      <c r="Q265" s="30" t="s">
        <v>714</v>
      </c>
      <c r="S265" s="19">
        <v>45343</v>
      </c>
      <c r="T265" s="18">
        <f t="shared" si="17"/>
        <v>0</v>
      </c>
      <c r="X265" s="18" t="s">
        <v>53</v>
      </c>
      <c r="Y265" s="18" t="s">
        <v>51</v>
      </c>
      <c r="AA265" s="18">
        <v>0</v>
      </c>
      <c r="AB265" s="18">
        <v>0</v>
      </c>
      <c r="AC265" s="18">
        <v>0</v>
      </c>
      <c r="AD265" s="18" t="s">
        <v>65</v>
      </c>
      <c r="AE265" s="18">
        <v>0</v>
      </c>
      <c r="AF265" s="18">
        <f t="shared" si="18"/>
        <v>2</v>
      </c>
      <c r="AG265" s="18" t="str">
        <f t="shared" si="19"/>
        <v>LOW</v>
      </c>
    </row>
    <row r="266" spans="1:33" x14ac:dyDescent="0.3">
      <c r="A266" s="66">
        <v>265</v>
      </c>
      <c r="B266" s="18" t="s">
        <v>2</v>
      </c>
      <c r="C266" s="18" t="s">
        <v>69</v>
      </c>
      <c r="D266" s="18" t="s">
        <v>84</v>
      </c>
      <c r="E266" s="29" t="s">
        <v>193</v>
      </c>
      <c r="F266" s="29" t="s">
        <v>364</v>
      </c>
      <c r="G266" s="18">
        <v>2</v>
      </c>
      <c r="H266" s="18">
        <v>1</v>
      </c>
      <c r="I266" s="18" t="s">
        <v>12</v>
      </c>
      <c r="J266" s="18" t="s">
        <v>12</v>
      </c>
      <c r="K266" s="68">
        <v>0</v>
      </c>
      <c r="L266" s="18">
        <v>0</v>
      </c>
      <c r="N266" s="19">
        <v>45343</v>
      </c>
      <c r="O266" s="19">
        <v>45343</v>
      </c>
      <c r="P266" s="18">
        <f t="shared" si="16"/>
        <v>0</v>
      </c>
      <c r="Q266" s="30" t="s">
        <v>715</v>
      </c>
      <c r="S266" s="19">
        <v>45343</v>
      </c>
      <c r="T266" s="18">
        <f t="shared" si="17"/>
        <v>0</v>
      </c>
      <c r="X266" s="18" t="s">
        <v>53</v>
      </c>
      <c r="Y266" s="18" t="s">
        <v>51</v>
      </c>
      <c r="AA266" s="18">
        <v>0</v>
      </c>
      <c r="AB266" s="18">
        <v>0</v>
      </c>
      <c r="AC266" s="18">
        <v>0</v>
      </c>
      <c r="AD266" s="18" t="s">
        <v>65</v>
      </c>
      <c r="AE266" s="18">
        <v>0</v>
      </c>
      <c r="AF266" s="18">
        <f t="shared" si="18"/>
        <v>3</v>
      </c>
      <c r="AG266" s="18" t="str">
        <f t="shared" si="19"/>
        <v>LOW</v>
      </c>
    </row>
    <row r="267" spans="1:33" x14ac:dyDescent="0.3">
      <c r="A267" s="66">
        <v>266</v>
      </c>
      <c r="B267" s="18" t="s">
        <v>1</v>
      </c>
      <c r="C267" s="18" t="s">
        <v>69</v>
      </c>
      <c r="D267" s="18" t="s">
        <v>82</v>
      </c>
      <c r="E267" s="29" t="s">
        <v>127</v>
      </c>
      <c r="F267" s="29" t="s">
        <v>321</v>
      </c>
      <c r="G267" s="18">
        <v>2</v>
      </c>
      <c r="H267" s="18">
        <v>1</v>
      </c>
      <c r="I267" s="18" t="s">
        <v>9</v>
      </c>
      <c r="J267" s="18" t="s">
        <v>82</v>
      </c>
      <c r="K267" s="68">
        <v>1000000</v>
      </c>
      <c r="L267" s="18">
        <v>3</v>
      </c>
      <c r="M267" s="18">
        <v>12</v>
      </c>
      <c r="N267" s="19">
        <v>45343</v>
      </c>
      <c r="O267" s="19">
        <v>45344</v>
      </c>
      <c r="P267" s="18">
        <f t="shared" si="16"/>
        <v>1</v>
      </c>
      <c r="Q267" s="30" t="s">
        <v>601</v>
      </c>
      <c r="S267" s="19">
        <v>45343</v>
      </c>
      <c r="T267" s="18">
        <f t="shared" si="17"/>
        <v>1</v>
      </c>
      <c r="X267" s="18" t="s">
        <v>53</v>
      </c>
      <c r="Y267" s="18" t="s">
        <v>51</v>
      </c>
      <c r="AA267" s="18">
        <v>0</v>
      </c>
      <c r="AB267" s="18">
        <v>0</v>
      </c>
      <c r="AC267" s="18">
        <v>0</v>
      </c>
      <c r="AD267" s="18" t="s">
        <v>65</v>
      </c>
      <c r="AE267" s="18">
        <v>0</v>
      </c>
      <c r="AF267" s="18">
        <f t="shared" si="18"/>
        <v>6</v>
      </c>
      <c r="AG267" s="18" t="str">
        <f t="shared" si="19"/>
        <v>LOW</v>
      </c>
    </row>
    <row r="268" spans="1:33" x14ac:dyDescent="0.3">
      <c r="A268" s="66">
        <v>267</v>
      </c>
      <c r="B268" s="18" t="s">
        <v>1</v>
      </c>
      <c r="C268" s="18" t="s">
        <v>69</v>
      </c>
      <c r="D268" s="18" t="s">
        <v>80</v>
      </c>
      <c r="E268" s="29" t="s">
        <v>988</v>
      </c>
      <c r="F268" s="29" t="s">
        <v>322</v>
      </c>
      <c r="G268" s="18">
        <v>2</v>
      </c>
      <c r="H268" s="18">
        <v>1</v>
      </c>
      <c r="I268" s="18" t="s">
        <v>9</v>
      </c>
      <c r="J268" s="18" t="s">
        <v>130</v>
      </c>
      <c r="K268" s="68">
        <v>29000000</v>
      </c>
      <c r="L268" s="18">
        <v>3</v>
      </c>
      <c r="M268" s="18">
        <v>36</v>
      </c>
      <c r="N268" s="19">
        <v>45341</v>
      </c>
      <c r="O268" s="19">
        <v>45344</v>
      </c>
      <c r="P268" s="18">
        <f t="shared" si="16"/>
        <v>3</v>
      </c>
      <c r="Q268" s="30" t="s">
        <v>604</v>
      </c>
      <c r="S268" s="19">
        <v>45344</v>
      </c>
      <c r="T268" s="18">
        <f t="shared" si="17"/>
        <v>3</v>
      </c>
      <c r="X268" s="18" t="s">
        <v>53</v>
      </c>
      <c r="Y268" s="18" t="s">
        <v>51</v>
      </c>
      <c r="AA268" s="18">
        <v>0</v>
      </c>
      <c r="AB268" s="18">
        <v>0</v>
      </c>
      <c r="AC268" s="18">
        <v>2</v>
      </c>
      <c r="AD268" s="18" t="s">
        <v>65</v>
      </c>
      <c r="AE268" s="18">
        <v>0</v>
      </c>
      <c r="AF268" s="18">
        <f t="shared" si="18"/>
        <v>8</v>
      </c>
      <c r="AG268" s="18" t="str">
        <f t="shared" si="19"/>
        <v>LOW</v>
      </c>
    </row>
    <row r="269" spans="1:33" ht="28.8" x14ac:dyDescent="0.3">
      <c r="A269" s="66">
        <v>268</v>
      </c>
      <c r="B269" s="18" t="s">
        <v>2</v>
      </c>
      <c r="C269" s="18" t="s">
        <v>69</v>
      </c>
      <c r="D269" s="18" t="s">
        <v>82</v>
      </c>
      <c r="E269" s="29" t="s">
        <v>194</v>
      </c>
      <c r="F269" s="29" t="s">
        <v>365</v>
      </c>
      <c r="G269" s="18">
        <v>3</v>
      </c>
      <c r="H269" s="18">
        <v>0</v>
      </c>
      <c r="I269" s="18" t="s">
        <v>9</v>
      </c>
      <c r="J269" s="18" t="s">
        <v>82</v>
      </c>
      <c r="K269" s="68">
        <v>0</v>
      </c>
      <c r="L269" s="18">
        <v>0</v>
      </c>
      <c r="N269" s="19">
        <v>45344</v>
      </c>
      <c r="O269" s="19">
        <v>45344</v>
      </c>
      <c r="P269" s="18">
        <f t="shared" si="16"/>
        <v>0</v>
      </c>
      <c r="Q269" s="30" t="s">
        <v>716</v>
      </c>
      <c r="S269" s="19">
        <v>45344</v>
      </c>
      <c r="T269" s="18">
        <f t="shared" si="17"/>
        <v>0</v>
      </c>
      <c r="X269" s="18" t="s">
        <v>53</v>
      </c>
      <c r="Y269" s="18" t="s">
        <v>51</v>
      </c>
      <c r="AA269" s="18">
        <v>0</v>
      </c>
      <c r="AB269" s="18">
        <v>0</v>
      </c>
      <c r="AC269" s="18">
        <v>0</v>
      </c>
      <c r="AD269" s="18" t="s">
        <v>65</v>
      </c>
      <c r="AE269" s="18">
        <v>0</v>
      </c>
      <c r="AF269" s="18">
        <f t="shared" si="18"/>
        <v>3</v>
      </c>
      <c r="AG269" s="18" t="str">
        <f t="shared" si="19"/>
        <v>LOW</v>
      </c>
    </row>
    <row r="270" spans="1:33" x14ac:dyDescent="0.3">
      <c r="A270" s="66">
        <v>269</v>
      </c>
      <c r="B270" s="18" t="s">
        <v>2</v>
      </c>
      <c r="C270" s="18" t="s">
        <v>69</v>
      </c>
      <c r="D270" s="18" t="s">
        <v>82</v>
      </c>
      <c r="E270" s="29" t="s">
        <v>82</v>
      </c>
      <c r="F270" s="29" t="s">
        <v>82</v>
      </c>
      <c r="G270" s="18">
        <v>2</v>
      </c>
      <c r="H270" s="18">
        <v>1</v>
      </c>
      <c r="I270" s="18" t="s">
        <v>9</v>
      </c>
      <c r="J270" s="18" t="s">
        <v>82</v>
      </c>
      <c r="K270" s="68">
        <v>0</v>
      </c>
      <c r="L270" s="18">
        <v>0</v>
      </c>
      <c r="N270" s="19">
        <v>45344</v>
      </c>
      <c r="O270" s="19">
        <v>45344</v>
      </c>
      <c r="P270" s="18">
        <f t="shared" si="16"/>
        <v>0</v>
      </c>
      <c r="Q270" s="30" t="s">
        <v>717</v>
      </c>
      <c r="S270" s="19">
        <v>45344</v>
      </c>
      <c r="T270" s="18">
        <f t="shared" si="17"/>
        <v>0</v>
      </c>
      <c r="X270" s="18" t="s">
        <v>51</v>
      </c>
      <c r="Y270" s="18" t="s">
        <v>51</v>
      </c>
      <c r="AA270" s="18">
        <v>0</v>
      </c>
      <c r="AB270" s="18">
        <v>0</v>
      </c>
      <c r="AC270" s="18">
        <v>0</v>
      </c>
      <c r="AD270" s="18" t="s">
        <v>65</v>
      </c>
      <c r="AE270" s="18">
        <v>0</v>
      </c>
      <c r="AF270" s="18">
        <f t="shared" si="18"/>
        <v>3</v>
      </c>
      <c r="AG270" s="18" t="str">
        <f t="shared" si="19"/>
        <v>LOW</v>
      </c>
    </row>
    <row r="271" spans="1:33" x14ac:dyDescent="0.3">
      <c r="A271" s="66">
        <v>270</v>
      </c>
      <c r="B271" s="18" t="s">
        <v>2</v>
      </c>
      <c r="C271" s="18" t="s">
        <v>69</v>
      </c>
      <c r="D271" s="18" t="s">
        <v>77</v>
      </c>
      <c r="E271" s="29" t="s">
        <v>195</v>
      </c>
      <c r="F271" s="29" t="s">
        <v>366</v>
      </c>
      <c r="G271" s="18">
        <v>3</v>
      </c>
      <c r="H271" s="18">
        <v>2</v>
      </c>
      <c r="I271" s="18" t="s">
        <v>117</v>
      </c>
      <c r="J271" s="18" t="s">
        <v>63</v>
      </c>
      <c r="K271" s="68">
        <v>0</v>
      </c>
      <c r="L271" s="18">
        <v>0</v>
      </c>
      <c r="N271" s="19">
        <v>45344</v>
      </c>
      <c r="O271" s="19">
        <v>45344</v>
      </c>
      <c r="P271" s="18">
        <f t="shared" si="16"/>
        <v>0</v>
      </c>
      <c r="Q271" s="30" t="s">
        <v>718</v>
      </c>
      <c r="S271" s="19">
        <v>45344</v>
      </c>
      <c r="T271" s="18">
        <f t="shared" si="17"/>
        <v>0</v>
      </c>
      <c r="X271" s="18" t="s">
        <v>53</v>
      </c>
      <c r="Y271" s="18" t="s">
        <v>51</v>
      </c>
      <c r="AA271" s="18">
        <v>0</v>
      </c>
      <c r="AB271" s="18">
        <v>0</v>
      </c>
      <c r="AC271" s="18">
        <v>0</v>
      </c>
      <c r="AD271" s="18" t="s">
        <v>65</v>
      </c>
      <c r="AE271" s="18">
        <v>0</v>
      </c>
      <c r="AF271" s="18">
        <f t="shared" si="18"/>
        <v>5</v>
      </c>
      <c r="AG271" s="18" t="str">
        <f t="shared" si="19"/>
        <v>LOW</v>
      </c>
    </row>
    <row r="272" spans="1:33" ht="28.8" x14ac:dyDescent="0.3">
      <c r="A272" s="66">
        <v>271</v>
      </c>
      <c r="B272" s="18" t="s">
        <v>2</v>
      </c>
      <c r="C272" s="18" t="s">
        <v>69</v>
      </c>
      <c r="D272" s="18" t="s">
        <v>12</v>
      </c>
      <c r="E272" s="29" t="s">
        <v>196</v>
      </c>
      <c r="F272" s="29" t="s">
        <v>196</v>
      </c>
      <c r="G272" s="18">
        <v>0</v>
      </c>
      <c r="H272" s="18">
        <v>0</v>
      </c>
      <c r="I272" s="18" t="s">
        <v>12</v>
      </c>
      <c r="J272" s="18" t="s">
        <v>12</v>
      </c>
      <c r="K272" s="68">
        <v>0</v>
      </c>
      <c r="L272" s="18">
        <v>0</v>
      </c>
      <c r="N272" s="19">
        <v>45344</v>
      </c>
      <c r="O272" s="19">
        <v>45344</v>
      </c>
      <c r="P272" s="18">
        <f t="shared" si="16"/>
        <v>0</v>
      </c>
      <c r="Q272" s="30" t="s">
        <v>719</v>
      </c>
      <c r="S272" s="19">
        <v>45344</v>
      </c>
      <c r="T272" s="18">
        <f t="shared" si="17"/>
        <v>0</v>
      </c>
      <c r="X272" s="18" t="s">
        <v>53</v>
      </c>
      <c r="Y272" s="18" t="s">
        <v>51</v>
      </c>
      <c r="AA272" s="18">
        <v>0</v>
      </c>
      <c r="AB272" s="18">
        <v>0</v>
      </c>
      <c r="AC272" s="18">
        <v>0</v>
      </c>
      <c r="AD272" s="18" t="s">
        <v>65</v>
      </c>
      <c r="AE272" s="18">
        <v>0</v>
      </c>
      <c r="AF272" s="18">
        <f t="shared" si="18"/>
        <v>0</v>
      </c>
      <c r="AG272" s="18" t="str">
        <f t="shared" si="19"/>
        <v>LOW</v>
      </c>
    </row>
    <row r="273" spans="1:33" x14ac:dyDescent="0.3">
      <c r="A273" s="66">
        <v>272</v>
      </c>
      <c r="B273" s="18" t="s">
        <v>2</v>
      </c>
      <c r="C273" s="18" t="s">
        <v>69</v>
      </c>
      <c r="D273" s="18" t="s">
        <v>12</v>
      </c>
      <c r="E273" s="29" t="s">
        <v>12</v>
      </c>
      <c r="F273" s="29" t="s">
        <v>347</v>
      </c>
      <c r="G273" s="18">
        <v>2</v>
      </c>
      <c r="H273" s="18">
        <v>1</v>
      </c>
      <c r="I273" s="18" t="s">
        <v>12</v>
      </c>
      <c r="J273" s="18" t="s">
        <v>12</v>
      </c>
      <c r="K273" s="68">
        <v>0</v>
      </c>
      <c r="L273" s="18">
        <v>0</v>
      </c>
      <c r="N273" s="19">
        <v>45341</v>
      </c>
      <c r="O273" s="19">
        <v>45343</v>
      </c>
      <c r="P273" s="18">
        <f t="shared" si="16"/>
        <v>2</v>
      </c>
      <c r="Q273" s="30" t="s">
        <v>650</v>
      </c>
      <c r="S273" s="19">
        <v>45343</v>
      </c>
      <c r="T273" s="18">
        <f t="shared" si="17"/>
        <v>2</v>
      </c>
      <c r="X273" s="18" t="s">
        <v>53</v>
      </c>
      <c r="Y273" s="18" t="s">
        <v>51</v>
      </c>
      <c r="AA273" s="18">
        <v>0</v>
      </c>
      <c r="AB273" s="18">
        <v>0</v>
      </c>
      <c r="AC273" s="18">
        <v>0</v>
      </c>
      <c r="AD273" s="18" t="s">
        <v>65</v>
      </c>
      <c r="AE273" s="18">
        <v>0</v>
      </c>
      <c r="AF273" s="18">
        <f t="shared" si="18"/>
        <v>3</v>
      </c>
      <c r="AG273" s="18" t="str">
        <f t="shared" si="19"/>
        <v>LOW</v>
      </c>
    </row>
    <row r="274" spans="1:33" x14ac:dyDescent="0.3">
      <c r="A274" s="66">
        <v>273</v>
      </c>
      <c r="B274" s="18" t="s">
        <v>2</v>
      </c>
      <c r="C274" s="18" t="s">
        <v>69</v>
      </c>
      <c r="D274" s="18" t="s">
        <v>12</v>
      </c>
      <c r="E274" s="29" t="s">
        <v>12</v>
      </c>
      <c r="F274" s="29" t="s">
        <v>347</v>
      </c>
      <c r="G274" s="18">
        <v>2</v>
      </c>
      <c r="H274" s="18">
        <v>1</v>
      </c>
      <c r="I274" s="18" t="s">
        <v>12</v>
      </c>
      <c r="J274" s="18" t="s">
        <v>12</v>
      </c>
      <c r="K274" s="68">
        <v>0</v>
      </c>
      <c r="L274" s="18">
        <v>0</v>
      </c>
      <c r="N274" s="19">
        <v>45341</v>
      </c>
      <c r="O274" s="19">
        <v>45343</v>
      </c>
      <c r="P274" s="18">
        <f t="shared" si="16"/>
        <v>2</v>
      </c>
      <c r="Q274" s="30" t="s">
        <v>651</v>
      </c>
      <c r="S274" s="19">
        <v>45343</v>
      </c>
      <c r="T274" s="18">
        <f t="shared" si="17"/>
        <v>2</v>
      </c>
      <c r="X274" s="18" t="s">
        <v>53</v>
      </c>
      <c r="Y274" s="18" t="s">
        <v>51</v>
      </c>
      <c r="AA274" s="18">
        <v>0</v>
      </c>
      <c r="AB274" s="18">
        <v>0</v>
      </c>
      <c r="AC274" s="18">
        <v>0</v>
      </c>
      <c r="AD274" s="18" t="s">
        <v>65</v>
      </c>
      <c r="AE274" s="18">
        <v>0</v>
      </c>
      <c r="AF274" s="18">
        <f t="shared" si="18"/>
        <v>3</v>
      </c>
      <c r="AG274" s="18" t="str">
        <f t="shared" si="19"/>
        <v>LOW</v>
      </c>
    </row>
    <row r="275" spans="1:33" x14ac:dyDescent="0.3">
      <c r="A275" s="66">
        <v>274</v>
      </c>
      <c r="B275" s="18" t="s">
        <v>1</v>
      </c>
      <c r="C275" s="18" t="s">
        <v>4</v>
      </c>
      <c r="D275" s="18" t="s">
        <v>90</v>
      </c>
      <c r="E275" s="29" t="s">
        <v>197</v>
      </c>
      <c r="F275" s="29" t="s">
        <v>367</v>
      </c>
      <c r="G275" s="18">
        <v>2</v>
      </c>
      <c r="H275" s="18">
        <v>1</v>
      </c>
      <c r="I275" s="18" t="s">
        <v>9</v>
      </c>
      <c r="J275" s="18" t="s">
        <v>452</v>
      </c>
      <c r="K275" s="68">
        <v>0</v>
      </c>
      <c r="L275" s="18">
        <v>0</v>
      </c>
      <c r="M275" s="18">
        <v>36</v>
      </c>
      <c r="N275" s="19">
        <v>45338</v>
      </c>
      <c r="O275" s="19">
        <v>45341</v>
      </c>
      <c r="P275" s="18">
        <f t="shared" si="16"/>
        <v>3</v>
      </c>
      <c r="Q275" s="30" t="s">
        <v>720</v>
      </c>
      <c r="S275" s="19">
        <v>45341</v>
      </c>
      <c r="T275" s="18">
        <f t="shared" si="17"/>
        <v>3</v>
      </c>
      <c r="X275" s="18" t="s">
        <v>53</v>
      </c>
      <c r="Y275" s="18" t="s">
        <v>51</v>
      </c>
      <c r="AA275" s="18">
        <v>0</v>
      </c>
      <c r="AB275" s="18">
        <v>0</v>
      </c>
      <c r="AC275" s="18">
        <v>0</v>
      </c>
      <c r="AD275" s="18" t="s">
        <v>65</v>
      </c>
      <c r="AE275" s="18">
        <v>0</v>
      </c>
      <c r="AF275" s="18">
        <f t="shared" si="18"/>
        <v>3</v>
      </c>
      <c r="AG275" s="18" t="str">
        <f t="shared" si="19"/>
        <v>LOW</v>
      </c>
    </row>
    <row r="276" spans="1:33" x14ac:dyDescent="0.3">
      <c r="A276" s="66">
        <v>275</v>
      </c>
      <c r="B276" s="18" t="s">
        <v>2</v>
      </c>
      <c r="C276" s="18" t="s">
        <v>4</v>
      </c>
      <c r="D276" s="18" t="s">
        <v>10</v>
      </c>
      <c r="E276" s="29" t="s">
        <v>198</v>
      </c>
      <c r="F276" s="29" t="s">
        <v>368</v>
      </c>
      <c r="G276" s="18">
        <v>2</v>
      </c>
      <c r="H276" s="18">
        <v>1</v>
      </c>
      <c r="I276" s="18" t="s">
        <v>10</v>
      </c>
      <c r="J276" s="18" t="s">
        <v>10</v>
      </c>
      <c r="K276" s="68">
        <v>0</v>
      </c>
      <c r="L276" s="18">
        <v>0</v>
      </c>
      <c r="N276" s="19">
        <v>45338</v>
      </c>
      <c r="O276" s="19">
        <v>45341</v>
      </c>
      <c r="P276" s="18">
        <f t="shared" si="16"/>
        <v>3</v>
      </c>
      <c r="Q276" s="30" t="s">
        <v>721</v>
      </c>
      <c r="S276" s="19">
        <v>45341</v>
      </c>
      <c r="T276" s="18">
        <f t="shared" si="17"/>
        <v>3</v>
      </c>
      <c r="X276" s="18" t="s">
        <v>51</v>
      </c>
      <c r="Y276" s="18" t="s">
        <v>51</v>
      </c>
      <c r="AA276" s="18">
        <v>0</v>
      </c>
      <c r="AB276" s="18">
        <v>0</v>
      </c>
      <c r="AC276" s="18">
        <v>0</v>
      </c>
      <c r="AD276" s="18" t="s">
        <v>65</v>
      </c>
      <c r="AE276" s="18">
        <v>0</v>
      </c>
      <c r="AF276" s="18">
        <f t="shared" si="18"/>
        <v>3</v>
      </c>
      <c r="AG276" s="18" t="str">
        <f t="shared" si="19"/>
        <v>LOW</v>
      </c>
    </row>
    <row r="277" spans="1:33" x14ac:dyDescent="0.3">
      <c r="A277" s="66">
        <v>276</v>
      </c>
      <c r="B277" s="18" t="s">
        <v>2</v>
      </c>
      <c r="C277" s="18" t="s">
        <v>4</v>
      </c>
      <c r="D277" s="18" t="s">
        <v>74</v>
      </c>
      <c r="E277" s="29" t="s">
        <v>199</v>
      </c>
      <c r="F277" s="29" t="s">
        <v>369</v>
      </c>
      <c r="G277" s="18">
        <v>3</v>
      </c>
      <c r="H277" s="18">
        <v>2</v>
      </c>
      <c r="I277" s="18" t="s">
        <v>9</v>
      </c>
      <c r="J277" s="18" t="s">
        <v>63</v>
      </c>
      <c r="K277" s="68">
        <v>0</v>
      </c>
      <c r="L277" s="18">
        <v>0</v>
      </c>
      <c r="N277" s="19">
        <v>45338</v>
      </c>
      <c r="O277" s="19">
        <v>45341</v>
      </c>
      <c r="P277" s="18">
        <f t="shared" si="16"/>
        <v>3</v>
      </c>
      <c r="Q277" s="30" t="s">
        <v>722</v>
      </c>
      <c r="S277" s="19">
        <v>45341</v>
      </c>
      <c r="T277" s="18">
        <f t="shared" si="17"/>
        <v>3</v>
      </c>
      <c r="X277" s="18" t="s">
        <v>53</v>
      </c>
      <c r="Y277" s="18" t="s">
        <v>51</v>
      </c>
      <c r="AA277" s="18">
        <v>0</v>
      </c>
      <c r="AB277" s="18">
        <v>0</v>
      </c>
      <c r="AC277" s="18">
        <v>0</v>
      </c>
      <c r="AD277" s="18" t="s">
        <v>65</v>
      </c>
      <c r="AE277" s="18">
        <v>0</v>
      </c>
      <c r="AF277" s="18">
        <f t="shared" si="18"/>
        <v>5</v>
      </c>
      <c r="AG277" s="18" t="str">
        <f t="shared" si="19"/>
        <v>LOW</v>
      </c>
    </row>
    <row r="278" spans="1:33" x14ac:dyDescent="0.3">
      <c r="A278" s="66">
        <v>277</v>
      </c>
      <c r="B278" s="18" t="s">
        <v>2</v>
      </c>
      <c r="C278" s="18" t="s">
        <v>4</v>
      </c>
      <c r="D278" s="18" t="s">
        <v>91</v>
      </c>
      <c r="E278" s="29" t="s">
        <v>200</v>
      </c>
      <c r="F278" s="29" t="s">
        <v>370</v>
      </c>
      <c r="G278" s="18">
        <v>2</v>
      </c>
      <c r="H278" s="18">
        <v>1</v>
      </c>
      <c r="I278" s="18" t="s">
        <v>9</v>
      </c>
      <c r="J278" s="18" t="s">
        <v>63</v>
      </c>
      <c r="K278" s="68">
        <v>0</v>
      </c>
      <c r="L278" s="18">
        <v>0</v>
      </c>
      <c r="N278" s="19">
        <v>45341</v>
      </c>
      <c r="O278" s="19">
        <v>45341</v>
      </c>
      <c r="P278" s="18">
        <f t="shared" si="16"/>
        <v>0</v>
      </c>
      <c r="Q278" s="30" t="s">
        <v>723</v>
      </c>
      <c r="S278" s="19">
        <v>45341</v>
      </c>
      <c r="T278" s="18">
        <f t="shared" si="17"/>
        <v>0</v>
      </c>
      <c r="X278" s="18" t="s">
        <v>53</v>
      </c>
      <c r="Y278" s="18" t="s">
        <v>51</v>
      </c>
      <c r="AA278" s="18">
        <v>0</v>
      </c>
      <c r="AB278" s="18">
        <v>0</v>
      </c>
      <c r="AC278" s="18">
        <v>0</v>
      </c>
      <c r="AD278" s="18" t="s">
        <v>65</v>
      </c>
      <c r="AE278" s="18">
        <v>0</v>
      </c>
      <c r="AF278" s="18">
        <f t="shared" si="18"/>
        <v>3</v>
      </c>
      <c r="AG278" s="18" t="str">
        <f t="shared" si="19"/>
        <v>LOW</v>
      </c>
    </row>
    <row r="279" spans="1:33" x14ac:dyDescent="0.3">
      <c r="A279" s="66">
        <v>278</v>
      </c>
      <c r="B279" s="18" t="s">
        <v>1</v>
      </c>
      <c r="C279" s="18" t="s">
        <v>4</v>
      </c>
      <c r="D279" s="18" t="s">
        <v>76</v>
      </c>
      <c r="E279" s="29" t="s">
        <v>201</v>
      </c>
      <c r="F279" s="29" t="s">
        <v>369</v>
      </c>
      <c r="G279" s="18">
        <v>2</v>
      </c>
      <c r="H279" s="18">
        <v>2</v>
      </c>
      <c r="I279" s="18" t="s">
        <v>9</v>
      </c>
      <c r="J279" s="18" t="s">
        <v>63</v>
      </c>
      <c r="K279" s="68">
        <v>0</v>
      </c>
      <c r="L279" s="18">
        <v>0</v>
      </c>
      <c r="N279" s="19">
        <v>45341</v>
      </c>
      <c r="O279" s="19">
        <v>45341</v>
      </c>
      <c r="P279" s="18">
        <f t="shared" si="16"/>
        <v>0</v>
      </c>
      <c r="Q279" s="30" t="s">
        <v>724</v>
      </c>
      <c r="S279" s="19">
        <v>45341</v>
      </c>
      <c r="T279" s="18">
        <f t="shared" si="17"/>
        <v>0</v>
      </c>
      <c r="X279" s="18" t="s">
        <v>53</v>
      </c>
      <c r="Y279" s="18" t="s">
        <v>51</v>
      </c>
      <c r="AA279" s="18">
        <v>0</v>
      </c>
      <c r="AB279" s="18">
        <v>0</v>
      </c>
      <c r="AC279" s="18">
        <v>0</v>
      </c>
      <c r="AD279" s="18" t="s">
        <v>65</v>
      </c>
      <c r="AE279" s="18">
        <v>0</v>
      </c>
      <c r="AF279" s="18">
        <f t="shared" si="18"/>
        <v>4</v>
      </c>
      <c r="AG279" s="18" t="str">
        <f t="shared" si="19"/>
        <v>LOW</v>
      </c>
    </row>
    <row r="280" spans="1:33" x14ac:dyDescent="0.3">
      <c r="A280" s="66">
        <v>279</v>
      </c>
      <c r="B280" s="18" t="s">
        <v>2</v>
      </c>
      <c r="C280" s="18" t="s">
        <v>4</v>
      </c>
      <c r="D280" s="18" t="s">
        <v>10</v>
      </c>
      <c r="E280" s="29" t="s">
        <v>202</v>
      </c>
      <c r="F280" s="29" t="s">
        <v>117</v>
      </c>
      <c r="G280" s="18">
        <v>2</v>
      </c>
      <c r="H280" s="18">
        <v>1</v>
      </c>
      <c r="I280" s="18" t="s">
        <v>10</v>
      </c>
      <c r="J280" s="18" t="s">
        <v>10</v>
      </c>
      <c r="K280" s="68">
        <v>0</v>
      </c>
      <c r="L280" s="18">
        <v>0</v>
      </c>
      <c r="N280" s="19">
        <v>45341</v>
      </c>
      <c r="O280" s="19">
        <v>45341</v>
      </c>
      <c r="P280" s="18">
        <f t="shared" si="16"/>
        <v>0</v>
      </c>
      <c r="Q280" s="30" t="s">
        <v>725</v>
      </c>
      <c r="S280" s="19">
        <v>45341</v>
      </c>
      <c r="T280" s="18">
        <f t="shared" si="17"/>
        <v>0</v>
      </c>
      <c r="X280" s="18" t="s">
        <v>53</v>
      </c>
      <c r="Y280" s="18" t="s">
        <v>51</v>
      </c>
      <c r="AA280" s="18">
        <v>0</v>
      </c>
      <c r="AB280" s="18">
        <v>0</v>
      </c>
      <c r="AC280" s="18">
        <v>0</v>
      </c>
      <c r="AD280" s="18" t="s">
        <v>65</v>
      </c>
      <c r="AE280" s="18">
        <v>0</v>
      </c>
      <c r="AF280" s="18">
        <f t="shared" si="18"/>
        <v>3</v>
      </c>
      <c r="AG280" s="18" t="str">
        <f t="shared" si="19"/>
        <v>LOW</v>
      </c>
    </row>
    <row r="281" spans="1:33" x14ac:dyDescent="0.3">
      <c r="A281" s="66">
        <v>280</v>
      </c>
      <c r="B281" s="18" t="s">
        <v>2</v>
      </c>
      <c r="C281" s="18" t="s">
        <v>4</v>
      </c>
      <c r="D281" s="18" t="s">
        <v>74</v>
      </c>
      <c r="E281" s="29" t="s">
        <v>979</v>
      </c>
      <c r="F281" s="29" t="s">
        <v>323</v>
      </c>
      <c r="G281" s="18">
        <v>3</v>
      </c>
      <c r="H281" s="18">
        <v>3</v>
      </c>
      <c r="I281" s="18" t="s">
        <v>9</v>
      </c>
      <c r="J281" s="18" t="s">
        <v>451</v>
      </c>
      <c r="K281" s="68">
        <v>0</v>
      </c>
      <c r="L281" s="18">
        <v>0</v>
      </c>
      <c r="N281" s="19">
        <v>45341</v>
      </c>
      <c r="O281" s="19">
        <v>45342</v>
      </c>
      <c r="P281" s="18">
        <f t="shared" si="16"/>
        <v>1</v>
      </c>
      <c r="Q281" s="30" t="s">
        <v>726</v>
      </c>
      <c r="S281" s="19">
        <v>45352</v>
      </c>
      <c r="T281" s="18">
        <f t="shared" si="17"/>
        <v>1</v>
      </c>
      <c r="X281" s="18" t="s">
        <v>53</v>
      </c>
      <c r="Y281" s="18" t="s">
        <v>51</v>
      </c>
      <c r="AA281" s="18">
        <v>0</v>
      </c>
      <c r="AB281" s="18">
        <v>0</v>
      </c>
      <c r="AC281" s="18">
        <v>0</v>
      </c>
      <c r="AD281" s="18" t="s">
        <v>65</v>
      </c>
      <c r="AE281" s="18">
        <v>0</v>
      </c>
      <c r="AF281" s="18">
        <f t="shared" si="18"/>
        <v>6</v>
      </c>
      <c r="AG281" s="18" t="str">
        <f t="shared" si="19"/>
        <v>LOW</v>
      </c>
    </row>
    <row r="282" spans="1:33" ht="28.8" x14ac:dyDescent="0.3">
      <c r="A282" s="66">
        <v>281</v>
      </c>
      <c r="B282" s="18" t="s">
        <v>2</v>
      </c>
      <c r="C282" s="18" t="s">
        <v>4</v>
      </c>
      <c r="D282" s="18" t="s">
        <v>80</v>
      </c>
      <c r="E282" s="29" t="s">
        <v>203</v>
      </c>
      <c r="F282" s="29" t="s">
        <v>371</v>
      </c>
      <c r="G282" s="18">
        <v>2</v>
      </c>
      <c r="H282" s="18">
        <v>1</v>
      </c>
      <c r="I282" s="18" t="s">
        <v>9</v>
      </c>
      <c r="J282" s="18" t="s">
        <v>450</v>
      </c>
      <c r="K282" s="68">
        <v>0</v>
      </c>
      <c r="L282" s="18">
        <v>0</v>
      </c>
      <c r="N282" s="19">
        <v>45342</v>
      </c>
      <c r="O282" s="19">
        <v>45342</v>
      </c>
      <c r="P282" s="18">
        <f t="shared" si="16"/>
        <v>0</v>
      </c>
      <c r="Q282" s="30" t="s">
        <v>727</v>
      </c>
      <c r="S282" s="19">
        <v>45348</v>
      </c>
      <c r="T282" s="18">
        <f t="shared" si="17"/>
        <v>0</v>
      </c>
      <c r="X282" s="18" t="s">
        <v>53</v>
      </c>
      <c r="Y282" s="18" t="s">
        <v>51</v>
      </c>
      <c r="AA282" s="18">
        <v>0</v>
      </c>
      <c r="AB282" s="18">
        <v>0</v>
      </c>
      <c r="AC282" s="18">
        <v>0</v>
      </c>
      <c r="AD282" s="18" t="s">
        <v>65</v>
      </c>
      <c r="AE282" s="18">
        <v>0</v>
      </c>
      <c r="AF282" s="18">
        <f t="shared" si="18"/>
        <v>3</v>
      </c>
      <c r="AG282" s="18" t="str">
        <f t="shared" si="19"/>
        <v>LOW</v>
      </c>
    </row>
    <row r="283" spans="1:33" x14ac:dyDescent="0.3">
      <c r="A283" s="66">
        <v>282</v>
      </c>
      <c r="B283" s="18" t="s">
        <v>1</v>
      </c>
      <c r="C283" s="18" t="s">
        <v>4</v>
      </c>
      <c r="D283" s="18" t="s">
        <v>10</v>
      </c>
      <c r="E283" s="29" t="s">
        <v>204</v>
      </c>
      <c r="F283" s="29" t="s">
        <v>372</v>
      </c>
      <c r="G283" s="18">
        <v>2</v>
      </c>
      <c r="H283" s="18">
        <v>1</v>
      </c>
      <c r="I283" s="18" t="s">
        <v>10</v>
      </c>
      <c r="J283" s="18" t="s">
        <v>10</v>
      </c>
      <c r="K283" s="68">
        <v>0</v>
      </c>
      <c r="L283" s="18">
        <v>0</v>
      </c>
      <c r="M283" s="18">
        <v>36</v>
      </c>
      <c r="N283" s="19">
        <v>45342</v>
      </c>
      <c r="O283" s="19">
        <v>45342</v>
      </c>
      <c r="P283" s="18">
        <f t="shared" si="16"/>
        <v>0</v>
      </c>
      <c r="Q283" s="30" t="s">
        <v>728</v>
      </c>
      <c r="S283" s="19">
        <v>45342</v>
      </c>
      <c r="T283" s="18">
        <f t="shared" si="17"/>
        <v>0</v>
      </c>
      <c r="X283" s="18" t="s">
        <v>53</v>
      </c>
      <c r="Y283" s="18" t="s">
        <v>53</v>
      </c>
      <c r="AA283" s="18">
        <v>0</v>
      </c>
      <c r="AB283" s="18">
        <v>0</v>
      </c>
      <c r="AC283" s="18">
        <v>0</v>
      </c>
      <c r="AD283" s="18" t="s">
        <v>65</v>
      </c>
      <c r="AE283" s="18">
        <v>0</v>
      </c>
      <c r="AF283" s="18">
        <f t="shared" si="18"/>
        <v>3</v>
      </c>
      <c r="AG283" s="18" t="str">
        <f t="shared" si="19"/>
        <v>LOW</v>
      </c>
    </row>
    <row r="284" spans="1:33" x14ac:dyDescent="0.3">
      <c r="A284" s="66">
        <v>283</v>
      </c>
      <c r="B284" s="18" t="s">
        <v>1</v>
      </c>
      <c r="C284" s="18" t="s">
        <v>4</v>
      </c>
      <c r="D284" s="18" t="s">
        <v>72</v>
      </c>
      <c r="E284" s="29" t="s">
        <v>205</v>
      </c>
      <c r="F284" s="29" t="s">
        <v>373</v>
      </c>
      <c r="G284" s="18">
        <v>2</v>
      </c>
      <c r="H284" s="18">
        <v>1</v>
      </c>
      <c r="I284" s="18" t="s">
        <v>9</v>
      </c>
      <c r="J284" s="18" t="s">
        <v>63</v>
      </c>
      <c r="K284" s="68">
        <v>0</v>
      </c>
      <c r="L284" s="18">
        <v>0</v>
      </c>
      <c r="M284" s="18">
        <v>36</v>
      </c>
      <c r="N284" s="19">
        <v>45342</v>
      </c>
      <c r="O284" s="19">
        <v>45342</v>
      </c>
      <c r="P284" s="18">
        <f t="shared" si="16"/>
        <v>0</v>
      </c>
      <c r="Q284" s="30" t="s">
        <v>729</v>
      </c>
      <c r="S284" s="19">
        <v>45342</v>
      </c>
      <c r="T284" s="18">
        <f t="shared" si="17"/>
        <v>0</v>
      </c>
      <c r="X284" s="18" t="s">
        <v>53</v>
      </c>
      <c r="Y284" s="18" t="s">
        <v>53</v>
      </c>
      <c r="AA284" s="18">
        <v>0</v>
      </c>
      <c r="AB284" s="18">
        <v>0</v>
      </c>
      <c r="AC284" s="18">
        <v>0</v>
      </c>
      <c r="AD284" s="18" t="s">
        <v>65</v>
      </c>
      <c r="AE284" s="18">
        <v>0</v>
      </c>
      <c r="AF284" s="18">
        <f t="shared" si="18"/>
        <v>3</v>
      </c>
      <c r="AG284" s="18" t="str">
        <f t="shared" si="19"/>
        <v>LOW</v>
      </c>
    </row>
    <row r="285" spans="1:33" x14ac:dyDescent="0.3">
      <c r="A285" s="66">
        <v>284</v>
      </c>
      <c r="B285" s="18" t="s">
        <v>2</v>
      </c>
      <c r="C285" s="18" t="s">
        <v>4</v>
      </c>
      <c r="D285" s="18" t="s">
        <v>74</v>
      </c>
      <c r="E285" s="29" t="s">
        <v>206</v>
      </c>
      <c r="F285" s="29" t="s">
        <v>374</v>
      </c>
      <c r="G285" s="18">
        <v>2</v>
      </c>
      <c r="H285" s="18">
        <v>2</v>
      </c>
      <c r="I285" s="18" t="s">
        <v>9</v>
      </c>
      <c r="J285" s="18" t="s">
        <v>452</v>
      </c>
      <c r="K285" s="68">
        <v>0</v>
      </c>
      <c r="L285" s="18">
        <v>0</v>
      </c>
      <c r="N285" s="19">
        <v>45343</v>
      </c>
      <c r="O285" s="19">
        <v>45343</v>
      </c>
      <c r="P285" s="18">
        <f t="shared" si="16"/>
        <v>0</v>
      </c>
      <c r="Q285" s="30" t="s">
        <v>730</v>
      </c>
      <c r="S285" s="19">
        <v>45343</v>
      </c>
      <c r="T285" s="18">
        <f t="shared" si="17"/>
        <v>0</v>
      </c>
      <c r="X285" s="18" t="s">
        <v>53</v>
      </c>
      <c r="Y285" s="18" t="s">
        <v>51</v>
      </c>
      <c r="AA285" s="18">
        <v>0</v>
      </c>
      <c r="AB285" s="18">
        <v>0</v>
      </c>
      <c r="AC285" s="18">
        <v>0</v>
      </c>
      <c r="AD285" s="18" t="s">
        <v>65</v>
      </c>
      <c r="AE285" s="18">
        <v>0</v>
      </c>
      <c r="AF285" s="18">
        <f t="shared" si="18"/>
        <v>4</v>
      </c>
      <c r="AG285" s="18" t="str">
        <f t="shared" si="19"/>
        <v>LOW</v>
      </c>
    </row>
    <row r="286" spans="1:33" x14ac:dyDescent="0.3">
      <c r="A286" s="66">
        <v>285</v>
      </c>
      <c r="B286" s="18" t="s">
        <v>1</v>
      </c>
      <c r="C286" s="18" t="s">
        <v>4</v>
      </c>
      <c r="D286" s="18" t="s">
        <v>72</v>
      </c>
      <c r="E286" s="29" t="s">
        <v>207</v>
      </c>
      <c r="F286" s="29" t="s">
        <v>375</v>
      </c>
      <c r="G286" s="18">
        <v>2</v>
      </c>
      <c r="H286" s="18">
        <v>1</v>
      </c>
      <c r="I286" s="18" t="s">
        <v>9</v>
      </c>
      <c r="J286" s="18" t="s">
        <v>452</v>
      </c>
      <c r="K286" s="68">
        <v>0</v>
      </c>
      <c r="L286" s="18">
        <v>0</v>
      </c>
      <c r="M286" s="18">
        <v>36</v>
      </c>
      <c r="N286" s="19">
        <v>45343</v>
      </c>
      <c r="O286" s="19">
        <v>45343</v>
      </c>
      <c r="P286" s="18">
        <f t="shared" si="16"/>
        <v>0</v>
      </c>
      <c r="Q286" s="30" t="s">
        <v>731</v>
      </c>
      <c r="S286" s="19">
        <v>45343</v>
      </c>
      <c r="T286" s="18">
        <f t="shared" si="17"/>
        <v>0</v>
      </c>
      <c r="X286" s="18" t="s">
        <v>51</v>
      </c>
      <c r="Y286" s="18" t="s">
        <v>51</v>
      </c>
      <c r="AA286" s="18">
        <v>0</v>
      </c>
      <c r="AB286" s="18">
        <v>0</v>
      </c>
      <c r="AC286" s="18">
        <v>0</v>
      </c>
      <c r="AD286" s="18" t="s">
        <v>65</v>
      </c>
      <c r="AE286" s="18">
        <v>0</v>
      </c>
      <c r="AF286" s="18">
        <f t="shared" si="18"/>
        <v>3</v>
      </c>
      <c r="AG286" s="18" t="str">
        <f t="shared" si="19"/>
        <v>LOW</v>
      </c>
    </row>
    <row r="287" spans="1:33" x14ac:dyDescent="0.3">
      <c r="A287" s="66">
        <v>286</v>
      </c>
      <c r="B287" s="18" t="s">
        <v>2</v>
      </c>
      <c r="C287" s="18" t="s">
        <v>4</v>
      </c>
      <c r="D287" s="18" t="s">
        <v>74</v>
      </c>
      <c r="E287" s="29" t="s">
        <v>980</v>
      </c>
      <c r="F287" s="29" t="s">
        <v>376</v>
      </c>
      <c r="G287" s="18">
        <v>2</v>
      </c>
      <c r="H287" s="18">
        <v>3</v>
      </c>
      <c r="I287" s="18" t="s">
        <v>9</v>
      </c>
      <c r="J287" s="18" t="s">
        <v>452</v>
      </c>
      <c r="K287" s="68">
        <v>0</v>
      </c>
      <c r="L287" s="18">
        <v>0</v>
      </c>
      <c r="N287" s="19">
        <v>45343</v>
      </c>
      <c r="O287" s="19">
        <v>45343</v>
      </c>
      <c r="P287" s="18">
        <f t="shared" si="16"/>
        <v>0</v>
      </c>
      <c r="Q287" s="30" t="s">
        <v>732</v>
      </c>
      <c r="S287" s="19">
        <v>45343</v>
      </c>
      <c r="T287" s="18">
        <f t="shared" si="17"/>
        <v>0</v>
      </c>
      <c r="X287" s="18" t="s">
        <v>53</v>
      </c>
      <c r="Y287" s="18" t="s">
        <v>51</v>
      </c>
      <c r="AA287" s="18">
        <v>0</v>
      </c>
      <c r="AB287" s="18">
        <v>0</v>
      </c>
      <c r="AC287" s="18">
        <v>0</v>
      </c>
      <c r="AD287" s="18" t="s">
        <v>65</v>
      </c>
      <c r="AE287" s="18">
        <v>0</v>
      </c>
      <c r="AF287" s="18">
        <f t="shared" si="18"/>
        <v>5</v>
      </c>
      <c r="AG287" s="18" t="str">
        <f t="shared" si="19"/>
        <v>LOW</v>
      </c>
    </row>
    <row r="288" spans="1:33" x14ac:dyDescent="0.3">
      <c r="A288" s="66">
        <v>287</v>
      </c>
      <c r="B288" s="18" t="s">
        <v>2</v>
      </c>
      <c r="C288" s="18" t="s">
        <v>4</v>
      </c>
      <c r="D288" s="18" t="s">
        <v>71</v>
      </c>
      <c r="E288" s="29" t="s">
        <v>208</v>
      </c>
      <c r="F288" s="29" t="s">
        <v>377</v>
      </c>
      <c r="G288" s="18">
        <v>2</v>
      </c>
      <c r="H288" s="18">
        <v>3</v>
      </c>
      <c r="I288" s="18" t="s">
        <v>9</v>
      </c>
      <c r="J288" s="18" t="s">
        <v>452</v>
      </c>
      <c r="K288" s="68">
        <v>0</v>
      </c>
      <c r="L288" s="18">
        <v>0</v>
      </c>
      <c r="N288" s="19">
        <v>45343</v>
      </c>
      <c r="O288" s="19">
        <v>45343</v>
      </c>
      <c r="P288" s="18">
        <f t="shared" si="16"/>
        <v>0</v>
      </c>
      <c r="Q288" s="30" t="s">
        <v>733</v>
      </c>
      <c r="S288" s="19">
        <v>45343</v>
      </c>
      <c r="T288" s="18">
        <f t="shared" si="17"/>
        <v>0</v>
      </c>
      <c r="X288" s="18" t="s">
        <v>53</v>
      </c>
      <c r="Y288" s="18" t="s">
        <v>51</v>
      </c>
      <c r="AA288" s="18">
        <v>0</v>
      </c>
      <c r="AB288" s="18">
        <v>0</v>
      </c>
      <c r="AC288" s="18">
        <v>0</v>
      </c>
      <c r="AD288" s="18" t="s">
        <v>65</v>
      </c>
      <c r="AE288" s="18">
        <v>0</v>
      </c>
      <c r="AF288" s="18">
        <f t="shared" si="18"/>
        <v>5</v>
      </c>
      <c r="AG288" s="18" t="str">
        <f t="shared" si="19"/>
        <v>LOW</v>
      </c>
    </row>
    <row r="289" spans="1:33" x14ac:dyDescent="0.3">
      <c r="A289" s="66">
        <v>288</v>
      </c>
      <c r="B289" s="18" t="s">
        <v>2</v>
      </c>
      <c r="C289" s="18" t="s">
        <v>4</v>
      </c>
      <c r="D289" s="18" t="s">
        <v>76</v>
      </c>
      <c r="E289" s="29" t="s">
        <v>209</v>
      </c>
      <c r="F289" s="29" t="s">
        <v>378</v>
      </c>
      <c r="G289" s="18">
        <v>2</v>
      </c>
      <c r="H289" s="18">
        <v>1</v>
      </c>
      <c r="I289" s="18" t="s">
        <v>9</v>
      </c>
      <c r="J289" s="18" t="s">
        <v>63</v>
      </c>
      <c r="K289" s="68">
        <v>0</v>
      </c>
      <c r="L289" s="18">
        <v>0</v>
      </c>
      <c r="N289" s="19">
        <v>45343</v>
      </c>
      <c r="O289" s="19">
        <v>45343</v>
      </c>
      <c r="P289" s="18">
        <f t="shared" si="16"/>
        <v>0</v>
      </c>
      <c r="Q289" s="30" t="s">
        <v>734</v>
      </c>
      <c r="S289" s="19">
        <v>45343</v>
      </c>
      <c r="T289" s="18">
        <f t="shared" si="17"/>
        <v>0</v>
      </c>
      <c r="X289" s="18" t="s">
        <v>53</v>
      </c>
      <c r="Y289" s="18" t="s">
        <v>51</v>
      </c>
      <c r="AA289" s="18">
        <v>0</v>
      </c>
      <c r="AB289" s="18">
        <v>0</v>
      </c>
      <c r="AC289" s="18">
        <v>0</v>
      </c>
      <c r="AD289" s="18" t="s">
        <v>65</v>
      </c>
      <c r="AE289" s="18">
        <v>0</v>
      </c>
      <c r="AF289" s="18">
        <f t="shared" si="18"/>
        <v>3</v>
      </c>
      <c r="AG289" s="18" t="str">
        <f t="shared" si="19"/>
        <v>LOW</v>
      </c>
    </row>
    <row r="290" spans="1:33" x14ac:dyDescent="0.3">
      <c r="A290" s="66">
        <v>289</v>
      </c>
      <c r="B290" s="18" t="s">
        <v>2</v>
      </c>
      <c r="C290" s="18" t="s">
        <v>4</v>
      </c>
      <c r="D290" s="18" t="s">
        <v>74</v>
      </c>
      <c r="E290" s="29" t="s">
        <v>210</v>
      </c>
      <c r="F290" s="29" t="s">
        <v>379</v>
      </c>
      <c r="G290" s="18">
        <v>1</v>
      </c>
      <c r="H290" s="18">
        <v>1</v>
      </c>
      <c r="I290" s="18" t="s">
        <v>11</v>
      </c>
      <c r="J290" s="18" t="s">
        <v>11</v>
      </c>
      <c r="K290" s="68">
        <v>0</v>
      </c>
      <c r="L290" s="18">
        <v>0</v>
      </c>
      <c r="N290" s="19">
        <v>45343</v>
      </c>
      <c r="O290" s="19">
        <v>45343</v>
      </c>
      <c r="P290" s="18">
        <f t="shared" si="16"/>
        <v>0</v>
      </c>
      <c r="Q290" s="30" t="s">
        <v>735</v>
      </c>
      <c r="S290" s="19">
        <v>45343</v>
      </c>
      <c r="T290" s="18">
        <f t="shared" si="17"/>
        <v>0</v>
      </c>
      <c r="X290" s="18" t="s">
        <v>51</v>
      </c>
      <c r="Y290" s="18" t="s">
        <v>51</v>
      </c>
      <c r="AA290" s="18">
        <v>0</v>
      </c>
      <c r="AB290" s="18">
        <v>0</v>
      </c>
      <c r="AC290" s="18">
        <v>0</v>
      </c>
      <c r="AD290" s="18" t="s">
        <v>65</v>
      </c>
      <c r="AE290" s="18">
        <v>0</v>
      </c>
      <c r="AF290" s="18">
        <f t="shared" si="18"/>
        <v>2</v>
      </c>
      <c r="AG290" s="18" t="str">
        <f t="shared" si="19"/>
        <v>LOW</v>
      </c>
    </row>
    <row r="291" spans="1:33" x14ac:dyDescent="0.3">
      <c r="A291" s="66">
        <v>290</v>
      </c>
      <c r="B291" s="18" t="s">
        <v>1</v>
      </c>
      <c r="C291" s="18" t="s">
        <v>4</v>
      </c>
      <c r="D291" s="18" t="s">
        <v>76</v>
      </c>
      <c r="E291" s="29" t="s">
        <v>211</v>
      </c>
      <c r="F291" s="29" t="s">
        <v>380</v>
      </c>
      <c r="G291" s="18">
        <v>2</v>
      </c>
      <c r="H291" s="18">
        <v>1</v>
      </c>
      <c r="I291" s="18" t="s">
        <v>9</v>
      </c>
      <c r="J291" s="18" t="s">
        <v>63</v>
      </c>
      <c r="K291" s="68">
        <v>0</v>
      </c>
      <c r="L291" s="18">
        <v>0</v>
      </c>
      <c r="N291" s="19">
        <v>45344</v>
      </c>
      <c r="O291" s="19">
        <v>45344</v>
      </c>
      <c r="P291" s="18">
        <f t="shared" si="16"/>
        <v>0</v>
      </c>
      <c r="Q291" s="30" t="s">
        <v>736</v>
      </c>
      <c r="S291" s="19">
        <v>45351</v>
      </c>
      <c r="T291" s="18">
        <f t="shared" si="17"/>
        <v>0</v>
      </c>
      <c r="X291" s="18" t="s">
        <v>53</v>
      </c>
      <c r="Y291" s="18" t="s">
        <v>51</v>
      </c>
      <c r="AA291" s="18">
        <v>0</v>
      </c>
      <c r="AB291" s="18">
        <v>0</v>
      </c>
      <c r="AC291" s="18">
        <v>0</v>
      </c>
      <c r="AD291" s="18" t="s">
        <v>65</v>
      </c>
      <c r="AE291" s="18">
        <v>0</v>
      </c>
      <c r="AF291" s="18">
        <f t="shared" si="18"/>
        <v>3</v>
      </c>
      <c r="AG291" s="18" t="str">
        <f t="shared" si="19"/>
        <v>LOW</v>
      </c>
    </row>
    <row r="292" spans="1:33" x14ac:dyDescent="0.3">
      <c r="A292" s="66">
        <v>291</v>
      </c>
      <c r="B292" s="18" t="s">
        <v>2</v>
      </c>
      <c r="C292" s="18" t="s">
        <v>4</v>
      </c>
      <c r="D292" s="18" t="s">
        <v>72</v>
      </c>
      <c r="E292" s="29" t="s">
        <v>171</v>
      </c>
      <c r="F292" s="29" t="s">
        <v>381</v>
      </c>
      <c r="G292" s="18">
        <v>2</v>
      </c>
      <c r="H292" s="18">
        <v>1</v>
      </c>
      <c r="I292" s="18" t="s">
        <v>9</v>
      </c>
      <c r="J292" s="18" t="s">
        <v>63</v>
      </c>
      <c r="K292" s="68">
        <v>0</v>
      </c>
      <c r="L292" s="18">
        <v>0</v>
      </c>
      <c r="N292" s="19">
        <v>45344</v>
      </c>
      <c r="O292" s="19">
        <v>45344</v>
      </c>
      <c r="P292" s="18">
        <f t="shared" si="16"/>
        <v>0</v>
      </c>
      <c r="Q292" s="30" t="s">
        <v>723</v>
      </c>
      <c r="S292" s="19">
        <v>45344</v>
      </c>
      <c r="T292" s="18">
        <f t="shared" si="17"/>
        <v>0</v>
      </c>
      <c r="X292" s="18" t="s">
        <v>51</v>
      </c>
      <c r="Y292" s="18" t="s">
        <v>51</v>
      </c>
      <c r="AA292" s="18">
        <v>0</v>
      </c>
      <c r="AB292" s="18">
        <v>0</v>
      </c>
      <c r="AC292" s="18">
        <v>0</v>
      </c>
      <c r="AD292" s="18" t="s">
        <v>65</v>
      </c>
      <c r="AE292" s="18">
        <v>0</v>
      </c>
      <c r="AF292" s="18">
        <f t="shared" si="18"/>
        <v>3</v>
      </c>
      <c r="AG292" s="18" t="str">
        <f t="shared" si="19"/>
        <v>LOW</v>
      </c>
    </row>
    <row r="293" spans="1:33" ht="43.2" x14ac:dyDescent="0.3">
      <c r="A293" s="66">
        <v>292</v>
      </c>
      <c r="B293" s="18" t="s">
        <v>2</v>
      </c>
      <c r="C293" s="18" t="s">
        <v>5</v>
      </c>
      <c r="D293" s="18" t="s">
        <v>77</v>
      </c>
      <c r="E293" s="29" t="s">
        <v>212</v>
      </c>
      <c r="F293" s="29" t="s">
        <v>382</v>
      </c>
      <c r="G293" s="18">
        <v>2</v>
      </c>
      <c r="H293" s="18">
        <v>1</v>
      </c>
      <c r="I293" s="18" t="s">
        <v>9</v>
      </c>
      <c r="J293" s="18" t="s">
        <v>452</v>
      </c>
      <c r="K293" s="68">
        <v>0</v>
      </c>
      <c r="L293" s="18">
        <v>0</v>
      </c>
      <c r="M293" s="18">
        <v>24</v>
      </c>
      <c r="N293" s="19">
        <v>45344</v>
      </c>
      <c r="O293" s="19">
        <v>45344</v>
      </c>
      <c r="P293" s="18">
        <f t="shared" si="16"/>
        <v>0</v>
      </c>
      <c r="Q293" s="30" t="s">
        <v>737</v>
      </c>
      <c r="S293" s="19">
        <v>45345</v>
      </c>
      <c r="T293" s="18">
        <f t="shared" si="17"/>
        <v>0</v>
      </c>
      <c r="X293" s="18" t="s">
        <v>51</v>
      </c>
      <c r="Y293" s="18" t="s">
        <v>51</v>
      </c>
      <c r="AA293" s="18">
        <v>0</v>
      </c>
      <c r="AB293" s="18">
        <v>0</v>
      </c>
      <c r="AC293" s="18">
        <v>0</v>
      </c>
      <c r="AD293" s="18" t="s">
        <v>65</v>
      </c>
      <c r="AE293" s="18">
        <v>0</v>
      </c>
      <c r="AF293" s="18">
        <f t="shared" si="18"/>
        <v>3</v>
      </c>
      <c r="AG293" s="18" t="str">
        <f t="shared" si="19"/>
        <v>LOW</v>
      </c>
    </row>
    <row r="294" spans="1:33" ht="28.8" x14ac:dyDescent="0.3">
      <c r="A294" s="66">
        <v>293</v>
      </c>
      <c r="B294" s="18" t="s">
        <v>1</v>
      </c>
      <c r="C294" s="18" t="s">
        <v>5</v>
      </c>
      <c r="D294" s="18" t="s">
        <v>60</v>
      </c>
      <c r="E294" s="29" t="s">
        <v>159</v>
      </c>
      <c r="F294" s="29" t="s">
        <v>349</v>
      </c>
      <c r="G294" s="18">
        <v>2</v>
      </c>
      <c r="H294" s="18">
        <v>1</v>
      </c>
      <c r="I294" s="18" t="s">
        <v>9</v>
      </c>
      <c r="J294" s="18" t="s">
        <v>63</v>
      </c>
      <c r="K294" s="68" t="s">
        <v>457</v>
      </c>
      <c r="L294" s="18">
        <v>0</v>
      </c>
      <c r="M294" s="18">
        <v>24</v>
      </c>
      <c r="N294" s="19">
        <v>45284</v>
      </c>
      <c r="O294" s="19">
        <v>45301</v>
      </c>
      <c r="P294" s="18">
        <f t="shared" si="16"/>
        <v>17</v>
      </c>
      <c r="Q294" s="30" t="s">
        <v>738</v>
      </c>
      <c r="S294" s="19">
        <v>45338</v>
      </c>
      <c r="T294" s="18">
        <f t="shared" si="17"/>
        <v>17</v>
      </c>
      <c r="X294" s="18" t="s">
        <v>53</v>
      </c>
      <c r="Y294" s="18" t="s">
        <v>51</v>
      </c>
      <c r="Z294" s="18" t="s">
        <v>66</v>
      </c>
      <c r="AA294" s="18">
        <v>0</v>
      </c>
      <c r="AB294" s="18">
        <v>0</v>
      </c>
      <c r="AC294" s="18">
        <v>0</v>
      </c>
      <c r="AD294" s="18" t="s">
        <v>65</v>
      </c>
      <c r="AE294" s="18">
        <v>0</v>
      </c>
      <c r="AF294" s="18">
        <f t="shared" si="18"/>
        <v>3</v>
      </c>
      <c r="AG294" s="18" t="str">
        <f t="shared" si="19"/>
        <v>LOW</v>
      </c>
    </row>
    <row r="295" spans="1:33" ht="28.8" x14ac:dyDescent="0.3">
      <c r="A295" s="66">
        <v>294</v>
      </c>
      <c r="B295" s="18" t="s">
        <v>1</v>
      </c>
      <c r="C295" s="18" t="s">
        <v>5</v>
      </c>
      <c r="D295" s="18" t="s">
        <v>92</v>
      </c>
      <c r="E295" s="29" t="s">
        <v>213</v>
      </c>
      <c r="F295" s="29" t="s">
        <v>383</v>
      </c>
      <c r="G295" s="18">
        <v>2</v>
      </c>
      <c r="H295" s="18">
        <v>1</v>
      </c>
      <c r="I295" s="18" t="s">
        <v>9</v>
      </c>
      <c r="J295" s="18" t="s">
        <v>450</v>
      </c>
      <c r="K295" s="68">
        <v>0</v>
      </c>
      <c r="L295" s="18">
        <v>0</v>
      </c>
      <c r="N295" s="19">
        <v>45337</v>
      </c>
      <c r="O295" s="19">
        <v>45338</v>
      </c>
      <c r="P295" s="18">
        <f t="shared" si="16"/>
        <v>1</v>
      </c>
      <c r="Q295" s="30" t="s">
        <v>739</v>
      </c>
      <c r="S295" s="19">
        <v>45338</v>
      </c>
      <c r="T295" s="18">
        <f t="shared" si="17"/>
        <v>1</v>
      </c>
      <c r="X295" s="18" t="s">
        <v>53</v>
      </c>
      <c r="Y295" s="18" t="s">
        <v>51</v>
      </c>
      <c r="AA295" s="18">
        <v>0</v>
      </c>
      <c r="AB295" s="18">
        <v>0</v>
      </c>
      <c r="AC295" s="18">
        <v>0</v>
      </c>
      <c r="AD295" s="18" t="s">
        <v>65</v>
      </c>
      <c r="AE295" s="18">
        <v>0</v>
      </c>
      <c r="AF295" s="18">
        <f t="shared" si="18"/>
        <v>3</v>
      </c>
      <c r="AG295" s="18" t="str">
        <f t="shared" si="19"/>
        <v>LOW</v>
      </c>
    </row>
    <row r="296" spans="1:33" ht="43.2" x14ac:dyDescent="0.3">
      <c r="A296" s="66">
        <v>295</v>
      </c>
      <c r="B296" s="18" t="s">
        <v>1</v>
      </c>
      <c r="C296" s="18" t="s">
        <v>5</v>
      </c>
      <c r="D296" s="18" t="s">
        <v>92</v>
      </c>
      <c r="E296" s="29" t="s">
        <v>213</v>
      </c>
      <c r="F296" s="29" t="s">
        <v>192</v>
      </c>
      <c r="G296" s="18">
        <v>2</v>
      </c>
      <c r="H296" s="18">
        <v>1</v>
      </c>
      <c r="I296" s="18" t="s">
        <v>9</v>
      </c>
      <c r="J296" s="18" t="s">
        <v>450</v>
      </c>
      <c r="K296" s="68">
        <v>0</v>
      </c>
      <c r="L296" s="18">
        <v>0</v>
      </c>
      <c r="N296" s="19">
        <v>45337</v>
      </c>
      <c r="O296" s="19">
        <v>45338</v>
      </c>
      <c r="P296" s="18">
        <f t="shared" si="16"/>
        <v>1</v>
      </c>
      <c r="Q296" s="30" t="s">
        <v>740</v>
      </c>
      <c r="S296" s="19">
        <v>45343</v>
      </c>
      <c r="T296" s="18">
        <f t="shared" si="17"/>
        <v>1</v>
      </c>
      <c r="X296" s="18" t="s">
        <v>53</v>
      </c>
      <c r="Y296" s="18" t="s">
        <v>51</v>
      </c>
      <c r="AA296" s="18">
        <v>0</v>
      </c>
      <c r="AB296" s="18">
        <v>0</v>
      </c>
      <c r="AC296" s="18">
        <v>0</v>
      </c>
      <c r="AD296" s="18" t="s">
        <v>65</v>
      </c>
      <c r="AE296" s="18">
        <v>0</v>
      </c>
      <c r="AF296" s="18">
        <f t="shared" si="18"/>
        <v>3</v>
      </c>
      <c r="AG296" s="18" t="str">
        <f t="shared" si="19"/>
        <v>LOW</v>
      </c>
    </row>
    <row r="297" spans="1:33" x14ac:dyDescent="0.3">
      <c r="A297" s="66">
        <v>296</v>
      </c>
      <c r="B297" s="18" t="s">
        <v>1</v>
      </c>
      <c r="C297" s="18" t="s">
        <v>5</v>
      </c>
      <c r="D297" s="18" t="s">
        <v>93</v>
      </c>
      <c r="E297" s="29" t="s">
        <v>159</v>
      </c>
      <c r="F297" s="29" t="s">
        <v>187</v>
      </c>
      <c r="G297" s="18">
        <v>2</v>
      </c>
      <c r="H297" s="18">
        <v>1</v>
      </c>
      <c r="I297" s="18" t="s">
        <v>9</v>
      </c>
      <c r="J297" s="18" t="s">
        <v>451</v>
      </c>
      <c r="K297" s="68">
        <v>300366</v>
      </c>
      <c r="L297" s="18">
        <v>3</v>
      </c>
      <c r="M297" s="18">
        <v>24</v>
      </c>
      <c r="N297" s="19">
        <v>45330</v>
      </c>
      <c r="O297" s="19">
        <v>45331</v>
      </c>
      <c r="P297" s="18">
        <f t="shared" si="16"/>
        <v>1</v>
      </c>
      <c r="Q297" s="30" t="s">
        <v>741</v>
      </c>
      <c r="S297" s="19">
        <v>45338</v>
      </c>
      <c r="T297" s="18">
        <f t="shared" si="17"/>
        <v>1</v>
      </c>
      <c r="X297" s="18" t="s">
        <v>53</v>
      </c>
      <c r="Y297" s="18" t="s">
        <v>51</v>
      </c>
      <c r="Z297" s="18" t="s">
        <v>66</v>
      </c>
      <c r="AA297" s="18">
        <v>0</v>
      </c>
      <c r="AB297" s="18">
        <v>0</v>
      </c>
      <c r="AC297" s="18">
        <v>0</v>
      </c>
      <c r="AD297" s="18" t="s">
        <v>65</v>
      </c>
      <c r="AE297" s="18">
        <v>0</v>
      </c>
      <c r="AF297" s="18">
        <f t="shared" si="18"/>
        <v>6</v>
      </c>
      <c r="AG297" s="18" t="str">
        <f t="shared" si="19"/>
        <v>LOW</v>
      </c>
    </row>
    <row r="298" spans="1:33" ht="43.2" x14ac:dyDescent="0.3">
      <c r="A298" s="66">
        <v>297</v>
      </c>
      <c r="B298" s="18" t="s">
        <v>1</v>
      </c>
      <c r="C298" s="18" t="s">
        <v>5</v>
      </c>
      <c r="D298" s="18" t="s">
        <v>60</v>
      </c>
      <c r="E298" s="29" t="s">
        <v>159</v>
      </c>
      <c r="F298" s="29" t="s">
        <v>384</v>
      </c>
      <c r="G298" s="18">
        <v>2</v>
      </c>
      <c r="H298" s="18">
        <v>1</v>
      </c>
      <c r="I298" s="18" t="s">
        <v>9</v>
      </c>
      <c r="J298" s="18" t="s">
        <v>63</v>
      </c>
      <c r="K298" s="68" t="s">
        <v>456</v>
      </c>
      <c r="L298" s="18">
        <v>0</v>
      </c>
      <c r="M298" s="18">
        <v>12</v>
      </c>
      <c r="N298" s="19">
        <v>45337</v>
      </c>
      <c r="O298" s="19">
        <v>45338</v>
      </c>
      <c r="P298" s="18">
        <f t="shared" si="16"/>
        <v>1</v>
      </c>
      <c r="Q298" s="30" t="s">
        <v>742</v>
      </c>
      <c r="S298" s="19">
        <v>45343</v>
      </c>
      <c r="T298" s="18">
        <f t="shared" si="17"/>
        <v>1</v>
      </c>
      <c r="X298" s="18" t="s">
        <v>51</v>
      </c>
      <c r="Y298" s="18" t="s">
        <v>51</v>
      </c>
      <c r="AA298" s="18">
        <v>0</v>
      </c>
      <c r="AB298" s="18">
        <v>0</v>
      </c>
      <c r="AC298" s="18">
        <v>0</v>
      </c>
      <c r="AD298" s="18" t="s">
        <v>65</v>
      </c>
      <c r="AE298" s="18">
        <v>0</v>
      </c>
      <c r="AF298" s="18">
        <f t="shared" si="18"/>
        <v>3</v>
      </c>
      <c r="AG298" s="18" t="str">
        <f t="shared" si="19"/>
        <v>LOW</v>
      </c>
    </row>
    <row r="299" spans="1:33" x14ac:dyDescent="0.3">
      <c r="A299" s="66">
        <v>298</v>
      </c>
      <c r="B299" s="18" t="s">
        <v>1</v>
      </c>
      <c r="C299" s="18" t="s">
        <v>5</v>
      </c>
      <c r="D299" s="18" t="s">
        <v>60</v>
      </c>
      <c r="E299" s="29" t="s">
        <v>117</v>
      </c>
      <c r="F299" s="29" t="s">
        <v>385</v>
      </c>
      <c r="G299" s="18">
        <v>2</v>
      </c>
      <c r="H299" s="18">
        <v>1</v>
      </c>
      <c r="I299" s="18" t="s">
        <v>9</v>
      </c>
      <c r="J299" s="18" t="s">
        <v>63</v>
      </c>
      <c r="K299" s="68">
        <v>0</v>
      </c>
      <c r="L299" s="18">
        <v>0</v>
      </c>
      <c r="M299" s="18">
        <v>24</v>
      </c>
      <c r="N299" s="19">
        <v>45338</v>
      </c>
      <c r="O299" s="19">
        <v>45338</v>
      </c>
      <c r="P299" s="18">
        <f t="shared" si="16"/>
        <v>0</v>
      </c>
      <c r="Q299" s="30" t="s">
        <v>743</v>
      </c>
      <c r="S299" s="19">
        <v>45338</v>
      </c>
      <c r="T299" s="18">
        <f t="shared" si="17"/>
        <v>0</v>
      </c>
      <c r="X299" s="18" t="s">
        <v>51</v>
      </c>
      <c r="Y299" s="18" t="s">
        <v>51</v>
      </c>
      <c r="AA299" s="18">
        <v>0</v>
      </c>
      <c r="AB299" s="18">
        <v>0</v>
      </c>
      <c r="AC299" s="18">
        <v>0</v>
      </c>
      <c r="AD299" s="18" t="s">
        <v>65</v>
      </c>
      <c r="AE299" s="18">
        <v>0</v>
      </c>
      <c r="AF299" s="18">
        <f t="shared" si="18"/>
        <v>3</v>
      </c>
      <c r="AG299" s="18" t="str">
        <f t="shared" si="19"/>
        <v>LOW</v>
      </c>
    </row>
    <row r="300" spans="1:33" x14ac:dyDescent="0.3">
      <c r="A300" s="66">
        <v>299</v>
      </c>
      <c r="B300" s="18" t="s">
        <v>1</v>
      </c>
      <c r="C300" s="18" t="s">
        <v>5</v>
      </c>
      <c r="D300" s="18" t="s">
        <v>91</v>
      </c>
      <c r="E300" s="29" t="s">
        <v>159</v>
      </c>
      <c r="F300" s="29" t="s">
        <v>386</v>
      </c>
      <c r="G300" s="18">
        <v>2</v>
      </c>
      <c r="H300" s="18">
        <v>1</v>
      </c>
      <c r="I300" s="18" t="s">
        <v>9</v>
      </c>
      <c r="J300" s="18" t="s">
        <v>63</v>
      </c>
      <c r="K300" s="68" t="s">
        <v>456</v>
      </c>
      <c r="L300" s="18">
        <v>0</v>
      </c>
      <c r="M300" s="18">
        <v>12</v>
      </c>
      <c r="N300" s="19">
        <v>45338</v>
      </c>
      <c r="O300" s="19">
        <v>45338</v>
      </c>
      <c r="P300" s="18">
        <f t="shared" si="16"/>
        <v>0</v>
      </c>
      <c r="Q300" s="30" t="s">
        <v>744</v>
      </c>
      <c r="S300" s="19">
        <v>45338</v>
      </c>
      <c r="T300" s="18">
        <f t="shared" si="17"/>
        <v>0</v>
      </c>
      <c r="X300" s="18" t="s">
        <v>53</v>
      </c>
      <c r="Y300" s="18" t="s">
        <v>51</v>
      </c>
      <c r="AA300" s="18">
        <v>0</v>
      </c>
      <c r="AB300" s="18">
        <v>0</v>
      </c>
      <c r="AC300" s="18">
        <v>0</v>
      </c>
      <c r="AD300" s="18" t="s">
        <v>65</v>
      </c>
      <c r="AE300" s="18">
        <v>0</v>
      </c>
      <c r="AF300" s="18">
        <f t="shared" si="18"/>
        <v>3</v>
      </c>
      <c r="AG300" s="18" t="str">
        <f t="shared" si="19"/>
        <v>LOW</v>
      </c>
    </row>
    <row r="301" spans="1:33" x14ac:dyDescent="0.3">
      <c r="A301" s="66">
        <v>300</v>
      </c>
      <c r="B301" s="18" t="s">
        <v>1</v>
      </c>
      <c r="C301" s="18" t="s">
        <v>5</v>
      </c>
      <c r="D301" s="18" t="s">
        <v>73</v>
      </c>
      <c r="E301" s="29" t="s">
        <v>117</v>
      </c>
      <c r="F301" s="29" t="s">
        <v>387</v>
      </c>
      <c r="G301" s="18">
        <v>2</v>
      </c>
      <c r="H301" s="18">
        <v>1</v>
      </c>
      <c r="I301" s="18" t="s">
        <v>9</v>
      </c>
      <c r="J301" s="18" t="s">
        <v>63</v>
      </c>
      <c r="K301" s="68">
        <v>0</v>
      </c>
      <c r="L301" s="18">
        <v>0</v>
      </c>
      <c r="M301" s="18">
        <v>120</v>
      </c>
      <c r="N301" s="19">
        <v>45338</v>
      </c>
      <c r="O301" s="19">
        <v>45338</v>
      </c>
      <c r="P301" s="18">
        <f t="shared" si="16"/>
        <v>0</v>
      </c>
      <c r="Q301" s="30" t="s">
        <v>743</v>
      </c>
      <c r="S301" s="19">
        <v>45338</v>
      </c>
      <c r="T301" s="18">
        <f t="shared" si="17"/>
        <v>0</v>
      </c>
      <c r="X301" s="18" t="s">
        <v>51</v>
      </c>
      <c r="Y301" s="18" t="s">
        <v>51</v>
      </c>
      <c r="AA301" s="18">
        <v>0</v>
      </c>
      <c r="AB301" s="18">
        <v>0</v>
      </c>
      <c r="AC301" s="18">
        <v>0</v>
      </c>
      <c r="AD301" s="18" t="s">
        <v>65</v>
      </c>
      <c r="AE301" s="18">
        <v>0</v>
      </c>
      <c r="AF301" s="18">
        <f t="shared" si="18"/>
        <v>3</v>
      </c>
      <c r="AG301" s="18" t="str">
        <f t="shared" si="19"/>
        <v>LOW</v>
      </c>
    </row>
    <row r="302" spans="1:33" x14ac:dyDescent="0.3">
      <c r="A302" s="66">
        <v>301</v>
      </c>
      <c r="B302" s="18" t="s">
        <v>1</v>
      </c>
      <c r="C302" s="18" t="s">
        <v>5</v>
      </c>
      <c r="D302" s="18" t="s">
        <v>94</v>
      </c>
      <c r="E302" s="29" t="s">
        <v>159</v>
      </c>
      <c r="F302" s="29" t="s">
        <v>388</v>
      </c>
      <c r="G302" s="18">
        <v>2</v>
      </c>
      <c r="H302" s="18">
        <v>1</v>
      </c>
      <c r="I302" s="18" t="s">
        <v>9</v>
      </c>
      <c r="J302" s="18" t="s">
        <v>452</v>
      </c>
      <c r="K302" s="68">
        <v>147600</v>
      </c>
      <c r="L302" s="18">
        <v>3</v>
      </c>
      <c r="M302" s="18">
        <v>36</v>
      </c>
      <c r="N302" s="19">
        <v>45336</v>
      </c>
      <c r="O302" s="19">
        <v>45338</v>
      </c>
      <c r="P302" s="18">
        <f t="shared" si="16"/>
        <v>2</v>
      </c>
      <c r="Q302" s="30" t="s">
        <v>745</v>
      </c>
      <c r="S302" s="19">
        <v>45338</v>
      </c>
      <c r="T302" s="18">
        <f t="shared" si="17"/>
        <v>2</v>
      </c>
      <c r="X302" s="18" t="s">
        <v>53</v>
      </c>
      <c r="Y302" s="18" t="s">
        <v>51</v>
      </c>
      <c r="AA302" s="18">
        <v>0</v>
      </c>
      <c r="AB302" s="18">
        <v>0</v>
      </c>
      <c r="AC302" s="18">
        <v>0</v>
      </c>
      <c r="AD302" s="18" t="s">
        <v>65</v>
      </c>
      <c r="AE302" s="18">
        <v>0</v>
      </c>
      <c r="AF302" s="18">
        <f t="shared" si="18"/>
        <v>6</v>
      </c>
      <c r="AG302" s="18" t="str">
        <f t="shared" si="19"/>
        <v>LOW</v>
      </c>
    </row>
    <row r="303" spans="1:33" ht="86.4" x14ac:dyDescent="0.3">
      <c r="A303" s="66">
        <v>302</v>
      </c>
      <c r="B303" s="18" t="s">
        <v>1</v>
      </c>
      <c r="C303" s="18" t="s">
        <v>5</v>
      </c>
      <c r="D303" s="18" t="s">
        <v>94</v>
      </c>
      <c r="E303" s="29" t="s">
        <v>159</v>
      </c>
      <c r="F303" s="29" t="s">
        <v>389</v>
      </c>
      <c r="G303" s="18">
        <v>2</v>
      </c>
      <c r="H303" s="18">
        <v>1</v>
      </c>
      <c r="I303" s="18" t="s">
        <v>9</v>
      </c>
      <c r="J303" s="18" t="s">
        <v>452</v>
      </c>
      <c r="K303" s="68">
        <v>0</v>
      </c>
      <c r="L303" s="18">
        <v>0</v>
      </c>
      <c r="N303" s="19">
        <v>45338</v>
      </c>
      <c r="O303" s="19">
        <v>45338</v>
      </c>
      <c r="P303" s="18">
        <f t="shared" si="16"/>
        <v>0</v>
      </c>
      <c r="Q303" s="30" t="s">
        <v>746</v>
      </c>
      <c r="S303" s="19">
        <v>45345</v>
      </c>
      <c r="T303" s="18">
        <f t="shared" si="17"/>
        <v>0</v>
      </c>
      <c r="X303" s="18" t="s">
        <v>51</v>
      </c>
      <c r="Y303" s="18" t="s">
        <v>51</v>
      </c>
      <c r="AA303" s="18">
        <v>0</v>
      </c>
      <c r="AB303" s="18">
        <v>0</v>
      </c>
      <c r="AC303" s="18">
        <v>0</v>
      </c>
      <c r="AD303" s="18" t="s">
        <v>65</v>
      </c>
      <c r="AE303" s="18">
        <v>0</v>
      </c>
      <c r="AF303" s="18">
        <f t="shared" si="18"/>
        <v>3</v>
      </c>
      <c r="AG303" s="18" t="str">
        <f t="shared" si="19"/>
        <v>LOW</v>
      </c>
    </row>
    <row r="304" spans="1:33" x14ac:dyDescent="0.3">
      <c r="A304" s="66">
        <v>303</v>
      </c>
      <c r="B304" s="18" t="s">
        <v>1</v>
      </c>
      <c r="C304" s="18" t="s">
        <v>5</v>
      </c>
      <c r="D304" s="18" t="s">
        <v>71</v>
      </c>
      <c r="E304" s="29" t="s">
        <v>214</v>
      </c>
      <c r="F304" s="29" t="s">
        <v>185</v>
      </c>
      <c r="G304" s="18">
        <v>2</v>
      </c>
      <c r="H304" s="18">
        <v>1</v>
      </c>
      <c r="I304" s="18" t="s">
        <v>9</v>
      </c>
      <c r="J304" s="18" t="s">
        <v>63</v>
      </c>
      <c r="K304" s="68">
        <v>0</v>
      </c>
      <c r="L304" s="18">
        <v>0</v>
      </c>
      <c r="M304" s="18">
        <v>36</v>
      </c>
      <c r="N304" s="19">
        <v>45331</v>
      </c>
      <c r="O304" s="19">
        <v>45338</v>
      </c>
      <c r="P304" s="18">
        <f t="shared" si="16"/>
        <v>7</v>
      </c>
      <c r="Q304" s="30" t="s">
        <v>747</v>
      </c>
      <c r="S304" s="19">
        <v>45338</v>
      </c>
      <c r="T304" s="18">
        <f t="shared" si="17"/>
        <v>7</v>
      </c>
      <c r="X304" s="18" t="s">
        <v>51</v>
      </c>
      <c r="Y304" s="18" t="s">
        <v>51</v>
      </c>
      <c r="AA304" s="18">
        <v>0</v>
      </c>
      <c r="AB304" s="18">
        <v>0</v>
      </c>
      <c r="AC304" s="18">
        <v>0</v>
      </c>
      <c r="AD304" s="18" t="s">
        <v>65</v>
      </c>
      <c r="AE304" s="18">
        <v>0</v>
      </c>
      <c r="AF304" s="18">
        <f t="shared" si="18"/>
        <v>3</v>
      </c>
      <c r="AG304" s="18" t="str">
        <f t="shared" si="19"/>
        <v>LOW</v>
      </c>
    </row>
    <row r="305" spans="1:33" ht="57.6" x14ac:dyDescent="0.3">
      <c r="A305" s="66">
        <v>304</v>
      </c>
      <c r="B305" s="18" t="s">
        <v>1</v>
      </c>
      <c r="C305" s="18" t="s">
        <v>5</v>
      </c>
      <c r="D305" s="18" t="s">
        <v>74</v>
      </c>
      <c r="E305" s="29" t="s">
        <v>159</v>
      </c>
      <c r="F305" s="29" t="s">
        <v>390</v>
      </c>
      <c r="G305" s="18">
        <v>2</v>
      </c>
      <c r="H305" s="18">
        <v>1</v>
      </c>
      <c r="I305" s="18" t="s">
        <v>9</v>
      </c>
      <c r="J305" s="18" t="s">
        <v>63</v>
      </c>
      <c r="K305" s="68" t="s">
        <v>456</v>
      </c>
      <c r="L305" s="18">
        <v>0</v>
      </c>
      <c r="M305" s="18">
        <v>36</v>
      </c>
      <c r="N305" s="19">
        <v>45331</v>
      </c>
      <c r="O305" s="19">
        <v>45338</v>
      </c>
      <c r="P305" s="18">
        <f t="shared" si="16"/>
        <v>7</v>
      </c>
      <c r="Q305" s="30" t="s">
        <v>748</v>
      </c>
      <c r="S305" s="19">
        <v>45351</v>
      </c>
      <c r="T305" s="18">
        <f t="shared" si="17"/>
        <v>7</v>
      </c>
      <c r="X305" s="18" t="s">
        <v>53</v>
      </c>
      <c r="Y305" s="18" t="s">
        <v>51</v>
      </c>
      <c r="AA305" s="18">
        <v>0</v>
      </c>
      <c r="AB305" s="18">
        <v>0</v>
      </c>
      <c r="AC305" s="18">
        <v>0</v>
      </c>
      <c r="AD305" s="18" t="s">
        <v>65</v>
      </c>
      <c r="AE305" s="18">
        <v>0</v>
      </c>
      <c r="AF305" s="18">
        <f t="shared" si="18"/>
        <v>3</v>
      </c>
      <c r="AG305" s="18" t="str">
        <f t="shared" si="19"/>
        <v>LOW</v>
      </c>
    </row>
    <row r="306" spans="1:33" ht="43.2" x14ac:dyDescent="0.3">
      <c r="A306" s="66">
        <v>305</v>
      </c>
      <c r="B306" s="18" t="s">
        <v>2</v>
      </c>
      <c r="C306" s="18" t="s">
        <v>5</v>
      </c>
      <c r="D306" s="18" t="s">
        <v>60</v>
      </c>
      <c r="E306" s="29" t="s">
        <v>159</v>
      </c>
      <c r="F306" s="29" t="s">
        <v>391</v>
      </c>
      <c r="G306" s="18">
        <v>2</v>
      </c>
      <c r="H306" s="18">
        <v>1</v>
      </c>
      <c r="I306" s="18" t="s">
        <v>9</v>
      </c>
      <c r="J306" s="18" t="s">
        <v>63</v>
      </c>
      <c r="K306" s="68">
        <v>0</v>
      </c>
      <c r="L306" s="18">
        <v>0</v>
      </c>
      <c r="M306" s="18">
        <v>36</v>
      </c>
      <c r="N306" s="19">
        <v>45338</v>
      </c>
      <c r="O306" s="19">
        <v>45338</v>
      </c>
      <c r="P306" s="18">
        <f t="shared" si="16"/>
        <v>0</v>
      </c>
      <c r="Q306" s="30" t="s">
        <v>749</v>
      </c>
      <c r="S306" s="19">
        <v>45351</v>
      </c>
      <c r="T306" s="18">
        <f t="shared" si="17"/>
        <v>0</v>
      </c>
      <c r="X306" s="18" t="s">
        <v>51</v>
      </c>
      <c r="Y306" s="18" t="s">
        <v>51</v>
      </c>
      <c r="AA306" s="18">
        <v>0</v>
      </c>
      <c r="AB306" s="18">
        <v>0</v>
      </c>
      <c r="AC306" s="18">
        <v>0</v>
      </c>
      <c r="AD306" s="18" t="s">
        <v>65</v>
      </c>
      <c r="AE306" s="18">
        <v>0</v>
      </c>
      <c r="AF306" s="18">
        <f t="shared" si="18"/>
        <v>3</v>
      </c>
      <c r="AG306" s="18" t="str">
        <f t="shared" si="19"/>
        <v>LOW</v>
      </c>
    </row>
    <row r="307" spans="1:33" ht="57.6" x14ac:dyDescent="0.3">
      <c r="A307" s="66">
        <v>306</v>
      </c>
      <c r="B307" s="18" t="s">
        <v>1</v>
      </c>
      <c r="C307" s="18" t="s">
        <v>5</v>
      </c>
      <c r="D307" s="18" t="s">
        <v>60</v>
      </c>
      <c r="E307" s="29" t="s">
        <v>159</v>
      </c>
      <c r="F307" s="29" t="s">
        <v>392</v>
      </c>
      <c r="G307" s="18">
        <v>2</v>
      </c>
      <c r="H307" s="18">
        <v>1</v>
      </c>
      <c r="I307" s="18" t="s">
        <v>9</v>
      </c>
      <c r="J307" s="18" t="s">
        <v>63</v>
      </c>
      <c r="K307" s="68">
        <v>183500</v>
      </c>
      <c r="L307" s="18">
        <v>3</v>
      </c>
      <c r="M307" s="18" t="s">
        <v>463</v>
      </c>
      <c r="N307" s="19">
        <v>45341</v>
      </c>
      <c r="O307" s="19">
        <v>45341</v>
      </c>
      <c r="P307" s="18">
        <f t="shared" si="16"/>
        <v>0</v>
      </c>
      <c r="Q307" s="30" t="s">
        <v>750</v>
      </c>
      <c r="S307" s="19">
        <v>45348</v>
      </c>
      <c r="T307" s="18">
        <f t="shared" si="17"/>
        <v>0</v>
      </c>
      <c r="X307" s="18" t="s">
        <v>51</v>
      </c>
      <c r="Y307" s="18" t="s">
        <v>51</v>
      </c>
      <c r="AA307" s="18">
        <v>0</v>
      </c>
      <c r="AB307" s="18">
        <v>0</v>
      </c>
      <c r="AC307" s="18">
        <v>0</v>
      </c>
      <c r="AD307" s="18" t="s">
        <v>65</v>
      </c>
      <c r="AE307" s="18">
        <v>0</v>
      </c>
      <c r="AF307" s="18">
        <f t="shared" si="18"/>
        <v>6</v>
      </c>
      <c r="AG307" s="18" t="str">
        <f t="shared" si="19"/>
        <v>LOW</v>
      </c>
    </row>
    <row r="308" spans="1:33" ht="57.6" x14ac:dyDescent="0.3">
      <c r="A308" s="66">
        <v>307</v>
      </c>
      <c r="B308" s="18" t="s">
        <v>1</v>
      </c>
      <c r="C308" s="18" t="s">
        <v>5</v>
      </c>
      <c r="D308" s="18" t="s">
        <v>60</v>
      </c>
      <c r="E308" s="29" t="s">
        <v>159</v>
      </c>
      <c r="F308" s="29" t="s">
        <v>176</v>
      </c>
      <c r="G308" s="18">
        <v>2</v>
      </c>
      <c r="H308" s="18">
        <v>1</v>
      </c>
      <c r="I308" s="18" t="s">
        <v>9</v>
      </c>
      <c r="J308" s="18" t="s">
        <v>63</v>
      </c>
      <c r="K308" s="68" t="s">
        <v>458</v>
      </c>
      <c r="L308" s="18">
        <v>3</v>
      </c>
      <c r="M308" s="18">
        <v>36</v>
      </c>
      <c r="N308" s="19">
        <v>45337</v>
      </c>
      <c r="O308" s="19">
        <v>45337</v>
      </c>
      <c r="P308" s="18">
        <f t="shared" si="16"/>
        <v>0</v>
      </c>
      <c r="Q308" s="30" t="s">
        <v>751</v>
      </c>
      <c r="S308" s="19">
        <v>45349</v>
      </c>
      <c r="T308" s="18">
        <f t="shared" si="17"/>
        <v>0</v>
      </c>
      <c r="X308" s="18" t="s">
        <v>51</v>
      </c>
      <c r="Y308" s="18" t="s">
        <v>51</v>
      </c>
      <c r="AA308" s="18">
        <v>0</v>
      </c>
      <c r="AB308" s="18">
        <v>0</v>
      </c>
      <c r="AC308" s="18">
        <v>0</v>
      </c>
      <c r="AD308" s="18" t="s">
        <v>65</v>
      </c>
      <c r="AE308" s="18">
        <v>0</v>
      </c>
      <c r="AF308" s="18">
        <f t="shared" si="18"/>
        <v>6</v>
      </c>
      <c r="AG308" s="18" t="str">
        <f t="shared" si="19"/>
        <v>LOW</v>
      </c>
    </row>
    <row r="309" spans="1:33" ht="28.8" x14ac:dyDescent="0.3">
      <c r="A309" s="66">
        <v>308</v>
      </c>
      <c r="B309" s="18" t="s">
        <v>1</v>
      </c>
      <c r="C309" s="18" t="s">
        <v>5</v>
      </c>
      <c r="D309" s="18" t="s">
        <v>71</v>
      </c>
      <c r="E309" s="29" t="s">
        <v>159</v>
      </c>
      <c r="F309" s="29" t="s">
        <v>393</v>
      </c>
      <c r="G309" s="18">
        <v>2</v>
      </c>
      <c r="H309" s="18">
        <v>1</v>
      </c>
      <c r="I309" s="18" t="s">
        <v>9</v>
      </c>
      <c r="J309" s="18" t="s">
        <v>63</v>
      </c>
      <c r="K309" s="68">
        <v>389844</v>
      </c>
      <c r="L309" s="18">
        <v>3</v>
      </c>
      <c r="M309" s="18">
        <v>36</v>
      </c>
      <c r="N309" s="19">
        <v>45341</v>
      </c>
      <c r="O309" s="19">
        <v>45341</v>
      </c>
      <c r="P309" s="18">
        <f t="shared" si="16"/>
        <v>0</v>
      </c>
      <c r="Q309" s="30" t="s">
        <v>752</v>
      </c>
      <c r="S309" s="19">
        <v>45341</v>
      </c>
      <c r="T309" s="18">
        <f t="shared" si="17"/>
        <v>0</v>
      </c>
      <c r="X309" s="18" t="s">
        <v>53</v>
      </c>
      <c r="Y309" s="18" t="s">
        <v>51</v>
      </c>
      <c r="AA309" s="18">
        <v>0</v>
      </c>
      <c r="AB309" s="18">
        <v>0</v>
      </c>
      <c r="AC309" s="18">
        <v>0</v>
      </c>
      <c r="AD309" s="18" t="s">
        <v>65</v>
      </c>
      <c r="AE309" s="18">
        <v>0</v>
      </c>
      <c r="AF309" s="18">
        <f t="shared" si="18"/>
        <v>6</v>
      </c>
      <c r="AG309" s="18" t="str">
        <f t="shared" si="19"/>
        <v>LOW</v>
      </c>
    </row>
    <row r="310" spans="1:33" ht="43.2" x14ac:dyDescent="0.3">
      <c r="A310" s="66">
        <v>309</v>
      </c>
      <c r="B310" s="18" t="s">
        <v>1</v>
      </c>
      <c r="C310" s="18" t="s">
        <v>5</v>
      </c>
      <c r="D310" s="18" t="s">
        <v>72</v>
      </c>
      <c r="E310" s="29" t="s">
        <v>60</v>
      </c>
      <c r="F310" s="29" t="s">
        <v>394</v>
      </c>
      <c r="G310" s="18">
        <v>2</v>
      </c>
      <c r="H310" s="18">
        <v>1</v>
      </c>
      <c r="I310" s="18" t="s">
        <v>9</v>
      </c>
      <c r="J310" s="18" t="s">
        <v>63</v>
      </c>
      <c r="K310" s="68">
        <v>0</v>
      </c>
      <c r="L310" s="18">
        <v>0</v>
      </c>
      <c r="M310" s="18">
        <v>0</v>
      </c>
      <c r="N310" s="19">
        <v>45278</v>
      </c>
      <c r="O310" s="19">
        <v>45280</v>
      </c>
      <c r="P310" s="18">
        <f t="shared" si="16"/>
        <v>2</v>
      </c>
      <c r="Q310" s="30" t="s">
        <v>753</v>
      </c>
      <c r="S310" s="19">
        <v>45351</v>
      </c>
      <c r="T310" s="18">
        <f t="shared" si="17"/>
        <v>2</v>
      </c>
      <c r="X310" s="18" t="s">
        <v>53</v>
      </c>
      <c r="Y310" s="18" t="s">
        <v>51</v>
      </c>
      <c r="AA310" s="18">
        <v>0</v>
      </c>
      <c r="AB310" s="18">
        <v>0</v>
      </c>
      <c r="AC310" s="18">
        <v>0</v>
      </c>
      <c r="AD310" s="18" t="s">
        <v>65</v>
      </c>
      <c r="AE310" s="18">
        <v>0</v>
      </c>
      <c r="AF310" s="18">
        <f t="shared" si="18"/>
        <v>3</v>
      </c>
      <c r="AG310" s="18" t="str">
        <f t="shared" si="19"/>
        <v>LOW</v>
      </c>
    </row>
    <row r="311" spans="1:33" ht="43.2" x14ac:dyDescent="0.3">
      <c r="A311" s="66">
        <v>310</v>
      </c>
      <c r="B311" s="18" t="s">
        <v>1</v>
      </c>
      <c r="C311" s="18" t="s">
        <v>5</v>
      </c>
      <c r="D311" s="18" t="s">
        <v>73</v>
      </c>
      <c r="E311" s="29" t="s">
        <v>159</v>
      </c>
      <c r="F311" s="29" t="s">
        <v>346</v>
      </c>
      <c r="G311" s="18">
        <v>2</v>
      </c>
      <c r="H311" s="18">
        <v>1</v>
      </c>
      <c r="I311" s="18" t="s">
        <v>9</v>
      </c>
      <c r="J311" s="18" t="s">
        <v>63</v>
      </c>
      <c r="K311" s="68">
        <v>118294.14</v>
      </c>
      <c r="L311" s="18">
        <v>3</v>
      </c>
      <c r="M311" s="18">
        <v>1</v>
      </c>
      <c r="N311" s="19">
        <v>45342</v>
      </c>
      <c r="O311" s="19">
        <v>45342</v>
      </c>
      <c r="P311" s="18">
        <f t="shared" si="16"/>
        <v>0</v>
      </c>
      <c r="Q311" s="30" t="s">
        <v>754</v>
      </c>
      <c r="S311" s="19">
        <v>45343</v>
      </c>
      <c r="T311" s="18">
        <f t="shared" si="17"/>
        <v>0</v>
      </c>
      <c r="X311" s="18" t="s">
        <v>53</v>
      </c>
      <c r="Y311" s="18" t="s">
        <v>51</v>
      </c>
      <c r="AA311" s="18">
        <v>0</v>
      </c>
      <c r="AB311" s="18">
        <v>0</v>
      </c>
      <c r="AC311" s="18">
        <v>0</v>
      </c>
      <c r="AD311" s="18" t="s">
        <v>65</v>
      </c>
      <c r="AE311" s="18">
        <v>0</v>
      </c>
      <c r="AF311" s="18">
        <f t="shared" si="18"/>
        <v>6</v>
      </c>
      <c r="AG311" s="18" t="str">
        <f t="shared" si="19"/>
        <v>LOW</v>
      </c>
    </row>
    <row r="312" spans="1:33" ht="57.6" x14ac:dyDescent="0.3">
      <c r="A312" s="66">
        <v>311</v>
      </c>
      <c r="B312" s="18" t="s">
        <v>1</v>
      </c>
      <c r="C312" s="18" t="s">
        <v>5</v>
      </c>
      <c r="D312" s="18" t="s">
        <v>91</v>
      </c>
      <c r="E312" s="29" t="s">
        <v>159</v>
      </c>
      <c r="F312" s="29" t="s">
        <v>395</v>
      </c>
      <c r="G312" s="18">
        <v>2</v>
      </c>
      <c r="H312" s="18">
        <v>1</v>
      </c>
      <c r="I312" s="18" t="s">
        <v>9</v>
      </c>
      <c r="J312" s="18" t="s">
        <v>63</v>
      </c>
      <c r="K312" s="68" t="s">
        <v>456</v>
      </c>
      <c r="L312" s="18">
        <v>0</v>
      </c>
      <c r="M312" s="18">
        <v>12</v>
      </c>
      <c r="N312" s="19">
        <v>45338</v>
      </c>
      <c r="O312" s="19">
        <v>45338</v>
      </c>
      <c r="P312" s="18">
        <f t="shared" si="16"/>
        <v>0</v>
      </c>
      <c r="Q312" s="30" t="s">
        <v>755</v>
      </c>
      <c r="S312" s="19">
        <v>45349</v>
      </c>
      <c r="T312" s="18">
        <f t="shared" si="17"/>
        <v>0</v>
      </c>
      <c r="X312" s="18" t="s">
        <v>53</v>
      </c>
      <c r="Y312" s="18" t="s">
        <v>51</v>
      </c>
      <c r="AA312" s="18">
        <v>0</v>
      </c>
      <c r="AB312" s="18">
        <v>0</v>
      </c>
      <c r="AC312" s="18">
        <v>0</v>
      </c>
      <c r="AD312" s="18" t="s">
        <v>65</v>
      </c>
      <c r="AE312" s="18">
        <v>0</v>
      </c>
      <c r="AF312" s="18">
        <f t="shared" si="18"/>
        <v>3</v>
      </c>
      <c r="AG312" s="18" t="str">
        <f t="shared" si="19"/>
        <v>LOW</v>
      </c>
    </row>
    <row r="313" spans="1:33" ht="28.8" x14ac:dyDescent="0.3">
      <c r="A313" s="66">
        <v>312</v>
      </c>
      <c r="B313" s="18" t="s">
        <v>1</v>
      </c>
      <c r="C313" s="18" t="s">
        <v>5</v>
      </c>
      <c r="D313" s="18" t="s">
        <v>91</v>
      </c>
      <c r="E313" s="29" t="s">
        <v>215</v>
      </c>
      <c r="F313" s="29" t="s">
        <v>396</v>
      </c>
      <c r="G313" s="18">
        <v>2</v>
      </c>
      <c r="H313" s="18">
        <v>1</v>
      </c>
      <c r="I313" s="18" t="s">
        <v>9</v>
      </c>
      <c r="J313" s="18" t="s">
        <v>450</v>
      </c>
      <c r="K313" s="68" t="s">
        <v>459</v>
      </c>
      <c r="L313" s="18">
        <v>3</v>
      </c>
      <c r="M313" s="18">
        <v>17</v>
      </c>
      <c r="N313" s="19">
        <v>45341</v>
      </c>
      <c r="O313" s="19">
        <v>45342</v>
      </c>
      <c r="P313" s="18">
        <f t="shared" si="16"/>
        <v>1</v>
      </c>
      <c r="Q313" s="30" t="s">
        <v>756</v>
      </c>
      <c r="S313" s="19">
        <v>45342</v>
      </c>
      <c r="T313" s="18">
        <f t="shared" si="17"/>
        <v>1</v>
      </c>
      <c r="X313" s="18" t="s">
        <v>53</v>
      </c>
      <c r="Y313" s="18" t="s">
        <v>51</v>
      </c>
      <c r="AA313" s="18">
        <v>0</v>
      </c>
      <c r="AB313" s="18">
        <v>0</v>
      </c>
      <c r="AC313" s="18">
        <v>0</v>
      </c>
      <c r="AD313" s="18" t="s">
        <v>65</v>
      </c>
      <c r="AE313" s="18">
        <v>0</v>
      </c>
      <c r="AF313" s="18">
        <f t="shared" si="18"/>
        <v>6</v>
      </c>
      <c r="AG313" s="18" t="str">
        <f t="shared" si="19"/>
        <v>LOW</v>
      </c>
    </row>
    <row r="314" spans="1:33" ht="28.8" x14ac:dyDescent="0.3">
      <c r="A314" s="66">
        <v>313</v>
      </c>
      <c r="B314" s="18" t="s">
        <v>1</v>
      </c>
      <c r="C314" s="18" t="s">
        <v>5</v>
      </c>
      <c r="D314" s="18" t="s">
        <v>60</v>
      </c>
      <c r="E314" s="29" t="s">
        <v>216</v>
      </c>
      <c r="F314" s="29" t="s">
        <v>397</v>
      </c>
      <c r="G314" s="18">
        <v>2</v>
      </c>
      <c r="H314" s="18">
        <v>1</v>
      </c>
      <c r="I314" s="18" t="s">
        <v>9</v>
      </c>
      <c r="J314" s="18" t="s">
        <v>63</v>
      </c>
      <c r="K314" s="68">
        <v>2650812.42</v>
      </c>
      <c r="L314" s="18">
        <v>3</v>
      </c>
      <c r="M314" s="18">
        <v>36</v>
      </c>
      <c r="N314" s="19">
        <v>45342</v>
      </c>
      <c r="O314" s="19">
        <v>45343</v>
      </c>
      <c r="P314" s="18">
        <f t="shared" si="16"/>
        <v>1</v>
      </c>
      <c r="Q314" s="30" t="s">
        <v>757</v>
      </c>
      <c r="S314" s="19">
        <v>45343</v>
      </c>
      <c r="T314" s="18">
        <f t="shared" si="17"/>
        <v>1</v>
      </c>
      <c r="X314" s="18" t="s">
        <v>53</v>
      </c>
      <c r="Y314" s="18" t="s">
        <v>51</v>
      </c>
      <c r="AA314" s="18">
        <v>0</v>
      </c>
      <c r="AB314" s="18">
        <v>0</v>
      </c>
      <c r="AC314" s="18">
        <v>0</v>
      </c>
      <c r="AD314" s="18" t="s">
        <v>65</v>
      </c>
      <c r="AE314" s="18">
        <v>0</v>
      </c>
      <c r="AF314" s="18">
        <f t="shared" si="18"/>
        <v>6</v>
      </c>
      <c r="AG314" s="18" t="str">
        <f t="shared" si="19"/>
        <v>LOW</v>
      </c>
    </row>
    <row r="315" spans="1:33" ht="28.8" x14ac:dyDescent="0.3">
      <c r="A315" s="66">
        <v>314</v>
      </c>
      <c r="B315" s="18" t="s">
        <v>1</v>
      </c>
      <c r="C315" s="18" t="s">
        <v>5</v>
      </c>
      <c r="D315" s="18" t="s">
        <v>92</v>
      </c>
      <c r="E315" s="29" t="s">
        <v>159</v>
      </c>
      <c r="F315" s="29" t="s">
        <v>398</v>
      </c>
      <c r="G315" s="18">
        <v>2</v>
      </c>
      <c r="H315" s="18">
        <v>1</v>
      </c>
      <c r="I315" s="18" t="s">
        <v>9</v>
      </c>
      <c r="J315" s="18" t="s">
        <v>450</v>
      </c>
      <c r="K315" s="68" t="s">
        <v>456</v>
      </c>
      <c r="L315" s="18">
        <v>0</v>
      </c>
      <c r="M315" s="18">
        <v>12</v>
      </c>
      <c r="N315" s="19">
        <v>45302</v>
      </c>
      <c r="O315" s="19">
        <v>45302</v>
      </c>
      <c r="P315" s="18">
        <f t="shared" si="16"/>
        <v>0</v>
      </c>
      <c r="Q315" s="30" t="s">
        <v>758</v>
      </c>
      <c r="S315" s="19">
        <v>45344</v>
      </c>
      <c r="T315" s="18">
        <f t="shared" si="17"/>
        <v>0</v>
      </c>
      <c r="X315" s="18" t="s">
        <v>53</v>
      </c>
      <c r="Y315" s="18" t="s">
        <v>51</v>
      </c>
      <c r="AA315" s="18">
        <v>0</v>
      </c>
      <c r="AB315" s="18">
        <v>0</v>
      </c>
      <c r="AC315" s="18">
        <v>0</v>
      </c>
      <c r="AD315" s="18" t="s">
        <v>65</v>
      </c>
      <c r="AE315" s="18">
        <v>0</v>
      </c>
      <c r="AF315" s="18">
        <f t="shared" si="18"/>
        <v>3</v>
      </c>
      <c r="AG315" s="18" t="str">
        <f t="shared" si="19"/>
        <v>LOW</v>
      </c>
    </row>
    <row r="316" spans="1:33" ht="57.6" x14ac:dyDescent="0.3">
      <c r="A316" s="66">
        <v>315</v>
      </c>
      <c r="B316" s="18" t="s">
        <v>1</v>
      </c>
      <c r="C316" s="18" t="s">
        <v>5</v>
      </c>
      <c r="D316" s="18" t="s">
        <v>93</v>
      </c>
      <c r="E316" s="29" t="s">
        <v>159</v>
      </c>
      <c r="F316" s="29" t="s">
        <v>399</v>
      </c>
      <c r="G316" s="18">
        <v>2</v>
      </c>
      <c r="H316" s="18">
        <v>1</v>
      </c>
      <c r="I316" s="18" t="s">
        <v>9</v>
      </c>
      <c r="J316" s="18" t="s">
        <v>451</v>
      </c>
      <c r="K316" s="68">
        <v>684000</v>
      </c>
      <c r="L316" s="18">
        <v>3</v>
      </c>
      <c r="M316" s="18">
        <v>24</v>
      </c>
      <c r="N316" s="19">
        <v>45343</v>
      </c>
      <c r="O316" s="19">
        <v>45343</v>
      </c>
      <c r="P316" s="18">
        <f t="shared" si="16"/>
        <v>0</v>
      </c>
      <c r="Q316" s="30" t="s">
        <v>759</v>
      </c>
      <c r="S316" s="19">
        <v>45345</v>
      </c>
      <c r="T316" s="18">
        <f t="shared" si="17"/>
        <v>0</v>
      </c>
      <c r="X316" s="18" t="s">
        <v>53</v>
      </c>
      <c r="Y316" s="18" t="s">
        <v>51</v>
      </c>
      <c r="AA316" s="18">
        <v>0</v>
      </c>
      <c r="AB316" s="18">
        <v>0</v>
      </c>
      <c r="AC316" s="18">
        <v>0</v>
      </c>
      <c r="AD316" s="18" t="s">
        <v>65</v>
      </c>
      <c r="AE316" s="18">
        <v>0</v>
      </c>
      <c r="AF316" s="18">
        <f t="shared" si="18"/>
        <v>6</v>
      </c>
      <c r="AG316" s="18" t="str">
        <f t="shared" si="19"/>
        <v>LOW</v>
      </c>
    </row>
    <row r="317" spans="1:33" ht="43.2" x14ac:dyDescent="0.3">
      <c r="A317" s="66">
        <v>316</v>
      </c>
      <c r="B317" s="18" t="s">
        <v>1</v>
      </c>
      <c r="C317" s="18" t="s">
        <v>5</v>
      </c>
      <c r="D317" s="18" t="s">
        <v>95</v>
      </c>
      <c r="E317" s="29" t="s">
        <v>159</v>
      </c>
      <c r="F317" s="29" t="s">
        <v>400</v>
      </c>
      <c r="G317" s="18">
        <v>2</v>
      </c>
      <c r="H317" s="18">
        <v>1</v>
      </c>
      <c r="I317" s="18" t="s">
        <v>9</v>
      </c>
      <c r="J317" s="18" t="s">
        <v>63</v>
      </c>
      <c r="K317" s="68">
        <v>60000</v>
      </c>
      <c r="L317" s="18">
        <v>2</v>
      </c>
      <c r="M317" s="18">
        <v>6</v>
      </c>
      <c r="N317" s="19">
        <v>45343</v>
      </c>
      <c r="O317" s="19">
        <v>45344</v>
      </c>
      <c r="P317" s="18">
        <f t="shared" si="16"/>
        <v>1</v>
      </c>
      <c r="Q317" s="30" t="s">
        <v>760</v>
      </c>
      <c r="S317" s="19">
        <v>45348</v>
      </c>
      <c r="T317" s="18">
        <f t="shared" si="17"/>
        <v>1</v>
      </c>
      <c r="X317" s="18" t="s">
        <v>51</v>
      </c>
      <c r="Y317" s="18" t="s">
        <v>51</v>
      </c>
      <c r="AA317" s="18">
        <v>0</v>
      </c>
      <c r="AB317" s="18">
        <v>0</v>
      </c>
      <c r="AC317" s="18">
        <v>0</v>
      </c>
      <c r="AD317" s="18" t="s">
        <v>65</v>
      </c>
      <c r="AE317" s="18">
        <v>0</v>
      </c>
      <c r="AF317" s="18">
        <f t="shared" si="18"/>
        <v>5</v>
      </c>
      <c r="AG317" s="18" t="str">
        <f t="shared" si="19"/>
        <v>LOW</v>
      </c>
    </row>
    <row r="318" spans="1:33" ht="28.8" x14ac:dyDescent="0.3">
      <c r="A318" s="66">
        <v>317</v>
      </c>
      <c r="B318" s="18" t="s">
        <v>1</v>
      </c>
      <c r="C318" s="18" t="s">
        <v>5</v>
      </c>
      <c r="D318" s="18" t="s">
        <v>60</v>
      </c>
      <c r="E318" s="29" t="s">
        <v>107</v>
      </c>
      <c r="F318" s="29" t="s">
        <v>401</v>
      </c>
      <c r="G318" s="18">
        <v>2</v>
      </c>
      <c r="H318" s="18">
        <v>1</v>
      </c>
      <c r="I318" s="18" t="s">
        <v>9</v>
      </c>
      <c r="J318" s="18" t="s">
        <v>451</v>
      </c>
      <c r="K318" s="68">
        <v>2458800</v>
      </c>
      <c r="L318" s="18">
        <v>3</v>
      </c>
      <c r="M318" s="18">
        <v>36</v>
      </c>
      <c r="N318" s="19">
        <v>45278</v>
      </c>
      <c r="O318" s="19">
        <v>45278</v>
      </c>
      <c r="P318" s="18">
        <f t="shared" si="16"/>
        <v>0</v>
      </c>
      <c r="Q318" s="30" t="s">
        <v>761</v>
      </c>
      <c r="S318" s="19">
        <v>45344</v>
      </c>
      <c r="T318" s="18">
        <f t="shared" si="17"/>
        <v>0</v>
      </c>
      <c r="X318" s="18" t="s">
        <v>53</v>
      </c>
      <c r="Y318" s="18" t="s">
        <v>51</v>
      </c>
      <c r="AA318" s="18">
        <v>0</v>
      </c>
      <c r="AB318" s="18">
        <v>0</v>
      </c>
      <c r="AC318" s="18">
        <v>0</v>
      </c>
      <c r="AD318" s="18" t="s">
        <v>65</v>
      </c>
      <c r="AE318" s="18">
        <v>0</v>
      </c>
      <c r="AF318" s="18">
        <f t="shared" si="18"/>
        <v>6</v>
      </c>
      <c r="AG318" s="18" t="str">
        <f t="shared" si="19"/>
        <v>LOW</v>
      </c>
    </row>
    <row r="319" spans="1:33" ht="28.8" x14ac:dyDescent="0.3">
      <c r="A319" s="66">
        <v>318</v>
      </c>
      <c r="B319" s="18" t="s">
        <v>1</v>
      </c>
      <c r="C319" s="18" t="s">
        <v>5</v>
      </c>
      <c r="D319" s="18" t="s">
        <v>60</v>
      </c>
      <c r="E319" s="29" t="s">
        <v>159</v>
      </c>
      <c r="F319" s="29" t="s">
        <v>191</v>
      </c>
      <c r="G319" s="18">
        <v>2</v>
      </c>
      <c r="H319" s="18">
        <v>1</v>
      </c>
      <c r="I319" s="18" t="s">
        <v>9</v>
      </c>
      <c r="J319" s="18" t="s">
        <v>451</v>
      </c>
      <c r="K319" s="68">
        <v>0</v>
      </c>
      <c r="L319" s="18">
        <v>0</v>
      </c>
      <c r="N319" s="19">
        <v>45343</v>
      </c>
      <c r="O319" s="19">
        <v>45344</v>
      </c>
      <c r="P319" s="18">
        <f t="shared" si="16"/>
        <v>1</v>
      </c>
      <c r="Q319" s="30" t="s">
        <v>762</v>
      </c>
      <c r="S319" s="19">
        <v>45351</v>
      </c>
      <c r="T319" s="18">
        <f t="shared" si="17"/>
        <v>1</v>
      </c>
      <c r="X319" s="18" t="s">
        <v>53</v>
      </c>
      <c r="Y319" s="18" t="s">
        <v>51</v>
      </c>
      <c r="AA319" s="18">
        <v>0</v>
      </c>
      <c r="AB319" s="18">
        <v>0</v>
      </c>
      <c r="AC319" s="18">
        <v>0</v>
      </c>
      <c r="AD319" s="18" t="s">
        <v>65</v>
      </c>
      <c r="AE319" s="18">
        <v>0</v>
      </c>
      <c r="AF319" s="18">
        <f t="shared" si="18"/>
        <v>3</v>
      </c>
      <c r="AG319" s="18" t="str">
        <f t="shared" si="19"/>
        <v>LOW</v>
      </c>
    </row>
    <row r="320" spans="1:33" ht="28.8" x14ac:dyDescent="0.3">
      <c r="A320" s="66">
        <v>319</v>
      </c>
      <c r="B320" s="18" t="s">
        <v>1</v>
      </c>
      <c r="C320" s="18" t="s">
        <v>5</v>
      </c>
      <c r="D320" s="18" t="s">
        <v>60</v>
      </c>
      <c r="E320" s="29" t="s">
        <v>159</v>
      </c>
      <c r="F320" s="29" t="s">
        <v>190</v>
      </c>
      <c r="G320" s="18">
        <v>2</v>
      </c>
      <c r="H320" s="18">
        <v>1</v>
      </c>
      <c r="I320" s="18" t="s">
        <v>9</v>
      </c>
      <c r="J320" s="18" t="s">
        <v>451</v>
      </c>
      <c r="K320" s="68">
        <v>0</v>
      </c>
      <c r="L320" s="18">
        <v>0</v>
      </c>
      <c r="N320" s="19">
        <v>45343</v>
      </c>
      <c r="O320" s="19">
        <v>45344</v>
      </c>
      <c r="P320" s="18">
        <f t="shared" si="16"/>
        <v>1</v>
      </c>
      <c r="Q320" s="30" t="s">
        <v>762</v>
      </c>
      <c r="S320" s="19">
        <v>45351</v>
      </c>
      <c r="T320" s="18">
        <f t="shared" si="17"/>
        <v>1</v>
      </c>
      <c r="X320" s="18" t="s">
        <v>53</v>
      </c>
      <c r="Y320" s="18" t="s">
        <v>51</v>
      </c>
      <c r="AA320" s="18">
        <v>0</v>
      </c>
      <c r="AB320" s="18">
        <v>0</v>
      </c>
      <c r="AC320" s="18">
        <v>0</v>
      </c>
      <c r="AD320" s="18" t="s">
        <v>65</v>
      </c>
      <c r="AE320" s="18">
        <v>0</v>
      </c>
      <c r="AF320" s="18">
        <f t="shared" si="18"/>
        <v>3</v>
      </c>
      <c r="AG320" s="18" t="str">
        <f t="shared" si="19"/>
        <v>LOW</v>
      </c>
    </row>
    <row r="321" spans="1:33" ht="28.8" x14ac:dyDescent="0.3">
      <c r="A321" s="66">
        <v>320</v>
      </c>
      <c r="B321" s="18" t="s">
        <v>2</v>
      </c>
      <c r="C321" s="18" t="s">
        <v>5</v>
      </c>
      <c r="D321" s="18" t="s">
        <v>77</v>
      </c>
      <c r="E321" s="29" t="s">
        <v>216</v>
      </c>
      <c r="F321" s="29" t="s">
        <v>402</v>
      </c>
      <c r="G321" s="18">
        <v>0</v>
      </c>
      <c r="H321" s="18">
        <v>0</v>
      </c>
      <c r="I321" s="18" t="s">
        <v>9</v>
      </c>
      <c r="J321" s="18" t="s">
        <v>63</v>
      </c>
      <c r="K321" s="68">
        <v>0</v>
      </c>
      <c r="L321" s="18">
        <v>0</v>
      </c>
      <c r="N321" s="19">
        <v>45344</v>
      </c>
      <c r="O321" s="19">
        <v>45344</v>
      </c>
      <c r="P321" s="18">
        <f t="shared" si="16"/>
        <v>0</v>
      </c>
      <c r="Q321" s="30" t="s">
        <v>763</v>
      </c>
      <c r="S321" s="19">
        <v>45344</v>
      </c>
      <c r="T321" s="18">
        <f t="shared" si="17"/>
        <v>0</v>
      </c>
      <c r="X321" s="18" t="s">
        <v>53</v>
      </c>
      <c r="Y321" s="18" t="s">
        <v>51</v>
      </c>
      <c r="AA321" s="18">
        <v>0</v>
      </c>
      <c r="AB321" s="18">
        <v>0</v>
      </c>
      <c r="AC321" s="18">
        <v>0</v>
      </c>
      <c r="AD321" s="18" t="s">
        <v>65</v>
      </c>
      <c r="AE321" s="18">
        <v>0</v>
      </c>
      <c r="AF321" s="18">
        <f t="shared" si="18"/>
        <v>0</v>
      </c>
      <c r="AG321" s="18" t="str">
        <f t="shared" si="19"/>
        <v>LOW</v>
      </c>
    </row>
    <row r="322" spans="1:33" ht="57.6" x14ac:dyDescent="0.3">
      <c r="A322" s="66">
        <v>321</v>
      </c>
      <c r="B322" s="18" t="s">
        <v>1</v>
      </c>
      <c r="C322" s="18" t="s">
        <v>5</v>
      </c>
      <c r="D322" s="18" t="s">
        <v>60</v>
      </c>
      <c r="E322" s="29" t="s">
        <v>159</v>
      </c>
      <c r="F322" s="29" t="s">
        <v>403</v>
      </c>
      <c r="G322" s="18">
        <v>2</v>
      </c>
      <c r="H322" s="18">
        <v>1</v>
      </c>
      <c r="I322" s="18" t="s">
        <v>9</v>
      </c>
      <c r="J322" s="18" t="s">
        <v>63</v>
      </c>
      <c r="K322" s="68">
        <v>0</v>
      </c>
      <c r="L322" s="18">
        <v>0</v>
      </c>
      <c r="M322" s="18">
        <v>0</v>
      </c>
      <c r="N322" s="19">
        <v>45247</v>
      </c>
      <c r="O322" s="19">
        <v>45247</v>
      </c>
      <c r="P322" s="18">
        <f t="shared" ref="P322:P385" si="20">$O322-$N322</f>
        <v>0</v>
      </c>
      <c r="Q322" s="30" t="s">
        <v>764</v>
      </c>
      <c r="S322" s="19">
        <v>45350</v>
      </c>
      <c r="T322" s="18">
        <f t="shared" ref="T322:T385" si="21">IF(AND(O322&lt;&gt; "",N322&lt;&gt;""),O322-N322,"")</f>
        <v>0</v>
      </c>
      <c r="X322" s="18" t="s">
        <v>51</v>
      </c>
      <c r="Y322" s="18" t="s">
        <v>51</v>
      </c>
      <c r="AA322" s="18">
        <v>0</v>
      </c>
      <c r="AB322" s="18">
        <v>0</v>
      </c>
      <c r="AC322" s="18">
        <v>0</v>
      </c>
      <c r="AD322" s="18" t="s">
        <v>65</v>
      </c>
      <c r="AE322" s="18">
        <v>0</v>
      </c>
      <c r="AF322" s="18">
        <f t="shared" ref="AF322:AF385" si="22">SUM($G322,$H322,$L322,$AA322,$AB322,$AC322,$AE322)</f>
        <v>3</v>
      </c>
      <c r="AG322" s="18" t="str">
        <f t="shared" ref="AG322:AG385" si="23">IF(AF322&lt;=15,"LOW",IF(AF322&gt;=31,"HIGH","MIDIUM"))</f>
        <v>LOW</v>
      </c>
    </row>
    <row r="323" spans="1:33" ht="28.8" x14ac:dyDescent="0.3">
      <c r="A323" s="66">
        <v>322</v>
      </c>
      <c r="B323" s="18" t="s">
        <v>2</v>
      </c>
      <c r="C323" s="18" t="s">
        <v>6</v>
      </c>
      <c r="D323" s="18" t="s">
        <v>74</v>
      </c>
      <c r="E323" s="29" t="s">
        <v>217</v>
      </c>
      <c r="F323" s="29" t="s">
        <v>117</v>
      </c>
      <c r="G323" s="18">
        <v>0</v>
      </c>
      <c r="H323" s="18">
        <v>0</v>
      </c>
      <c r="I323" s="18" t="s">
        <v>9</v>
      </c>
      <c r="J323" s="18" t="s">
        <v>63</v>
      </c>
      <c r="K323" s="68">
        <v>0</v>
      </c>
      <c r="L323" s="18">
        <v>0</v>
      </c>
      <c r="N323" s="19">
        <v>45338</v>
      </c>
      <c r="O323" s="19">
        <v>45338</v>
      </c>
      <c r="P323" s="18">
        <f t="shared" si="20"/>
        <v>0</v>
      </c>
      <c r="Q323" s="30" t="s">
        <v>765</v>
      </c>
      <c r="S323" s="19">
        <v>45338</v>
      </c>
      <c r="T323" s="18">
        <f t="shared" si="21"/>
        <v>0</v>
      </c>
      <c r="X323" s="18" t="s">
        <v>51</v>
      </c>
      <c r="Y323" s="18" t="s">
        <v>51</v>
      </c>
      <c r="AA323" s="18">
        <v>0</v>
      </c>
      <c r="AB323" s="18">
        <v>0</v>
      </c>
      <c r="AC323" s="18">
        <v>0</v>
      </c>
      <c r="AD323" s="18" t="s">
        <v>65</v>
      </c>
      <c r="AE323" s="18">
        <v>0</v>
      </c>
      <c r="AF323" s="18">
        <f t="shared" si="22"/>
        <v>0</v>
      </c>
      <c r="AG323" s="18" t="str">
        <f t="shared" si="23"/>
        <v>LOW</v>
      </c>
    </row>
    <row r="324" spans="1:33" ht="28.8" x14ac:dyDescent="0.3">
      <c r="A324" s="66">
        <v>323</v>
      </c>
      <c r="B324" s="18" t="s">
        <v>2</v>
      </c>
      <c r="C324" s="18" t="s">
        <v>6</v>
      </c>
      <c r="D324" s="18" t="s">
        <v>74</v>
      </c>
      <c r="E324" s="29" t="s">
        <v>218</v>
      </c>
      <c r="F324" s="29" t="s">
        <v>117</v>
      </c>
      <c r="G324" s="18">
        <v>0</v>
      </c>
      <c r="H324" s="18">
        <v>0</v>
      </c>
      <c r="I324" s="18" t="s">
        <v>9</v>
      </c>
      <c r="J324" s="18" t="s">
        <v>63</v>
      </c>
      <c r="K324" s="68">
        <v>0</v>
      </c>
      <c r="L324" s="18">
        <v>0</v>
      </c>
      <c r="N324" s="19">
        <v>45338</v>
      </c>
      <c r="O324" s="19">
        <v>45338</v>
      </c>
      <c r="P324" s="18">
        <f t="shared" si="20"/>
        <v>0</v>
      </c>
      <c r="Q324" s="30" t="s">
        <v>766</v>
      </c>
      <c r="S324" s="19">
        <v>45338</v>
      </c>
      <c r="T324" s="18">
        <f t="shared" si="21"/>
        <v>0</v>
      </c>
      <c r="X324" s="18" t="s">
        <v>51</v>
      </c>
      <c r="Y324" s="18" t="s">
        <v>51</v>
      </c>
      <c r="AA324" s="18">
        <v>0</v>
      </c>
      <c r="AB324" s="18">
        <v>0</v>
      </c>
      <c r="AC324" s="18">
        <v>0</v>
      </c>
      <c r="AD324" s="18" t="s">
        <v>65</v>
      </c>
      <c r="AE324" s="18">
        <v>0</v>
      </c>
      <c r="AF324" s="18">
        <f t="shared" si="22"/>
        <v>0</v>
      </c>
      <c r="AG324" s="18" t="str">
        <f t="shared" si="23"/>
        <v>LOW</v>
      </c>
    </row>
    <row r="325" spans="1:33" x14ac:dyDescent="0.3">
      <c r="A325" s="66">
        <v>324</v>
      </c>
      <c r="B325" s="18" t="s">
        <v>2</v>
      </c>
      <c r="C325" s="18" t="s">
        <v>6</v>
      </c>
      <c r="D325" s="18" t="s">
        <v>74</v>
      </c>
      <c r="E325" s="29" t="s">
        <v>219</v>
      </c>
      <c r="F325" s="29" t="s">
        <v>117</v>
      </c>
      <c r="G325" s="18">
        <v>0</v>
      </c>
      <c r="H325" s="18">
        <v>0</v>
      </c>
      <c r="I325" s="18" t="s">
        <v>9</v>
      </c>
      <c r="J325" s="18" t="s">
        <v>455</v>
      </c>
      <c r="K325" s="68">
        <v>0</v>
      </c>
      <c r="L325" s="18">
        <v>0</v>
      </c>
      <c r="N325" s="19">
        <v>45338</v>
      </c>
      <c r="O325" s="19">
        <v>45338</v>
      </c>
      <c r="P325" s="18">
        <f t="shared" si="20"/>
        <v>0</v>
      </c>
      <c r="Q325" s="30" t="s">
        <v>767</v>
      </c>
      <c r="S325" s="19">
        <v>45338</v>
      </c>
      <c r="T325" s="18">
        <f t="shared" si="21"/>
        <v>0</v>
      </c>
      <c r="X325" s="18" t="s">
        <v>51</v>
      </c>
      <c r="Y325" s="18" t="s">
        <v>51</v>
      </c>
      <c r="AA325" s="18">
        <v>0</v>
      </c>
      <c r="AB325" s="18">
        <v>0</v>
      </c>
      <c r="AC325" s="18">
        <v>0</v>
      </c>
      <c r="AD325" s="18" t="s">
        <v>65</v>
      </c>
      <c r="AE325" s="18">
        <v>0</v>
      </c>
      <c r="AF325" s="18">
        <f t="shared" si="22"/>
        <v>0</v>
      </c>
      <c r="AG325" s="18" t="str">
        <f t="shared" si="23"/>
        <v>LOW</v>
      </c>
    </row>
    <row r="326" spans="1:33" x14ac:dyDescent="0.3">
      <c r="A326" s="66">
        <v>325</v>
      </c>
      <c r="B326" s="18" t="s">
        <v>2</v>
      </c>
      <c r="C326" s="18" t="s">
        <v>6</v>
      </c>
      <c r="D326" s="18" t="s">
        <v>74</v>
      </c>
      <c r="E326" s="29" t="s">
        <v>220</v>
      </c>
      <c r="F326" s="29" t="s">
        <v>117</v>
      </c>
      <c r="G326" s="18">
        <v>0</v>
      </c>
      <c r="H326" s="18">
        <v>0</v>
      </c>
      <c r="I326" s="18" t="s">
        <v>9</v>
      </c>
      <c r="J326" s="18" t="s">
        <v>63</v>
      </c>
      <c r="K326" s="68">
        <v>0</v>
      </c>
      <c r="L326" s="18">
        <v>0</v>
      </c>
      <c r="N326" s="19">
        <v>45338</v>
      </c>
      <c r="O326" s="19">
        <v>45338</v>
      </c>
      <c r="P326" s="18">
        <f t="shared" si="20"/>
        <v>0</v>
      </c>
      <c r="Q326" s="30" t="s">
        <v>623</v>
      </c>
      <c r="S326" s="19">
        <v>45338</v>
      </c>
      <c r="T326" s="18">
        <f t="shared" si="21"/>
        <v>0</v>
      </c>
      <c r="X326" s="18" t="s">
        <v>51</v>
      </c>
      <c r="Y326" s="18" t="s">
        <v>51</v>
      </c>
      <c r="AA326" s="18">
        <v>0</v>
      </c>
      <c r="AB326" s="18">
        <v>0</v>
      </c>
      <c r="AC326" s="18">
        <v>0</v>
      </c>
      <c r="AD326" s="18" t="s">
        <v>65</v>
      </c>
      <c r="AE326" s="18">
        <v>0</v>
      </c>
      <c r="AF326" s="18">
        <f t="shared" si="22"/>
        <v>0</v>
      </c>
      <c r="AG326" s="18" t="str">
        <f t="shared" si="23"/>
        <v>LOW</v>
      </c>
    </row>
    <row r="327" spans="1:33" x14ac:dyDescent="0.3">
      <c r="A327" s="66">
        <v>326</v>
      </c>
      <c r="B327" s="18" t="s">
        <v>2</v>
      </c>
      <c r="C327" s="18" t="s">
        <v>6</v>
      </c>
      <c r="D327" s="18" t="s">
        <v>74</v>
      </c>
      <c r="E327" s="29" t="s">
        <v>221</v>
      </c>
      <c r="F327" s="29" t="s">
        <v>117</v>
      </c>
      <c r="G327" s="18">
        <v>0</v>
      </c>
      <c r="H327" s="18">
        <v>0</v>
      </c>
      <c r="I327" s="18" t="s">
        <v>9</v>
      </c>
      <c r="J327" s="18" t="s">
        <v>63</v>
      </c>
      <c r="K327" s="68">
        <v>0</v>
      </c>
      <c r="L327" s="18">
        <v>0</v>
      </c>
      <c r="N327" s="19">
        <v>45338</v>
      </c>
      <c r="O327" s="19">
        <v>45338</v>
      </c>
      <c r="P327" s="18">
        <f t="shared" si="20"/>
        <v>0</v>
      </c>
      <c r="Q327" s="30" t="s">
        <v>768</v>
      </c>
      <c r="S327" s="19">
        <v>45338</v>
      </c>
      <c r="T327" s="18">
        <f t="shared" si="21"/>
        <v>0</v>
      </c>
      <c r="X327" s="18" t="s">
        <v>51</v>
      </c>
      <c r="Y327" s="18" t="s">
        <v>51</v>
      </c>
      <c r="AA327" s="18">
        <v>0</v>
      </c>
      <c r="AB327" s="18">
        <v>0</v>
      </c>
      <c r="AC327" s="18">
        <v>0</v>
      </c>
      <c r="AD327" s="18" t="s">
        <v>65</v>
      </c>
      <c r="AE327" s="18">
        <v>0</v>
      </c>
      <c r="AF327" s="18">
        <f t="shared" si="22"/>
        <v>0</v>
      </c>
      <c r="AG327" s="18" t="str">
        <f t="shared" si="23"/>
        <v>LOW</v>
      </c>
    </row>
    <row r="328" spans="1:33" x14ac:dyDescent="0.3">
      <c r="A328" s="66">
        <v>327</v>
      </c>
      <c r="B328" s="18" t="s">
        <v>2</v>
      </c>
      <c r="C328" s="18" t="s">
        <v>6</v>
      </c>
      <c r="D328" s="18" t="s">
        <v>74</v>
      </c>
      <c r="E328" s="29" t="s">
        <v>222</v>
      </c>
      <c r="F328" s="29" t="s">
        <v>117</v>
      </c>
      <c r="G328" s="18">
        <v>0</v>
      </c>
      <c r="H328" s="18">
        <v>0</v>
      </c>
      <c r="I328" s="18" t="s">
        <v>9</v>
      </c>
      <c r="J328" s="18" t="s">
        <v>63</v>
      </c>
      <c r="K328" s="68">
        <v>0</v>
      </c>
      <c r="L328" s="18">
        <v>0</v>
      </c>
      <c r="N328" s="19">
        <v>45338</v>
      </c>
      <c r="O328" s="19">
        <v>45338</v>
      </c>
      <c r="P328" s="18">
        <f t="shared" si="20"/>
        <v>0</v>
      </c>
      <c r="Q328" s="30" t="s">
        <v>769</v>
      </c>
      <c r="S328" s="19">
        <v>45338</v>
      </c>
      <c r="T328" s="18">
        <f t="shared" si="21"/>
        <v>0</v>
      </c>
      <c r="X328" s="18" t="s">
        <v>51</v>
      </c>
      <c r="Y328" s="18" t="s">
        <v>51</v>
      </c>
      <c r="AA328" s="18">
        <v>0</v>
      </c>
      <c r="AB328" s="18">
        <v>0</v>
      </c>
      <c r="AC328" s="18">
        <v>0</v>
      </c>
      <c r="AD328" s="18" t="s">
        <v>65</v>
      </c>
      <c r="AE328" s="18">
        <v>0</v>
      </c>
      <c r="AF328" s="18">
        <f t="shared" si="22"/>
        <v>0</v>
      </c>
      <c r="AG328" s="18" t="str">
        <f t="shared" si="23"/>
        <v>LOW</v>
      </c>
    </row>
    <row r="329" spans="1:33" x14ac:dyDescent="0.3">
      <c r="A329" s="66">
        <v>328</v>
      </c>
      <c r="B329" s="18" t="s">
        <v>68</v>
      </c>
      <c r="C329" s="18" t="s">
        <v>6</v>
      </c>
      <c r="D329" s="18" t="s">
        <v>60</v>
      </c>
      <c r="E329" s="29" t="s">
        <v>223</v>
      </c>
      <c r="F329" s="29" t="s">
        <v>117</v>
      </c>
      <c r="G329" s="18">
        <v>0</v>
      </c>
      <c r="H329" s="18">
        <v>0</v>
      </c>
      <c r="I329" s="18" t="s">
        <v>9</v>
      </c>
      <c r="J329" s="18" t="s">
        <v>63</v>
      </c>
      <c r="K329" s="68">
        <v>0</v>
      </c>
      <c r="L329" s="18">
        <v>0</v>
      </c>
      <c r="N329" s="19">
        <v>45338</v>
      </c>
      <c r="O329" s="19">
        <v>45338</v>
      </c>
      <c r="P329" s="18">
        <f t="shared" si="20"/>
        <v>0</v>
      </c>
      <c r="Q329" s="30" t="s">
        <v>770</v>
      </c>
      <c r="S329" s="19">
        <v>45338</v>
      </c>
      <c r="T329" s="18">
        <f t="shared" si="21"/>
        <v>0</v>
      </c>
      <c r="X329" s="18" t="s">
        <v>51</v>
      </c>
      <c r="Y329" s="18" t="s">
        <v>51</v>
      </c>
      <c r="AA329" s="18">
        <v>0</v>
      </c>
      <c r="AB329" s="18">
        <v>0</v>
      </c>
      <c r="AC329" s="18">
        <v>0</v>
      </c>
      <c r="AD329" s="18" t="s">
        <v>65</v>
      </c>
      <c r="AE329" s="18">
        <v>0</v>
      </c>
      <c r="AF329" s="18">
        <f t="shared" si="22"/>
        <v>0</v>
      </c>
      <c r="AG329" s="18" t="str">
        <f t="shared" si="23"/>
        <v>LOW</v>
      </c>
    </row>
    <row r="330" spans="1:33" x14ac:dyDescent="0.3">
      <c r="A330" s="66">
        <v>329</v>
      </c>
      <c r="B330" s="18" t="s">
        <v>68</v>
      </c>
      <c r="C330" s="18" t="s">
        <v>6</v>
      </c>
      <c r="D330" s="18" t="s">
        <v>60</v>
      </c>
      <c r="E330" s="29" t="s">
        <v>223</v>
      </c>
      <c r="F330" s="29" t="s">
        <v>117</v>
      </c>
      <c r="G330" s="18">
        <v>0</v>
      </c>
      <c r="H330" s="18">
        <v>0</v>
      </c>
      <c r="I330" s="18" t="s">
        <v>9</v>
      </c>
      <c r="J330" s="18" t="s">
        <v>63</v>
      </c>
      <c r="K330" s="68">
        <v>0</v>
      </c>
      <c r="L330" s="18">
        <v>0</v>
      </c>
      <c r="N330" s="19">
        <v>45338</v>
      </c>
      <c r="O330" s="19">
        <v>45338</v>
      </c>
      <c r="P330" s="18">
        <f t="shared" si="20"/>
        <v>0</v>
      </c>
      <c r="Q330" s="30" t="s">
        <v>771</v>
      </c>
      <c r="S330" s="19">
        <v>45338</v>
      </c>
      <c r="T330" s="18">
        <f t="shared" si="21"/>
        <v>0</v>
      </c>
      <c r="X330" s="18" t="s">
        <v>51</v>
      </c>
      <c r="Y330" s="18" t="s">
        <v>51</v>
      </c>
      <c r="AA330" s="18">
        <v>0</v>
      </c>
      <c r="AB330" s="18">
        <v>0</v>
      </c>
      <c r="AC330" s="18">
        <v>0</v>
      </c>
      <c r="AD330" s="18" t="s">
        <v>65</v>
      </c>
      <c r="AE330" s="18">
        <v>0</v>
      </c>
      <c r="AF330" s="18">
        <f t="shared" si="22"/>
        <v>0</v>
      </c>
      <c r="AG330" s="18" t="str">
        <f t="shared" si="23"/>
        <v>LOW</v>
      </c>
    </row>
    <row r="331" spans="1:33" x14ac:dyDescent="0.3">
      <c r="A331" s="66">
        <v>330</v>
      </c>
      <c r="B331" s="18" t="s">
        <v>68</v>
      </c>
      <c r="C331" s="18" t="s">
        <v>6</v>
      </c>
      <c r="D331" s="18" t="s">
        <v>60</v>
      </c>
      <c r="E331" s="29" t="s">
        <v>223</v>
      </c>
      <c r="F331" s="29" t="s">
        <v>117</v>
      </c>
      <c r="G331" s="18">
        <v>0</v>
      </c>
      <c r="H331" s="18">
        <v>0</v>
      </c>
      <c r="I331" s="18" t="s">
        <v>9</v>
      </c>
      <c r="J331" s="18" t="s">
        <v>63</v>
      </c>
      <c r="K331" s="68">
        <v>0</v>
      </c>
      <c r="L331" s="18">
        <v>0</v>
      </c>
      <c r="N331" s="19">
        <v>45338</v>
      </c>
      <c r="O331" s="19">
        <v>45338</v>
      </c>
      <c r="P331" s="18">
        <f t="shared" si="20"/>
        <v>0</v>
      </c>
      <c r="Q331" s="30" t="s">
        <v>772</v>
      </c>
      <c r="S331" s="19">
        <v>45338</v>
      </c>
      <c r="T331" s="18">
        <f t="shared" si="21"/>
        <v>0</v>
      </c>
      <c r="X331" s="18" t="s">
        <v>51</v>
      </c>
      <c r="Y331" s="18" t="s">
        <v>51</v>
      </c>
      <c r="AA331" s="18">
        <v>0</v>
      </c>
      <c r="AB331" s="18">
        <v>0</v>
      </c>
      <c r="AC331" s="18">
        <v>0</v>
      </c>
      <c r="AD331" s="18" t="s">
        <v>65</v>
      </c>
      <c r="AE331" s="18">
        <v>0</v>
      </c>
      <c r="AF331" s="18">
        <f t="shared" si="22"/>
        <v>0</v>
      </c>
      <c r="AG331" s="18" t="str">
        <f t="shared" si="23"/>
        <v>LOW</v>
      </c>
    </row>
    <row r="332" spans="1:33" x14ac:dyDescent="0.3">
      <c r="A332" s="66">
        <v>331</v>
      </c>
      <c r="B332" s="18" t="s">
        <v>2</v>
      </c>
      <c r="C332" s="18" t="s">
        <v>6</v>
      </c>
      <c r="D332" s="18" t="s">
        <v>76</v>
      </c>
      <c r="E332" s="29" t="s">
        <v>224</v>
      </c>
      <c r="F332" s="29" t="s">
        <v>117</v>
      </c>
      <c r="G332" s="18">
        <v>0</v>
      </c>
      <c r="H332" s="18">
        <v>0</v>
      </c>
      <c r="I332" s="18" t="s">
        <v>9</v>
      </c>
      <c r="J332" s="18" t="s">
        <v>63</v>
      </c>
      <c r="K332" s="68">
        <v>0</v>
      </c>
      <c r="L332" s="18">
        <v>0</v>
      </c>
      <c r="N332" s="19">
        <v>45338</v>
      </c>
      <c r="O332" s="19">
        <v>45338</v>
      </c>
      <c r="P332" s="18">
        <f t="shared" si="20"/>
        <v>0</v>
      </c>
      <c r="Q332" s="30" t="s">
        <v>773</v>
      </c>
      <c r="S332" s="19">
        <v>45338</v>
      </c>
      <c r="T332" s="18">
        <f t="shared" si="21"/>
        <v>0</v>
      </c>
      <c r="X332" s="18" t="s">
        <v>51</v>
      </c>
      <c r="Y332" s="18" t="s">
        <v>51</v>
      </c>
      <c r="AA332" s="18">
        <v>0</v>
      </c>
      <c r="AB332" s="18">
        <v>0</v>
      </c>
      <c r="AC332" s="18">
        <v>0</v>
      </c>
      <c r="AD332" s="18" t="s">
        <v>65</v>
      </c>
      <c r="AE332" s="18">
        <v>0</v>
      </c>
      <c r="AF332" s="18">
        <f t="shared" si="22"/>
        <v>0</v>
      </c>
      <c r="AG332" s="18" t="str">
        <f t="shared" si="23"/>
        <v>LOW</v>
      </c>
    </row>
    <row r="333" spans="1:33" x14ac:dyDescent="0.3">
      <c r="A333" s="66">
        <v>332</v>
      </c>
      <c r="B333" s="18" t="s">
        <v>68</v>
      </c>
      <c r="C333" s="18" t="s">
        <v>6</v>
      </c>
      <c r="D333" s="18" t="s">
        <v>60</v>
      </c>
      <c r="E333" s="29" t="s">
        <v>223</v>
      </c>
      <c r="F333" s="29" t="s">
        <v>117</v>
      </c>
      <c r="G333" s="18">
        <v>0</v>
      </c>
      <c r="H333" s="18">
        <v>0</v>
      </c>
      <c r="I333" s="18" t="s">
        <v>9</v>
      </c>
      <c r="J333" s="18" t="s">
        <v>63</v>
      </c>
      <c r="K333" s="68">
        <v>0</v>
      </c>
      <c r="L333" s="18">
        <v>0</v>
      </c>
      <c r="N333" s="19">
        <v>45338</v>
      </c>
      <c r="O333" s="19">
        <v>45338</v>
      </c>
      <c r="P333" s="18">
        <f t="shared" si="20"/>
        <v>0</v>
      </c>
      <c r="Q333" s="30" t="s">
        <v>774</v>
      </c>
      <c r="S333" s="19">
        <v>45338</v>
      </c>
      <c r="T333" s="18">
        <f t="shared" si="21"/>
        <v>0</v>
      </c>
      <c r="X333" s="18" t="s">
        <v>51</v>
      </c>
      <c r="Y333" s="18" t="s">
        <v>51</v>
      </c>
      <c r="AA333" s="18">
        <v>0</v>
      </c>
      <c r="AB333" s="18">
        <v>0</v>
      </c>
      <c r="AC333" s="18">
        <v>0</v>
      </c>
      <c r="AD333" s="18" t="s">
        <v>65</v>
      </c>
      <c r="AE333" s="18">
        <v>0</v>
      </c>
      <c r="AF333" s="18">
        <f t="shared" si="22"/>
        <v>0</v>
      </c>
      <c r="AG333" s="18" t="str">
        <f t="shared" si="23"/>
        <v>LOW</v>
      </c>
    </row>
    <row r="334" spans="1:33" ht="28.8" x14ac:dyDescent="0.3">
      <c r="A334" s="66">
        <v>333</v>
      </c>
      <c r="B334" s="18" t="s">
        <v>2</v>
      </c>
      <c r="C334" s="18" t="s">
        <v>6</v>
      </c>
      <c r="D334" s="18" t="s">
        <v>74</v>
      </c>
      <c r="E334" s="29" t="s">
        <v>217</v>
      </c>
      <c r="F334" s="29" t="s">
        <v>117</v>
      </c>
      <c r="G334" s="18">
        <v>0</v>
      </c>
      <c r="H334" s="18">
        <v>0</v>
      </c>
      <c r="I334" s="18" t="s">
        <v>9</v>
      </c>
      <c r="J334" s="18" t="s">
        <v>63</v>
      </c>
      <c r="K334" s="68">
        <v>0</v>
      </c>
      <c r="L334" s="18">
        <v>0</v>
      </c>
      <c r="N334" s="19">
        <v>45338</v>
      </c>
      <c r="O334" s="19">
        <v>45338</v>
      </c>
      <c r="P334" s="18">
        <f t="shared" si="20"/>
        <v>0</v>
      </c>
      <c r="Q334" s="30" t="s">
        <v>775</v>
      </c>
      <c r="S334" s="19">
        <v>45338</v>
      </c>
      <c r="T334" s="18">
        <f t="shared" si="21"/>
        <v>0</v>
      </c>
      <c r="X334" s="18" t="s">
        <v>51</v>
      </c>
      <c r="Y334" s="18" t="s">
        <v>51</v>
      </c>
      <c r="AA334" s="18">
        <v>0</v>
      </c>
      <c r="AB334" s="18">
        <v>0</v>
      </c>
      <c r="AC334" s="18">
        <v>0</v>
      </c>
      <c r="AD334" s="18" t="s">
        <v>65</v>
      </c>
      <c r="AE334" s="18">
        <v>0</v>
      </c>
      <c r="AF334" s="18">
        <f t="shared" si="22"/>
        <v>0</v>
      </c>
      <c r="AG334" s="18" t="str">
        <f t="shared" si="23"/>
        <v>LOW</v>
      </c>
    </row>
    <row r="335" spans="1:33" x14ac:dyDescent="0.3">
      <c r="A335" s="66">
        <v>334</v>
      </c>
      <c r="B335" s="18" t="s">
        <v>2</v>
      </c>
      <c r="C335" s="18" t="s">
        <v>6</v>
      </c>
      <c r="D335" s="18" t="s">
        <v>60</v>
      </c>
      <c r="E335" s="29" t="s">
        <v>205</v>
      </c>
      <c r="F335" s="29" t="s">
        <v>117</v>
      </c>
      <c r="G335" s="18">
        <v>0</v>
      </c>
      <c r="H335" s="18">
        <v>0</v>
      </c>
      <c r="I335" s="18" t="s">
        <v>9</v>
      </c>
      <c r="J335" s="18" t="s">
        <v>63</v>
      </c>
      <c r="K335" s="68">
        <v>0</v>
      </c>
      <c r="L335" s="18">
        <v>0</v>
      </c>
      <c r="N335" s="19">
        <v>45341</v>
      </c>
      <c r="O335" s="19">
        <v>45341</v>
      </c>
      <c r="P335" s="18">
        <f t="shared" si="20"/>
        <v>0</v>
      </c>
      <c r="Q335" s="30" t="s">
        <v>776</v>
      </c>
      <c r="S335" s="19">
        <v>45341</v>
      </c>
      <c r="T335" s="18">
        <f t="shared" si="21"/>
        <v>0</v>
      </c>
      <c r="X335" s="18" t="s">
        <v>51</v>
      </c>
      <c r="Y335" s="18" t="s">
        <v>51</v>
      </c>
      <c r="AA335" s="18">
        <v>0</v>
      </c>
      <c r="AB335" s="18">
        <v>0</v>
      </c>
      <c r="AC335" s="18">
        <v>0</v>
      </c>
      <c r="AD335" s="18" t="s">
        <v>65</v>
      </c>
      <c r="AE335" s="18">
        <v>0</v>
      </c>
      <c r="AF335" s="18">
        <f t="shared" si="22"/>
        <v>0</v>
      </c>
      <c r="AG335" s="18" t="str">
        <f t="shared" si="23"/>
        <v>LOW</v>
      </c>
    </row>
    <row r="336" spans="1:33" x14ac:dyDescent="0.3">
      <c r="A336" s="66">
        <v>335</v>
      </c>
      <c r="B336" s="18" t="s">
        <v>2</v>
      </c>
      <c r="C336" s="18" t="s">
        <v>6</v>
      </c>
      <c r="D336" s="18" t="s">
        <v>60</v>
      </c>
      <c r="E336" s="29" t="s">
        <v>205</v>
      </c>
      <c r="F336" s="29" t="s">
        <v>117</v>
      </c>
      <c r="G336" s="18">
        <v>0</v>
      </c>
      <c r="H336" s="18">
        <v>0</v>
      </c>
      <c r="I336" s="18" t="s">
        <v>9</v>
      </c>
      <c r="J336" s="18" t="s">
        <v>63</v>
      </c>
      <c r="K336" s="68">
        <v>0</v>
      </c>
      <c r="L336" s="18">
        <v>0</v>
      </c>
      <c r="N336" s="19">
        <v>45341</v>
      </c>
      <c r="O336" s="19">
        <v>45341</v>
      </c>
      <c r="P336" s="18">
        <f t="shared" si="20"/>
        <v>0</v>
      </c>
      <c r="Q336" s="30" t="s">
        <v>777</v>
      </c>
      <c r="S336" s="19">
        <v>45341</v>
      </c>
      <c r="T336" s="18">
        <f t="shared" si="21"/>
        <v>0</v>
      </c>
      <c r="X336" s="18" t="s">
        <v>51</v>
      </c>
      <c r="Y336" s="18" t="s">
        <v>51</v>
      </c>
      <c r="AA336" s="18">
        <v>0</v>
      </c>
      <c r="AB336" s="18">
        <v>0</v>
      </c>
      <c r="AC336" s="18">
        <v>0</v>
      </c>
      <c r="AD336" s="18" t="s">
        <v>65</v>
      </c>
      <c r="AE336" s="18">
        <v>0</v>
      </c>
      <c r="AF336" s="18">
        <f t="shared" si="22"/>
        <v>0</v>
      </c>
      <c r="AG336" s="18" t="str">
        <f t="shared" si="23"/>
        <v>LOW</v>
      </c>
    </row>
    <row r="337" spans="1:33" x14ac:dyDescent="0.3">
      <c r="A337" s="66">
        <v>336</v>
      </c>
      <c r="B337" s="18" t="s">
        <v>2</v>
      </c>
      <c r="C337" s="18" t="s">
        <v>6</v>
      </c>
      <c r="D337" s="18" t="s">
        <v>74</v>
      </c>
      <c r="E337" s="29" t="s">
        <v>205</v>
      </c>
      <c r="F337" s="29" t="s">
        <v>117</v>
      </c>
      <c r="G337" s="18">
        <v>0</v>
      </c>
      <c r="H337" s="18">
        <v>0</v>
      </c>
      <c r="I337" s="18" t="s">
        <v>9</v>
      </c>
      <c r="J337" s="18" t="s">
        <v>63</v>
      </c>
      <c r="K337" s="68">
        <v>0</v>
      </c>
      <c r="L337" s="18">
        <v>0</v>
      </c>
      <c r="N337" s="19">
        <v>45341</v>
      </c>
      <c r="O337" s="19">
        <v>45341</v>
      </c>
      <c r="P337" s="18">
        <f t="shared" si="20"/>
        <v>0</v>
      </c>
      <c r="Q337" s="30" t="s">
        <v>623</v>
      </c>
      <c r="S337" s="19">
        <v>45341</v>
      </c>
      <c r="T337" s="18">
        <f t="shared" si="21"/>
        <v>0</v>
      </c>
      <c r="X337" s="18" t="s">
        <v>51</v>
      </c>
      <c r="Y337" s="18" t="s">
        <v>51</v>
      </c>
      <c r="AA337" s="18">
        <v>0</v>
      </c>
      <c r="AB337" s="18">
        <v>0</v>
      </c>
      <c r="AC337" s="18">
        <v>0</v>
      </c>
      <c r="AD337" s="18" t="s">
        <v>65</v>
      </c>
      <c r="AE337" s="18">
        <v>0</v>
      </c>
      <c r="AF337" s="18">
        <f t="shared" si="22"/>
        <v>0</v>
      </c>
      <c r="AG337" s="18" t="str">
        <f t="shared" si="23"/>
        <v>LOW</v>
      </c>
    </row>
    <row r="338" spans="1:33" x14ac:dyDescent="0.3">
      <c r="A338" s="66">
        <v>337</v>
      </c>
      <c r="B338" s="18" t="s">
        <v>2</v>
      </c>
      <c r="C338" s="18" t="s">
        <v>6</v>
      </c>
      <c r="D338" s="18" t="s">
        <v>74</v>
      </c>
      <c r="E338" s="29" t="s">
        <v>225</v>
      </c>
      <c r="F338" s="29" t="s">
        <v>117</v>
      </c>
      <c r="G338" s="18">
        <v>0</v>
      </c>
      <c r="H338" s="18">
        <v>0</v>
      </c>
      <c r="I338" s="18" t="s">
        <v>9</v>
      </c>
      <c r="J338" s="18" t="s">
        <v>63</v>
      </c>
      <c r="K338" s="68">
        <v>0</v>
      </c>
      <c r="L338" s="18">
        <v>0</v>
      </c>
      <c r="N338" s="19">
        <v>45341</v>
      </c>
      <c r="O338" s="19">
        <v>45341</v>
      </c>
      <c r="P338" s="18">
        <f t="shared" si="20"/>
        <v>0</v>
      </c>
      <c r="Q338" s="30" t="s">
        <v>778</v>
      </c>
      <c r="S338" s="19">
        <v>45341</v>
      </c>
      <c r="T338" s="18">
        <f t="shared" si="21"/>
        <v>0</v>
      </c>
      <c r="X338" s="18" t="s">
        <v>51</v>
      </c>
      <c r="Y338" s="18" t="s">
        <v>51</v>
      </c>
      <c r="AA338" s="18">
        <v>0</v>
      </c>
      <c r="AB338" s="18">
        <v>0</v>
      </c>
      <c r="AC338" s="18">
        <v>0</v>
      </c>
      <c r="AD338" s="18" t="s">
        <v>65</v>
      </c>
      <c r="AE338" s="18">
        <v>0</v>
      </c>
      <c r="AF338" s="18">
        <f t="shared" si="22"/>
        <v>0</v>
      </c>
      <c r="AG338" s="18" t="str">
        <f t="shared" si="23"/>
        <v>LOW</v>
      </c>
    </row>
    <row r="339" spans="1:33" ht="28.8" x14ac:dyDescent="0.3">
      <c r="A339" s="66">
        <v>338</v>
      </c>
      <c r="B339" s="18" t="s">
        <v>2</v>
      </c>
      <c r="C339" s="18" t="s">
        <v>6</v>
      </c>
      <c r="D339" s="18" t="s">
        <v>74</v>
      </c>
      <c r="E339" s="29" t="s">
        <v>223</v>
      </c>
      <c r="F339" s="29" t="s">
        <v>117</v>
      </c>
      <c r="G339" s="18">
        <v>0</v>
      </c>
      <c r="H339" s="18">
        <v>0</v>
      </c>
      <c r="I339" s="18" t="s">
        <v>9</v>
      </c>
      <c r="J339" s="18" t="s">
        <v>63</v>
      </c>
      <c r="K339" s="68">
        <v>0</v>
      </c>
      <c r="L339" s="18">
        <v>0</v>
      </c>
      <c r="N339" s="19">
        <v>45341</v>
      </c>
      <c r="O339" s="19">
        <v>45341</v>
      </c>
      <c r="P339" s="18">
        <f t="shared" si="20"/>
        <v>0</v>
      </c>
      <c r="Q339" s="30" t="s">
        <v>779</v>
      </c>
      <c r="S339" s="19">
        <v>45341</v>
      </c>
      <c r="T339" s="18">
        <f t="shared" si="21"/>
        <v>0</v>
      </c>
      <c r="X339" s="18" t="s">
        <v>51</v>
      </c>
      <c r="Y339" s="18" t="s">
        <v>51</v>
      </c>
      <c r="AA339" s="18">
        <v>0</v>
      </c>
      <c r="AB339" s="18">
        <v>0</v>
      </c>
      <c r="AC339" s="18">
        <v>0</v>
      </c>
      <c r="AD339" s="18" t="s">
        <v>65</v>
      </c>
      <c r="AE339" s="18">
        <v>0</v>
      </c>
      <c r="AF339" s="18">
        <f t="shared" si="22"/>
        <v>0</v>
      </c>
      <c r="AG339" s="18" t="str">
        <f t="shared" si="23"/>
        <v>LOW</v>
      </c>
    </row>
    <row r="340" spans="1:33" x14ac:dyDescent="0.3">
      <c r="A340" s="66">
        <v>339</v>
      </c>
      <c r="B340" s="18" t="s">
        <v>2</v>
      </c>
      <c r="C340" s="18" t="s">
        <v>6</v>
      </c>
      <c r="D340" s="18" t="s">
        <v>74</v>
      </c>
      <c r="E340" s="29" t="s">
        <v>223</v>
      </c>
      <c r="F340" s="29" t="s">
        <v>117</v>
      </c>
      <c r="G340" s="18">
        <v>0</v>
      </c>
      <c r="H340" s="18">
        <v>0</v>
      </c>
      <c r="I340" s="18" t="s">
        <v>9</v>
      </c>
      <c r="J340" s="18" t="s">
        <v>63</v>
      </c>
      <c r="K340" s="68">
        <v>0</v>
      </c>
      <c r="L340" s="18">
        <v>0</v>
      </c>
      <c r="N340" s="19">
        <v>45341</v>
      </c>
      <c r="O340" s="19">
        <v>45341</v>
      </c>
      <c r="P340" s="18">
        <f t="shared" si="20"/>
        <v>0</v>
      </c>
      <c r="Q340" s="30" t="s">
        <v>780</v>
      </c>
      <c r="S340" s="19">
        <v>45341</v>
      </c>
      <c r="T340" s="18">
        <f t="shared" si="21"/>
        <v>0</v>
      </c>
      <c r="X340" s="18" t="s">
        <v>51</v>
      </c>
      <c r="Y340" s="18" t="s">
        <v>51</v>
      </c>
      <c r="AA340" s="18">
        <v>0</v>
      </c>
      <c r="AB340" s="18">
        <v>0</v>
      </c>
      <c r="AC340" s="18">
        <v>0</v>
      </c>
      <c r="AD340" s="18" t="s">
        <v>65</v>
      </c>
      <c r="AE340" s="18">
        <v>0</v>
      </c>
      <c r="AF340" s="18">
        <f t="shared" si="22"/>
        <v>0</v>
      </c>
      <c r="AG340" s="18" t="str">
        <f t="shared" si="23"/>
        <v>LOW</v>
      </c>
    </row>
    <row r="341" spans="1:33" x14ac:dyDescent="0.3">
      <c r="A341" s="66">
        <v>340</v>
      </c>
      <c r="B341" s="18" t="s">
        <v>2</v>
      </c>
      <c r="C341" s="18" t="s">
        <v>6</v>
      </c>
      <c r="D341" s="18" t="s">
        <v>74</v>
      </c>
      <c r="E341" s="29" t="s">
        <v>223</v>
      </c>
      <c r="F341" s="29" t="s">
        <v>117</v>
      </c>
      <c r="G341" s="18">
        <v>0</v>
      </c>
      <c r="H341" s="18">
        <v>0</v>
      </c>
      <c r="I341" s="18" t="s">
        <v>9</v>
      </c>
      <c r="J341" s="18" t="s">
        <v>63</v>
      </c>
      <c r="K341" s="68">
        <v>0</v>
      </c>
      <c r="L341" s="18">
        <v>0</v>
      </c>
      <c r="N341" s="19">
        <v>45341</v>
      </c>
      <c r="O341" s="19">
        <v>45341</v>
      </c>
      <c r="P341" s="18">
        <f t="shared" si="20"/>
        <v>0</v>
      </c>
      <c r="Q341" s="30" t="s">
        <v>781</v>
      </c>
      <c r="S341" s="19">
        <v>45341</v>
      </c>
      <c r="T341" s="18">
        <f t="shared" si="21"/>
        <v>0</v>
      </c>
      <c r="X341" s="18" t="s">
        <v>51</v>
      </c>
      <c r="Y341" s="18" t="s">
        <v>51</v>
      </c>
      <c r="AA341" s="18">
        <v>0</v>
      </c>
      <c r="AB341" s="18">
        <v>0</v>
      </c>
      <c r="AC341" s="18">
        <v>0</v>
      </c>
      <c r="AD341" s="18" t="s">
        <v>65</v>
      </c>
      <c r="AE341" s="18">
        <v>0</v>
      </c>
      <c r="AF341" s="18">
        <f t="shared" si="22"/>
        <v>0</v>
      </c>
      <c r="AG341" s="18" t="str">
        <f t="shared" si="23"/>
        <v>LOW</v>
      </c>
    </row>
    <row r="342" spans="1:33" x14ac:dyDescent="0.3">
      <c r="A342" s="66">
        <v>341</v>
      </c>
      <c r="B342" s="18" t="s">
        <v>2</v>
      </c>
      <c r="C342" s="18" t="s">
        <v>6</v>
      </c>
      <c r="D342" s="18" t="s">
        <v>74</v>
      </c>
      <c r="E342" s="29" t="s">
        <v>223</v>
      </c>
      <c r="F342" s="29" t="s">
        <v>117</v>
      </c>
      <c r="G342" s="18">
        <v>0</v>
      </c>
      <c r="H342" s="18">
        <v>0</v>
      </c>
      <c r="I342" s="18" t="s">
        <v>9</v>
      </c>
      <c r="J342" s="18" t="s">
        <v>63</v>
      </c>
      <c r="K342" s="68">
        <v>0</v>
      </c>
      <c r="L342" s="18">
        <v>0</v>
      </c>
      <c r="N342" s="19">
        <v>45341</v>
      </c>
      <c r="O342" s="19">
        <v>45341</v>
      </c>
      <c r="P342" s="18">
        <f t="shared" si="20"/>
        <v>0</v>
      </c>
      <c r="Q342" s="30" t="s">
        <v>782</v>
      </c>
      <c r="S342" s="19">
        <v>45341</v>
      </c>
      <c r="T342" s="18">
        <f t="shared" si="21"/>
        <v>0</v>
      </c>
      <c r="X342" s="18" t="s">
        <v>51</v>
      </c>
      <c r="Y342" s="18" t="s">
        <v>51</v>
      </c>
      <c r="AA342" s="18">
        <v>0</v>
      </c>
      <c r="AB342" s="18">
        <v>0</v>
      </c>
      <c r="AC342" s="18">
        <v>0</v>
      </c>
      <c r="AD342" s="18" t="s">
        <v>65</v>
      </c>
      <c r="AE342" s="18">
        <v>0</v>
      </c>
      <c r="AF342" s="18">
        <f t="shared" si="22"/>
        <v>0</v>
      </c>
      <c r="AG342" s="18" t="str">
        <f t="shared" si="23"/>
        <v>LOW</v>
      </c>
    </row>
    <row r="343" spans="1:33" x14ac:dyDescent="0.3">
      <c r="A343" s="66">
        <v>342</v>
      </c>
      <c r="B343" s="18" t="s">
        <v>2</v>
      </c>
      <c r="C343" s="18" t="s">
        <v>6</v>
      </c>
      <c r="D343" s="18" t="s">
        <v>74</v>
      </c>
      <c r="E343" s="29" t="s">
        <v>226</v>
      </c>
      <c r="F343" s="29" t="s">
        <v>117</v>
      </c>
      <c r="G343" s="18">
        <v>0</v>
      </c>
      <c r="H343" s="18">
        <v>0</v>
      </c>
      <c r="I343" s="18" t="s">
        <v>9</v>
      </c>
      <c r="J343" s="18" t="s">
        <v>63</v>
      </c>
      <c r="K343" s="68">
        <v>0</v>
      </c>
      <c r="L343" s="18">
        <v>0</v>
      </c>
      <c r="N343" s="19">
        <v>45341</v>
      </c>
      <c r="O343" s="19">
        <v>45341</v>
      </c>
      <c r="P343" s="18">
        <f t="shared" si="20"/>
        <v>0</v>
      </c>
      <c r="Q343" s="30" t="s">
        <v>783</v>
      </c>
      <c r="S343" s="19">
        <v>45341</v>
      </c>
      <c r="T343" s="18">
        <f t="shared" si="21"/>
        <v>0</v>
      </c>
      <c r="X343" s="18" t="s">
        <v>51</v>
      </c>
      <c r="Y343" s="18" t="s">
        <v>51</v>
      </c>
      <c r="AA343" s="18">
        <v>0</v>
      </c>
      <c r="AB343" s="18">
        <v>0</v>
      </c>
      <c r="AC343" s="18">
        <v>0</v>
      </c>
      <c r="AD343" s="18" t="s">
        <v>65</v>
      </c>
      <c r="AE343" s="18">
        <v>0</v>
      </c>
      <c r="AF343" s="18">
        <f t="shared" si="22"/>
        <v>0</v>
      </c>
      <c r="AG343" s="18" t="str">
        <f t="shared" si="23"/>
        <v>LOW</v>
      </c>
    </row>
    <row r="344" spans="1:33" x14ac:dyDescent="0.3">
      <c r="A344" s="66">
        <v>343</v>
      </c>
      <c r="B344" s="18" t="s">
        <v>2</v>
      </c>
      <c r="C344" s="18" t="s">
        <v>6</v>
      </c>
      <c r="D344" s="18" t="s">
        <v>73</v>
      </c>
      <c r="E344" s="29" t="s">
        <v>227</v>
      </c>
      <c r="F344" s="29" t="s">
        <v>117</v>
      </c>
      <c r="G344" s="18">
        <v>0</v>
      </c>
      <c r="H344" s="18">
        <v>0</v>
      </c>
      <c r="I344" s="18" t="s">
        <v>9</v>
      </c>
      <c r="J344" s="18" t="s">
        <v>63</v>
      </c>
      <c r="K344" s="68">
        <v>0</v>
      </c>
      <c r="L344" s="18">
        <v>0</v>
      </c>
      <c r="N344" s="19">
        <v>45342</v>
      </c>
      <c r="O344" s="19">
        <v>45342</v>
      </c>
      <c r="P344" s="18">
        <f t="shared" si="20"/>
        <v>0</v>
      </c>
      <c r="Q344" s="30" t="s">
        <v>784</v>
      </c>
      <c r="S344" s="19">
        <v>45342</v>
      </c>
      <c r="T344" s="18">
        <f t="shared" si="21"/>
        <v>0</v>
      </c>
      <c r="X344" s="18" t="s">
        <v>51</v>
      </c>
      <c r="Y344" s="18" t="s">
        <v>51</v>
      </c>
      <c r="AA344" s="18">
        <v>0</v>
      </c>
      <c r="AB344" s="18">
        <v>0</v>
      </c>
      <c r="AC344" s="18">
        <v>0</v>
      </c>
      <c r="AD344" s="18" t="s">
        <v>65</v>
      </c>
      <c r="AE344" s="18">
        <v>0</v>
      </c>
      <c r="AF344" s="18">
        <f t="shared" si="22"/>
        <v>0</v>
      </c>
      <c r="AG344" s="18" t="str">
        <f t="shared" si="23"/>
        <v>LOW</v>
      </c>
    </row>
    <row r="345" spans="1:33" x14ac:dyDescent="0.3">
      <c r="A345" s="66">
        <v>344</v>
      </c>
      <c r="B345" s="18" t="s">
        <v>2</v>
      </c>
      <c r="C345" s="18" t="s">
        <v>6</v>
      </c>
      <c r="D345" s="18" t="s">
        <v>74</v>
      </c>
      <c r="E345" s="29" t="s">
        <v>223</v>
      </c>
      <c r="F345" s="29" t="s">
        <v>117</v>
      </c>
      <c r="G345" s="18">
        <v>0</v>
      </c>
      <c r="H345" s="18">
        <v>0</v>
      </c>
      <c r="I345" s="18" t="s">
        <v>9</v>
      </c>
      <c r="J345" s="18" t="s">
        <v>63</v>
      </c>
      <c r="K345" s="68">
        <v>0</v>
      </c>
      <c r="L345" s="18">
        <v>0</v>
      </c>
      <c r="N345" s="19">
        <v>45342</v>
      </c>
      <c r="O345" s="19">
        <v>45342</v>
      </c>
      <c r="P345" s="18">
        <f t="shared" si="20"/>
        <v>0</v>
      </c>
      <c r="Q345" s="30" t="s">
        <v>785</v>
      </c>
      <c r="S345" s="19">
        <v>45342</v>
      </c>
      <c r="T345" s="18">
        <f t="shared" si="21"/>
        <v>0</v>
      </c>
      <c r="X345" s="18" t="s">
        <v>51</v>
      </c>
      <c r="Y345" s="18" t="s">
        <v>51</v>
      </c>
      <c r="AA345" s="18">
        <v>0</v>
      </c>
      <c r="AB345" s="18">
        <v>0</v>
      </c>
      <c r="AC345" s="18">
        <v>0</v>
      </c>
      <c r="AD345" s="18" t="s">
        <v>65</v>
      </c>
      <c r="AE345" s="18">
        <v>0</v>
      </c>
      <c r="AF345" s="18">
        <f t="shared" si="22"/>
        <v>0</v>
      </c>
      <c r="AG345" s="18" t="str">
        <f t="shared" si="23"/>
        <v>LOW</v>
      </c>
    </row>
    <row r="346" spans="1:33" x14ac:dyDescent="0.3">
      <c r="A346" s="66">
        <v>345</v>
      </c>
      <c r="B346" s="18" t="s">
        <v>2</v>
      </c>
      <c r="C346" s="18" t="s">
        <v>6</v>
      </c>
      <c r="D346" s="18" t="s">
        <v>76</v>
      </c>
      <c r="E346" s="29" t="s">
        <v>218</v>
      </c>
      <c r="F346" s="29" t="s">
        <v>117</v>
      </c>
      <c r="G346" s="18">
        <v>0</v>
      </c>
      <c r="H346" s="18">
        <v>0</v>
      </c>
      <c r="I346" s="18" t="s">
        <v>9</v>
      </c>
      <c r="J346" s="18" t="s">
        <v>63</v>
      </c>
      <c r="K346" s="68">
        <v>0</v>
      </c>
      <c r="L346" s="18">
        <v>0</v>
      </c>
      <c r="N346" s="19">
        <v>45342</v>
      </c>
      <c r="O346" s="19">
        <v>45342</v>
      </c>
      <c r="P346" s="18">
        <f t="shared" si="20"/>
        <v>0</v>
      </c>
      <c r="Q346" s="30" t="s">
        <v>786</v>
      </c>
      <c r="S346" s="19">
        <v>45342</v>
      </c>
      <c r="T346" s="18">
        <f t="shared" si="21"/>
        <v>0</v>
      </c>
      <c r="X346" s="18" t="s">
        <v>51</v>
      </c>
      <c r="Y346" s="18" t="s">
        <v>51</v>
      </c>
      <c r="AA346" s="18">
        <v>0</v>
      </c>
      <c r="AB346" s="18">
        <v>0</v>
      </c>
      <c r="AC346" s="18">
        <v>0</v>
      </c>
      <c r="AD346" s="18" t="s">
        <v>65</v>
      </c>
      <c r="AE346" s="18">
        <v>0</v>
      </c>
      <c r="AF346" s="18">
        <f t="shared" si="22"/>
        <v>0</v>
      </c>
      <c r="AG346" s="18" t="str">
        <f t="shared" si="23"/>
        <v>LOW</v>
      </c>
    </row>
    <row r="347" spans="1:33" ht="28.8" x14ac:dyDescent="0.3">
      <c r="A347" s="66">
        <v>346</v>
      </c>
      <c r="B347" s="18" t="s">
        <v>2</v>
      </c>
      <c r="C347" s="18" t="s">
        <v>6</v>
      </c>
      <c r="D347" s="18" t="s">
        <v>74</v>
      </c>
      <c r="E347" s="29" t="s">
        <v>228</v>
      </c>
      <c r="F347" s="29" t="s">
        <v>117</v>
      </c>
      <c r="G347" s="18">
        <v>0</v>
      </c>
      <c r="H347" s="18">
        <v>0</v>
      </c>
      <c r="I347" s="18" t="s">
        <v>9</v>
      </c>
      <c r="J347" s="18" t="s">
        <v>63</v>
      </c>
      <c r="K347" s="68">
        <v>0</v>
      </c>
      <c r="L347" s="18">
        <v>0</v>
      </c>
      <c r="N347" s="19">
        <v>45342</v>
      </c>
      <c r="O347" s="19">
        <v>45342</v>
      </c>
      <c r="P347" s="18">
        <f t="shared" si="20"/>
        <v>0</v>
      </c>
      <c r="Q347" s="30" t="s">
        <v>766</v>
      </c>
      <c r="S347" s="19">
        <v>45342</v>
      </c>
      <c r="T347" s="18">
        <f t="shared" si="21"/>
        <v>0</v>
      </c>
      <c r="X347" s="18" t="s">
        <v>51</v>
      </c>
      <c r="Y347" s="18" t="s">
        <v>51</v>
      </c>
      <c r="AA347" s="18">
        <v>0</v>
      </c>
      <c r="AB347" s="18">
        <v>0</v>
      </c>
      <c r="AC347" s="18">
        <v>0</v>
      </c>
      <c r="AD347" s="18" t="s">
        <v>65</v>
      </c>
      <c r="AE347" s="18">
        <v>0</v>
      </c>
      <c r="AF347" s="18">
        <f t="shared" si="22"/>
        <v>0</v>
      </c>
      <c r="AG347" s="18" t="str">
        <f t="shared" si="23"/>
        <v>LOW</v>
      </c>
    </row>
    <row r="348" spans="1:33" x14ac:dyDescent="0.3">
      <c r="A348" s="66">
        <v>347</v>
      </c>
      <c r="B348" s="18" t="s">
        <v>2</v>
      </c>
      <c r="C348" s="18" t="s">
        <v>6</v>
      </c>
      <c r="D348" s="18" t="s">
        <v>74</v>
      </c>
      <c r="E348" s="29" t="s">
        <v>229</v>
      </c>
      <c r="F348" s="29" t="s">
        <v>117</v>
      </c>
      <c r="G348" s="18">
        <v>0</v>
      </c>
      <c r="H348" s="18">
        <v>0</v>
      </c>
      <c r="I348" s="18" t="s">
        <v>9</v>
      </c>
      <c r="J348" s="18" t="s">
        <v>63</v>
      </c>
      <c r="K348" s="68">
        <v>0</v>
      </c>
      <c r="L348" s="18">
        <v>0</v>
      </c>
      <c r="N348" s="19">
        <v>45342</v>
      </c>
      <c r="O348" s="19">
        <v>45342</v>
      </c>
      <c r="P348" s="18">
        <f t="shared" si="20"/>
        <v>0</v>
      </c>
      <c r="Q348" s="30" t="s">
        <v>787</v>
      </c>
      <c r="S348" s="19">
        <v>45342</v>
      </c>
      <c r="T348" s="18">
        <f t="shared" si="21"/>
        <v>0</v>
      </c>
      <c r="X348" s="18" t="s">
        <v>51</v>
      </c>
      <c r="Y348" s="18" t="s">
        <v>51</v>
      </c>
      <c r="AA348" s="18">
        <v>0</v>
      </c>
      <c r="AB348" s="18">
        <v>0</v>
      </c>
      <c r="AC348" s="18">
        <v>0</v>
      </c>
      <c r="AD348" s="18" t="s">
        <v>65</v>
      </c>
      <c r="AE348" s="18">
        <v>0</v>
      </c>
      <c r="AF348" s="18">
        <f t="shared" si="22"/>
        <v>0</v>
      </c>
      <c r="AG348" s="18" t="str">
        <f t="shared" si="23"/>
        <v>LOW</v>
      </c>
    </row>
    <row r="349" spans="1:33" x14ac:dyDescent="0.3">
      <c r="A349" s="66">
        <v>348</v>
      </c>
      <c r="B349" s="18" t="s">
        <v>2</v>
      </c>
      <c r="C349" s="18" t="s">
        <v>6</v>
      </c>
      <c r="D349" s="18" t="s">
        <v>74</v>
      </c>
      <c r="E349" s="29" t="s">
        <v>230</v>
      </c>
      <c r="F349" s="29" t="s">
        <v>117</v>
      </c>
      <c r="G349" s="18">
        <v>0</v>
      </c>
      <c r="H349" s="18">
        <v>0</v>
      </c>
      <c r="I349" s="18" t="s">
        <v>9</v>
      </c>
      <c r="J349" s="18" t="s">
        <v>11</v>
      </c>
      <c r="K349" s="68">
        <v>0</v>
      </c>
      <c r="L349" s="18">
        <v>0</v>
      </c>
      <c r="N349" s="19">
        <v>45342</v>
      </c>
      <c r="O349" s="19">
        <v>45342</v>
      </c>
      <c r="P349" s="18">
        <f t="shared" si="20"/>
        <v>0</v>
      </c>
      <c r="Q349" s="30" t="s">
        <v>788</v>
      </c>
      <c r="S349" s="19">
        <v>45342</v>
      </c>
      <c r="T349" s="18">
        <f t="shared" si="21"/>
        <v>0</v>
      </c>
      <c r="X349" s="18" t="s">
        <v>51</v>
      </c>
      <c r="Y349" s="18" t="s">
        <v>51</v>
      </c>
      <c r="AA349" s="18">
        <v>0</v>
      </c>
      <c r="AB349" s="18">
        <v>0</v>
      </c>
      <c r="AC349" s="18">
        <v>0</v>
      </c>
      <c r="AD349" s="18" t="s">
        <v>65</v>
      </c>
      <c r="AE349" s="18">
        <v>0</v>
      </c>
      <c r="AF349" s="18">
        <f t="shared" si="22"/>
        <v>0</v>
      </c>
      <c r="AG349" s="18" t="str">
        <f t="shared" si="23"/>
        <v>LOW</v>
      </c>
    </row>
    <row r="350" spans="1:33" ht="28.8" x14ac:dyDescent="0.3">
      <c r="A350" s="66">
        <v>349</v>
      </c>
      <c r="B350" s="18" t="s">
        <v>2</v>
      </c>
      <c r="C350" s="18" t="s">
        <v>6</v>
      </c>
      <c r="D350" s="18" t="s">
        <v>74</v>
      </c>
      <c r="E350" s="29" t="s">
        <v>231</v>
      </c>
      <c r="F350" s="29" t="s">
        <v>117</v>
      </c>
      <c r="G350" s="18">
        <v>0</v>
      </c>
      <c r="H350" s="18">
        <v>0</v>
      </c>
      <c r="I350" s="18" t="s">
        <v>9</v>
      </c>
      <c r="J350" s="18" t="s">
        <v>63</v>
      </c>
      <c r="K350" s="68">
        <v>0</v>
      </c>
      <c r="L350" s="18">
        <v>0</v>
      </c>
      <c r="N350" s="19">
        <v>45342</v>
      </c>
      <c r="O350" s="19">
        <v>45342</v>
      </c>
      <c r="P350" s="18">
        <f t="shared" si="20"/>
        <v>0</v>
      </c>
      <c r="Q350" s="30" t="s">
        <v>789</v>
      </c>
      <c r="S350" s="19">
        <v>45342</v>
      </c>
      <c r="T350" s="18">
        <f t="shared" si="21"/>
        <v>0</v>
      </c>
      <c r="X350" s="18" t="s">
        <v>51</v>
      </c>
      <c r="Y350" s="18" t="s">
        <v>51</v>
      </c>
      <c r="AA350" s="18">
        <v>0</v>
      </c>
      <c r="AB350" s="18">
        <v>0</v>
      </c>
      <c r="AC350" s="18">
        <v>0</v>
      </c>
      <c r="AD350" s="18" t="s">
        <v>65</v>
      </c>
      <c r="AE350" s="18">
        <v>0</v>
      </c>
      <c r="AF350" s="18">
        <f t="shared" si="22"/>
        <v>0</v>
      </c>
      <c r="AG350" s="18" t="str">
        <f t="shared" si="23"/>
        <v>LOW</v>
      </c>
    </row>
    <row r="351" spans="1:33" x14ac:dyDescent="0.3">
      <c r="A351" s="66">
        <v>350</v>
      </c>
      <c r="B351" s="18" t="s">
        <v>2</v>
      </c>
      <c r="C351" s="18" t="s">
        <v>6</v>
      </c>
      <c r="D351" s="18" t="s">
        <v>60</v>
      </c>
      <c r="E351" s="29" t="s">
        <v>223</v>
      </c>
      <c r="F351" s="29" t="s">
        <v>117</v>
      </c>
      <c r="G351" s="18">
        <v>0</v>
      </c>
      <c r="H351" s="18">
        <v>0</v>
      </c>
      <c r="I351" s="18" t="s">
        <v>9</v>
      </c>
      <c r="J351" s="18" t="s">
        <v>63</v>
      </c>
      <c r="K351" s="68">
        <v>0</v>
      </c>
      <c r="L351" s="18">
        <v>0</v>
      </c>
      <c r="N351" s="19">
        <v>45343</v>
      </c>
      <c r="O351" s="19">
        <v>45343</v>
      </c>
      <c r="P351" s="18">
        <f t="shared" si="20"/>
        <v>0</v>
      </c>
      <c r="Q351" s="30" t="s">
        <v>790</v>
      </c>
      <c r="S351" s="19">
        <v>45343</v>
      </c>
      <c r="T351" s="18">
        <f t="shared" si="21"/>
        <v>0</v>
      </c>
      <c r="X351" s="18" t="s">
        <v>51</v>
      </c>
      <c r="Y351" s="18" t="s">
        <v>51</v>
      </c>
      <c r="AA351" s="18">
        <v>0</v>
      </c>
      <c r="AB351" s="18">
        <v>0</v>
      </c>
      <c r="AC351" s="18">
        <v>0</v>
      </c>
      <c r="AD351" s="18" t="s">
        <v>65</v>
      </c>
      <c r="AE351" s="18">
        <v>0</v>
      </c>
      <c r="AF351" s="18">
        <f t="shared" si="22"/>
        <v>0</v>
      </c>
      <c r="AG351" s="18" t="str">
        <f t="shared" si="23"/>
        <v>LOW</v>
      </c>
    </row>
    <row r="352" spans="1:33" ht="28.8" x14ac:dyDescent="0.3">
      <c r="A352" s="66">
        <v>351</v>
      </c>
      <c r="B352" s="18" t="s">
        <v>2</v>
      </c>
      <c r="C352" s="18" t="s">
        <v>6</v>
      </c>
      <c r="D352" s="18" t="s">
        <v>74</v>
      </c>
      <c r="E352" s="29" t="s">
        <v>973</v>
      </c>
      <c r="F352" s="29" t="s">
        <v>117</v>
      </c>
      <c r="G352" s="18">
        <v>0</v>
      </c>
      <c r="H352" s="18">
        <v>0</v>
      </c>
      <c r="I352" s="18" t="s">
        <v>9</v>
      </c>
      <c r="J352" s="18" t="s">
        <v>63</v>
      </c>
      <c r="K352" s="68">
        <v>0</v>
      </c>
      <c r="L352" s="18">
        <v>0</v>
      </c>
      <c r="N352" s="19">
        <v>45343</v>
      </c>
      <c r="O352" s="19">
        <v>45343</v>
      </c>
      <c r="P352" s="18">
        <f t="shared" si="20"/>
        <v>0</v>
      </c>
      <c r="Q352" s="30" t="s">
        <v>791</v>
      </c>
      <c r="S352" s="19">
        <v>45343</v>
      </c>
      <c r="T352" s="18">
        <f t="shared" si="21"/>
        <v>0</v>
      </c>
      <c r="X352" s="18" t="s">
        <v>51</v>
      </c>
      <c r="Y352" s="18" t="s">
        <v>51</v>
      </c>
      <c r="AA352" s="18">
        <v>0</v>
      </c>
      <c r="AB352" s="18">
        <v>0</v>
      </c>
      <c r="AC352" s="18">
        <v>0</v>
      </c>
      <c r="AD352" s="18" t="s">
        <v>65</v>
      </c>
      <c r="AE352" s="18">
        <v>0</v>
      </c>
      <c r="AF352" s="18">
        <f t="shared" si="22"/>
        <v>0</v>
      </c>
      <c r="AG352" s="18" t="str">
        <f t="shared" si="23"/>
        <v>LOW</v>
      </c>
    </row>
    <row r="353" spans="1:33" ht="28.8" x14ac:dyDescent="0.3">
      <c r="A353" s="66">
        <v>352</v>
      </c>
      <c r="B353" s="18" t="s">
        <v>2</v>
      </c>
      <c r="C353" s="18" t="s">
        <v>6</v>
      </c>
      <c r="D353" s="18" t="s">
        <v>74</v>
      </c>
      <c r="E353" s="29" t="s">
        <v>974</v>
      </c>
      <c r="F353" s="29" t="s">
        <v>117</v>
      </c>
      <c r="G353" s="18">
        <v>0</v>
      </c>
      <c r="H353" s="18">
        <v>0</v>
      </c>
      <c r="I353" s="18" t="s">
        <v>9</v>
      </c>
      <c r="J353" s="18" t="s">
        <v>63</v>
      </c>
      <c r="K353" s="68">
        <v>0</v>
      </c>
      <c r="L353" s="18">
        <v>0</v>
      </c>
      <c r="N353" s="19">
        <v>45343</v>
      </c>
      <c r="O353" s="19">
        <v>45343</v>
      </c>
      <c r="P353" s="18">
        <f t="shared" si="20"/>
        <v>0</v>
      </c>
      <c r="Q353" s="30" t="s">
        <v>792</v>
      </c>
      <c r="S353" s="19">
        <v>45343</v>
      </c>
      <c r="T353" s="18">
        <f t="shared" si="21"/>
        <v>0</v>
      </c>
      <c r="X353" s="18" t="s">
        <v>51</v>
      </c>
      <c r="Y353" s="18" t="s">
        <v>51</v>
      </c>
      <c r="AA353" s="18">
        <v>0</v>
      </c>
      <c r="AB353" s="18">
        <v>0</v>
      </c>
      <c r="AC353" s="18">
        <v>0</v>
      </c>
      <c r="AD353" s="18" t="s">
        <v>65</v>
      </c>
      <c r="AE353" s="18">
        <v>0</v>
      </c>
      <c r="AF353" s="18">
        <f t="shared" si="22"/>
        <v>0</v>
      </c>
      <c r="AG353" s="18" t="str">
        <f t="shared" si="23"/>
        <v>LOW</v>
      </c>
    </row>
    <row r="354" spans="1:33" ht="28.8" x14ac:dyDescent="0.3">
      <c r="A354" s="66">
        <v>353</v>
      </c>
      <c r="B354" s="18" t="s">
        <v>2</v>
      </c>
      <c r="C354" s="18" t="s">
        <v>6</v>
      </c>
      <c r="D354" s="18" t="s">
        <v>74</v>
      </c>
      <c r="E354" s="29" t="s">
        <v>975</v>
      </c>
      <c r="F354" s="29" t="s">
        <v>117</v>
      </c>
      <c r="G354" s="18">
        <v>0</v>
      </c>
      <c r="H354" s="18">
        <v>0</v>
      </c>
      <c r="I354" s="18" t="s">
        <v>9</v>
      </c>
      <c r="J354" s="18" t="s">
        <v>63</v>
      </c>
      <c r="K354" s="68">
        <v>0</v>
      </c>
      <c r="L354" s="18">
        <v>0</v>
      </c>
      <c r="N354" s="19">
        <v>45343</v>
      </c>
      <c r="O354" s="19">
        <v>45343</v>
      </c>
      <c r="P354" s="18">
        <f t="shared" si="20"/>
        <v>0</v>
      </c>
      <c r="Q354" s="30" t="s">
        <v>793</v>
      </c>
      <c r="S354" s="19">
        <v>45343</v>
      </c>
      <c r="T354" s="18">
        <f t="shared" si="21"/>
        <v>0</v>
      </c>
      <c r="X354" s="18" t="s">
        <v>51</v>
      </c>
      <c r="Y354" s="18" t="s">
        <v>51</v>
      </c>
      <c r="AA354" s="18">
        <v>0</v>
      </c>
      <c r="AB354" s="18">
        <v>0</v>
      </c>
      <c r="AC354" s="18">
        <v>0</v>
      </c>
      <c r="AD354" s="18" t="s">
        <v>65</v>
      </c>
      <c r="AE354" s="18">
        <v>0</v>
      </c>
      <c r="AF354" s="18">
        <f t="shared" si="22"/>
        <v>0</v>
      </c>
      <c r="AG354" s="18" t="str">
        <f t="shared" si="23"/>
        <v>LOW</v>
      </c>
    </row>
    <row r="355" spans="1:33" ht="28.8" x14ac:dyDescent="0.3">
      <c r="A355" s="66">
        <v>354</v>
      </c>
      <c r="B355" s="18" t="s">
        <v>2</v>
      </c>
      <c r="C355" s="18" t="s">
        <v>6</v>
      </c>
      <c r="D355" s="18" t="s">
        <v>74</v>
      </c>
      <c r="E355" s="29" t="s">
        <v>976</v>
      </c>
      <c r="F355" s="29" t="s">
        <v>117</v>
      </c>
      <c r="G355" s="18">
        <v>0</v>
      </c>
      <c r="H355" s="18">
        <v>0</v>
      </c>
      <c r="I355" s="18" t="s">
        <v>9</v>
      </c>
      <c r="J355" s="18" t="s">
        <v>63</v>
      </c>
      <c r="K355" s="68">
        <v>0</v>
      </c>
      <c r="L355" s="18">
        <v>0</v>
      </c>
      <c r="N355" s="19">
        <v>45343</v>
      </c>
      <c r="O355" s="19">
        <v>45343</v>
      </c>
      <c r="P355" s="18">
        <f t="shared" si="20"/>
        <v>0</v>
      </c>
      <c r="Q355" s="30" t="s">
        <v>794</v>
      </c>
      <c r="S355" s="19">
        <v>45343</v>
      </c>
      <c r="T355" s="18">
        <f t="shared" si="21"/>
        <v>0</v>
      </c>
      <c r="X355" s="18" t="s">
        <v>51</v>
      </c>
      <c r="Y355" s="18" t="s">
        <v>51</v>
      </c>
      <c r="AA355" s="18">
        <v>0</v>
      </c>
      <c r="AB355" s="18">
        <v>0</v>
      </c>
      <c r="AC355" s="18">
        <v>0</v>
      </c>
      <c r="AD355" s="18" t="s">
        <v>65</v>
      </c>
      <c r="AE355" s="18">
        <v>0</v>
      </c>
      <c r="AF355" s="18">
        <f t="shared" si="22"/>
        <v>0</v>
      </c>
      <c r="AG355" s="18" t="str">
        <f t="shared" si="23"/>
        <v>LOW</v>
      </c>
    </row>
    <row r="356" spans="1:33" ht="28.8" x14ac:dyDescent="0.3">
      <c r="A356" s="66">
        <v>355</v>
      </c>
      <c r="B356" s="18" t="s">
        <v>2</v>
      </c>
      <c r="C356" s="18" t="s">
        <v>6</v>
      </c>
      <c r="D356" s="18" t="s">
        <v>74</v>
      </c>
      <c r="E356" s="29" t="s">
        <v>977</v>
      </c>
      <c r="F356" s="29" t="s">
        <v>117</v>
      </c>
      <c r="G356" s="18">
        <v>0</v>
      </c>
      <c r="H356" s="18">
        <v>0</v>
      </c>
      <c r="I356" s="18" t="s">
        <v>9</v>
      </c>
      <c r="J356" s="18" t="s">
        <v>63</v>
      </c>
      <c r="K356" s="68">
        <v>0</v>
      </c>
      <c r="L356" s="18">
        <v>0</v>
      </c>
      <c r="N356" s="19">
        <v>45343</v>
      </c>
      <c r="O356" s="19">
        <v>45343</v>
      </c>
      <c r="P356" s="18">
        <f t="shared" si="20"/>
        <v>0</v>
      </c>
      <c r="Q356" s="30" t="s">
        <v>795</v>
      </c>
      <c r="S356" s="19">
        <v>45343</v>
      </c>
      <c r="T356" s="18">
        <f t="shared" si="21"/>
        <v>0</v>
      </c>
      <c r="X356" s="18" t="s">
        <v>51</v>
      </c>
      <c r="Y356" s="18" t="s">
        <v>51</v>
      </c>
      <c r="AA356" s="18">
        <v>0</v>
      </c>
      <c r="AB356" s="18">
        <v>0</v>
      </c>
      <c r="AC356" s="18">
        <v>0</v>
      </c>
      <c r="AD356" s="18" t="s">
        <v>65</v>
      </c>
      <c r="AE356" s="18">
        <v>0</v>
      </c>
      <c r="AF356" s="18">
        <f t="shared" si="22"/>
        <v>0</v>
      </c>
      <c r="AG356" s="18" t="str">
        <f t="shared" si="23"/>
        <v>LOW</v>
      </c>
    </row>
    <row r="357" spans="1:33" ht="28.8" x14ac:dyDescent="0.3">
      <c r="A357" s="66">
        <v>356</v>
      </c>
      <c r="B357" s="18" t="s">
        <v>2</v>
      </c>
      <c r="C357" s="18" t="s">
        <v>6</v>
      </c>
      <c r="D357" s="18" t="s">
        <v>74</v>
      </c>
      <c r="E357" s="29" t="s">
        <v>232</v>
      </c>
      <c r="F357" s="29" t="s">
        <v>117</v>
      </c>
      <c r="G357" s="18">
        <v>0</v>
      </c>
      <c r="H357" s="18">
        <v>0</v>
      </c>
      <c r="I357" s="18" t="s">
        <v>9</v>
      </c>
      <c r="J357" s="18" t="s">
        <v>63</v>
      </c>
      <c r="K357" s="68">
        <v>0</v>
      </c>
      <c r="L357" s="18">
        <v>0</v>
      </c>
      <c r="N357" s="19">
        <v>45343</v>
      </c>
      <c r="O357" s="19">
        <v>45343</v>
      </c>
      <c r="P357" s="18">
        <f t="shared" si="20"/>
        <v>0</v>
      </c>
      <c r="Q357" s="30" t="s">
        <v>796</v>
      </c>
      <c r="S357" s="19">
        <v>45343</v>
      </c>
      <c r="T357" s="18">
        <f t="shared" si="21"/>
        <v>0</v>
      </c>
      <c r="X357" s="18" t="s">
        <v>51</v>
      </c>
      <c r="Y357" s="18" t="s">
        <v>51</v>
      </c>
      <c r="AA357" s="18">
        <v>0</v>
      </c>
      <c r="AB357" s="18">
        <v>0</v>
      </c>
      <c r="AC357" s="18">
        <v>0</v>
      </c>
      <c r="AD357" s="18" t="s">
        <v>65</v>
      </c>
      <c r="AE357" s="18">
        <v>0</v>
      </c>
      <c r="AF357" s="18">
        <f t="shared" si="22"/>
        <v>0</v>
      </c>
      <c r="AG357" s="18" t="str">
        <f t="shared" si="23"/>
        <v>LOW</v>
      </c>
    </row>
    <row r="358" spans="1:33" x14ac:dyDescent="0.3">
      <c r="A358" s="66">
        <v>357</v>
      </c>
      <c r="B358" s="18" t="s">
        <v>2</v>
      </c>
      <c r="C358" s="18" t="s">
        <v>6</v>
      </c>
      <c r="D358" s="18" t="s">
        <v>74</v>
      </c>
      <c r="E358" s="29" t="s">
        <v>223</v>
      </c>
      <c r="F358" s="29" t="s">
        <v>117</v>
      </c>
      <c r="G358" s="18">
        <v>0</v>
      </c>
      <c r="H358" s="18">
        <v>0</v>
      </c>
      <c r="I358" s="18" t="s">
        <v>9</v>
      </c>
      <c r="J358" s="18" t="s">
        <v>63</v>
      </c>
      <c r="K358" s="68">
        <v>0</v>
      </c>
      <c r="L358" s="18">
        <v>0</v>
      </c>
      <c r="N358" s="19">
        <v>45343</v>
      </c>
      <c r="O358" s="19">
        <v>45343</v>
      </c>
      <c r="P358" s="18">
        <f t="shared" si="20"/>
        <v>0</v>
      </c>
      <c r="Q358" s="30" t="s">
        <v>797</v>
      </c>
      <c r="S358" s="19">
        <v>45343</v>
      </c>
      <c r="T358" s="18">
        <f t="shared" si="21"/>
        <v>0</v>
      </c>
      <c r="X358" s="18" t="s">
        <v>51</v>
      </c>
      <c r="Y358" s="18" t="s">
        <v>51</v>
      </c>
      <c r="AA358" s="18">
        <v>0</v>
      </c>
      <c r="AB358" s="18">
        <v>0</v>
      </c>
      <c r="AC358" s="18">
        <v>0</v>
      </c>
      <c r="AD358" s="18" t="s">
        <v>65</v>
      </c>
      <c r="AE358" s="18">
        <v>0</v>
      </c>
      <c r="AF358" s="18">
        <f t="shared" si="22"/>
        <v>0</v>
      </c>
      <c r="AG358" s="18" t="str">
        <f t="shared" si="23"/>
        <v>LOW</v>
      </c>
    </row>
    <row r="359" spans="1:33" x14ac:dyDescent="0.3">
      <c r="A359" s="66">
        <v>358</v>
      </c>
      <c r="B359" s="18" t="s">
        <v>2</v>
      </c>
      <c r="C359" s="18" t="s">
        <v>6</v>
      </c>
      <c r="D359" s="18" t="s">
        <v>74</v>
      </c>
      <c r="E359" s="29" t="s">
        <v>223</v>
      </c>
      <c r="F359" s="29" t="s">
        <v>117</v>
      </c>
      <c r="G359" s="18">
        <v>0</v>
      </c>
      <c r="H359" s="18">
        <v>0</v>
      </c>
      <c r="I359" s="18" t="s">
        <v>9</v>
      </c>
      <c r="J359" s="18" t="s">
        <v>63</v>
      </c>
      <c r="K359" s="68">
        <v>0</v>
      </c>
      <c r="L359" s="18">
        <v>0</v>
      </c>
      <c r="N359" s="19">
        <v>45343</v>
      </c>
      <c r="O359" s="19">
        <v>45343</v>
      </c>
      <c r="P359" s="18">
        <f t="shared" si="20"/>
        <v>0</v>
      </c>
      <c r="Q359" s="30" t="s">
        <v>798</v>
      </c>
      <c r="S359" s="19">
        <v>45343</v>
      </c>
      <c r="T359" s="18">
        <f t="shared" si="21"/>
        <v>0</v>
      </c>
      <c r="X359" s="18" t="s">
        <v>51</v>
      </c>
      <c r="Y359" s="18" t="s">
        <v>51</v>
      </c>
      <c r="AA359" s="18">
        <v>0</v>
      </c>
      <c r="AB359" s="18">
        <v>0</v>
      </c>
      <c r="AC359" s="18">
        <v>0</v>
      </c>
      <c r="AD359" s="18" t="s">
        <v>65</v>
      </c>
      <c r="AE359" s="18">
        <v>0</v>
      </c>
      <c r="AF359" s="18">
        <f t="shared" si="22"/>
        <v>0</v>
      </c>
      <c r="AG359" s="18" t="str">
        <f t="shared" si="23"/>
        <v>LOW</v>
      </c>
    </row>
    <row r="360" spans="1:33" ht="28.8" x14ac:dyDescent="0.3">
      <c r="A360" s="66">
        <v>359</v>
      </c>
      <c r="B360" s="18" t="s">
        <v>2</v>
      </c>
      <c r="C360" s="18" t="s">
        <v>6</v>
      </c>
      <c r="D360" s="18" t="s">
        <v>74</v>
      </c>
      <c r="E360" s="29" t="s">
        <v>977</v>
      </c>
      <c r="F360" s="29" t="s">
        <v>117</v>
      </c>
      <c r="G360" s="18">
        <v>0</v>
      </c>
      <c r="H360" s="18">
        <v>0</v>
      </c>
      <c r="I360" s="18" t="s">
        <v>9</v>
      </c>
      <c r="J360" s="18" t="s">
        <v>63</v>
      </c>
      <c r="K360" s="68">
        <v>0</v>
      </c>
      <c r="L360" s="18">
        <v>0</v>
      </c>
      <c r="N360" s="19">
        <v>45343</v>
      </c>
      <c r="O360" s="19">
        <v>45343</v>
      </c>
      <c r="P360" s="18">
        <f t="shared" si="20"/>
        <v>0</v>
      </c>
      <c r="Q360" s="30" t="s">
        <v>799</v>
      </c>
      <c r="S360" s="19">
        <v>45343</v>
      </c>
      <c r="T360" s="18">
        <f t="shared" si="21"/>
        <v>0</v>
      </c>
      <c r="X360" s="18" t="s">
        <v>51</v>
      </c>
      <c r="Y360" s="18" t="s">
        <v>51</v>
      </c>
      <c r="AA360" s="18">
        <v>0</v>
      </c>
      <c r="AB360" s="18">
        <v>0</v>
      </c>
      <c r="AC360" s="18">
        <v>0</v>
      </c>
      <c r="AD360" s="18" t="s">
        <v>65</v>
      </c>
      <c r="AE360" s="18">
        <v>0</v>
      </c>
      <c r="AF360" s="18">
        <f t="shared" si="22"/>
        <v>0</v>
      </c>
      <c r="AG360" s="18" t="str">
        <f t="shared" si="23"/>
        <v>LOW</v>
      </c>
    </row>
    <row r="361" spans="1:33" x14ac:dyDescent="0.3">
      <c r="A361" s="66">
        <v>360</v>
      </c>
      <c r="B361" s="18" t="s">
        <v>2</v>
      </c>
      <c r="C361" s="18" t="s">
        <v>6</v>
      </c>
      <c r="D361" s="18" t="s">
        <v>73</v>
      </c>
      <c r="E361" s="29" t="s">
        <v>223</v>
      </c>
      <c r="F361" s="29" t="s">
        <v>117</v>
      </c>
      <c r="G361" s="18">
        <v>0</v>
      </c>
      <c r="H361" s="18">
        <v>0</v>
      </c>
      <c r="I361" s="18" t="s">
        <v>9</v>
      </c>
      <c r="J361" s="18" t="s">
        <v>63</v>
      </c>
      <c r="K361" s="68">
        <v>0</v>
      </c>
      <c r="L361" s="18">
        <v>0</v>
      </c>
      <c r="N361" s="19">
        <v>45343</v>
      </c>
      <c r="O361" s="19">
        <v>45343</v>
      </c>
      <c r="P361" s="18">
        <f t="shared" si="20"/>
        <v>0</v>
      </c>
      <c r="Q361" s="30" t="s">
        <v>800</v>
      </c>
      <c r="S361" s="19">
        <v>45343</v>
      </c>
      <c r="T361" s="18">
        <f t="shared" si="21"/>
        <v>0</v>
      </c>
      <c r="X361" s="18" t="s">
        <v>51</v>
      </c>
      <c r="Y361" s="18" t="s">
        <v>51</v>
      </c>
      <c r="AA361" s="18">
        <v>0</v>
      </c>
      <c r="AB361" s="18">
        <v>0</v>
      </c>
      <c r="AC361" s="18">
        <v>0</v>
      </c>
      <c r="AD361" s="18" t="s">
        <v>65</v>
      </c>
      <c r="AE361" s="18">
        <v>0</v>
      </c>
      <c r="AF361" s="18">
        <f t="shared" si="22"/>
        <v>0</v>
      </c>
      <c r="AG361" s="18" t="str">
        <f t="shared" si="23"/>
        <v>LOW</v>
      </c>
    </row>
    <row r="362" spans="1:33" x14ac:dyDescent="0.3">
      <c r="A362" s="66">
        <v>361</v>
      </c>
      <c r="B362" s="18" t="s">
        <v>2</v>
      </c>
      <c r="C362" s="18" t="s">
        <v>6</v>
      </c>
      <c r="D362" s="18" t="s">
        <v>60</v>
      </c>
      <c r="E362" s="29" t="s">
        <v>228</v>
      </c>
      <c r="F362" s="29" t="s">
        <v>117</v>
      </c>
      <c r="G362" s="18">
        <v>0</v>
      </c>
      <c r="H362" s="18">
        <v>0</v>
      </c>
      <c r="I362" s="18" t="s">
        <v>9</v>
      </c>
      <c r="J362" s="18" t="s">
        <v>63</v>
      </c>
      <c r="K362" s="68">
        <v>0</v>
      </c>
      <c r="L362" s="18">
        <v>0</v>
      </c>
      <c r="N362" s="19">
        <v>45343</v>
      </c>
      <c r="O362" s="19">
        <v>45343</v>
      </c>
      <c r="P362" s="18">
        <f t="shared" si="20"/>
        <v>0</v>
      </c>
      <c r="Q362" s="30" t="s">
        <v>801</v>
      </c>
      <c r="S362" s="19">
        <v>45343</v>
      </c>
      <c r="T362" s="18">
        <f t="shared" si="21"/>
        <v>0</v>
      </c>
      <c r="X362" s="18" t="s">
        <v>51</v>
      </c>
      <c r="Y362" s="18" t="s">
        <v>51</v>
      </c>
      <c r="AA362" s="18">
        <v>0</v>
      </c>
      <c r="AB362" s="18">
        <v>0</v>
      </c>
      <c r="AC362" s="18">
        <v>0</v>
      </c>
      <c r="AD362" s="18" t="s">
        <v>65</v>
      </c>
      <c r="AE362" s="18">
        <v>0</v>
      </c>
      <c r="AF362" s="18">
        <f t="shared" si="22"/>
        <v>0</v>
      </c>
      <c r="AG362" s="18" t="str">
        <f t="shared" si="23"/>
        <v>LOW</v>
      </c>
    </row>
    <row r="363" spans="1:33" x14ac:dyDescent="0.3">
      <c r="A363" s="66">
        <v>362</v>
      </c>
      <c r="B363" s="18" t="s">
        <v>2</v>
      </c>
      <c r="C363" s="18" t="s">
        <v>6</v>
      </c>
      <c r="D363" s="18" t="s">
        <v>74</v>
      </c>
      <c r="E363" s="29" t="s">
        <v>228</v>
      </c>
      <c r="F363" s="29" t="s">
        <v>117</v>
      </c>
      <c r="G363" s="18">
        <v>0</v>
      </c>
      <c r="H363" s="18">
        <v>0</v>
      </c>
      <c r="I363" s="18" t="s">
        <v>9</v>
      </c>
      <c r="J363" s="18" t="s">
        <v>63</v>
      </c>
      <c r="K363" s="68">
        <v>0</v>
      </c>
      <c r="L363" s="18">
        <v>0</v>
      </c>
      <c r="N363" s="19">
        <v>45343</v>
      </c>
      <c r="O363" s="19">
        <v>45343</v>
      </c>
      <c r="P363" s="18">
        <f t="shared" si="20"/>
        <v>0</v>
      </c>
      <c r="Q363" s="30" t="s">
        <v>802</v>
      </c>
      <c r="S363" s="19">
        <v>45343</v>
      </c>
      <c r="T363" s="18">
        <f t="shared" si="21"/>
        <v>0</v>
      </c>
      <c r="X363" s="18" t="s">
        <v>51</v>
      </c>
      <c r="Y363" s="18" t="s">
        <v>51</v>
      </c>
      <c r="AA363" s="18">
        <v>0</v>
      </c>
      <c r="AB363" s="18">
        <v>0</v>
      </c>
      <c r="AC363" s="18">
        <v>0</v>
      </c>
      <c r="AD363" s="18" t="s">
        <v>65</v>
      </c>
      <c r="AE363" s="18">
        <v>0</v>
      </c>
      <c r="AF363" s="18">
        <f t="shared" si="22"/>
        <v>0</v>
      </c>
      <c r="AG363" s="18" t="str">
        <f t="shared" si="23"/>
        <v>LOW</v>
      </c>
    </row>
    <row r="364" spans="1:33" x14ac:dyDescent="0.3">
      <c r="A364" s="66">
        <v>363</v>
      </c>
      <c r="B364" s="18" t="s">
        <v>2</v>
      </c>
      <c r="C364" s="18" t="s">
        <v>6</v>
      </c>
      <c r="D364" s="18" t="s">
        <v>76</v>
      </c>
      <c r="E364" s="29" t="s">
        <v>994</v>
      </c>
      <c r="F364" s="29" t="s">
        <v>117</v>
      </c>
      <c r="G364" s="18">
        <v>0</v>
      </c>
      <c r="H364" s="18">
        <v>0</v>
      </c>
      <c r="I364" s="18" t="s">
        <v>9</v>
      </c>
      <c r="J364" s="18" t="s">
        <v>63</v>
      </c>
      <c r="K364" s="68">
        <v>0</v>
      </c>
      <c r="L364" s="18">
        <v>0</v>
      </c>
      <c r="N364" s="19">
        <v>45344</v>
      </c>
      <c r="O364" s="19">
        <v>45344</v>
      </c>
      <c r="P364" s="18">
        <f t="shared" si="20"/>
        <v>0</v>
      </c>
      <c r="Q364" s="30" t="s">
        <v>803</v>
      </c>
      <c r="S364" s="19">
        <v>45344</v>
      </c>
      <c r="T364" s="18">
        <f t="shared" si="21"/>
        <v>0</v>
      </c>
      <c r="X364" s="18" t="s">
        <v>51</v>
      </c>
      <c r="Y364" s="18" t="s">
        <v>51</v>
      </c>
      <c r="AA364" s="18">
        <v>0</v>
      </c>
      <c r="AB364" s="18">
        <v>0</v>
      </c>
      <c r="AC364" s="18">
        <v>0</v>
      </c>
      <c r="AD364" s="18" t="s">
        <v>65</v>
      </c>
      <c r="AE364" s="18">
        <v>0</v>
      </c>
      <c r="AF364" s="18">
        <f t="shared" si="22"/>
        <v>0</v>
      </c>
      <c r="AG364" s="18" t="str">
        <f t="shared" si="23"/>
        <v>LOW</v>
      </c>
    </row>
    <row r="365" spans="1:33" ht="28.8" x14ac:dyDescent="0.3">
      <c r="A365" s="66">
        <v>364</v>
      </c>
      <c r="B365" s="18" t="s">
        <v>2</v>
      </c>
      <c r="C365" s="18" t="s">
        <v>6</v>
      </c>
      <c r="D365" s="18" t="s">
        <v>76</v>
      </c>
      <c r="E365" s="29" t="s">
        <v>995</v>
      </c>
      <c r="F365" s="29" t="s">
        <v>117</v>
      </c>
      <c r="G365" s="18">
        <v>0</v>
      </c>
      <c r="H365" s="18">
        <v>0</v>
      </c>
      <c r="I365" s="18" t="s">
        <v>9</v>
      </c>
      <c r="J365" s="18" t="s">
        <v>63</v>
      </c>
      <c r="K365" s="68">
        <v>0</v>
      </c>
      <c r="L365" s="18">
        <v>0</v>
      </c>
      <c r="N365" s="19">
        <v>45344</v>
      </c>
      <c r="O365" s="19">
        <v>45344</v>
      </c>
      <c r="P365" s="18">
        <f t="shared" si="20"/>
        <v>0</v>
      </c>
      <c r="Q365" s="30" t="s">
        <v>804</v>
      </c>
      <c r="S365" s="19">
        <v>45344</v>
      </c>
      <c r="T365" s="18">
        <f t="shared" si="21"/>
        <v>0</v>
      </c>
      <c r="X365" s="18" t="s">
        <v>51</v>
      </c>
      <c r="Y365" s="18" t="s">
        <v>51</v>
      </c>
      <c r="AA365" s="18">
        <v>0</v>
      </c>
      <c r="AB365" s="18">
        <v>0</v>
      </c>
      <c r="AC365" s="18">
        <v>0</v>
      </c>
      <c r="AD365" s="18" t="s">
        <v>65</v>
      </c>
      <c r="AE365" s="18">
        <v>0</v>
      </c>
      <c r="AF365" s="18">
        <f t="shared" si="22"/>
        <v>0</v>
      </c>
      <c r="AG365" s="18" t="str">
        <f t="shared" si="23"/>
        <v>LOW</v>
      </c>
    </row>
    <row r="366" spans="1:33" ht="28.8" x14ac:dyDescent="0.3">
      <c r="A366" s="66">
        <v>365</v>
      </c>
      <c r="B366" s="18" t="s">
        <v>2</v>
      </c>
      <c r="C366" s="18" t="s">
        <v>6</v>
      </c>
      <c r="D366" s="18" t="s">
        <v>74</v>
      </c>
      <c r="E366" s="29" t="s">
        <v>228</v>
      </c>
      <c r="F366" s="29" t="s">
        <v>117</v>
      </c>
      <c r="G366" s="18">
        <v>0</v>
      </c>
      <c r="H366" s="18">
        <v>0</v>
      </c>
      <c r="I366" s="18" t="s">
        <v>9</v>
      </c>
      <c r="J366" s="18" t="s">
        <v>63</v>
      </c>
      <c r="K366" s="68">
        <v>0</v>
      </c>
      <c r="L366" s="18">
        <v>0</v>
      </c>
      <c r="N366" s="19">
        <v>45344</v>
      </c>
      <c r="O366" s="19">
        <v>45344</v>
      </c>
      <c r="P366" s="18">
        <f t="shared" si="20"/>
        <v>0</v>
      </c>
      <c r="Q366" s="30" t="s">
        <v>805</v>
      </c>
      <c r="S366" s="19">
        <v>45344</v>
      </c>
      <c r="T366" s="18">
        <f t="shared" si="21"/>
        <v>0</v>
      </c>
      <c r="X366" s="18" t="s">
        <v>51</v>
      </c>
      <c r="Y366" s="18" t="s">
        <v>51</v>
      </c>
      <c r="AA366" s="18">
        <v>0</v>
      </c>
      <c r="AB366" s="18">
        <v>0</v>
      </c>
      <c r="AC366" s="18">
        <v>0</v>
      </c>
      <c r="AD366" s="18" t="s">
        <v>65</v>
      </c>
      <c r="AE366" s="18">
        <v>0</v>
      </c>
      <c r="AF366" s="18">
        <f t="shared" si="22"/>
        <v>0</v>
      </c>
      <c r="AG366" s="18" t="str">
        <f t="shared" si="23"/>
        <v>LOW</v>
      </c>
    </row>
    <row r="367" spans="1:33" x14ac:dyDescent="0.3">
      <c r="A367" s="66">
        <v>366</v>
      </c>
      <c r="B367" s="18" t="s">
        <v>2</v>
      </c>
      <c r="C367" s="18" t="s">
        <v>70</v>
      </c>
      <c r="D367" s="18" t="s">
        <v>77</v>
      </c>
      <c r="E367" s="29" t="s">
        <v>233</v>
      </c>
      <c r="F367" s="29" t="s">
        <v>404</v>
      </c>
      <c r="G367" s="18">
        <v>2</v>
      </c>
      <c r="H367" s="18">
        <v>1</v>
      </c>
      <c r="I367" s="18" t="s">
        <v>9</v>
      </c>
      <c r="J367" s="18" t="s">
        <v>63</v>
      </c>
      <c r="K367" s="68">
        <v>0</v>
      </c>
      <c r="L367" s="18">
        <v>0</v>
      </c>
      <c r="N367" s="19">
        <v>45348</v>
      </c>
      <c r="O367" s="19">
        <v>45348</v>
      </c>
      <c r="P367" s="18">
        <f t="shared" si="20"/>
        <v>0</v>
      </c>
      <c r="Q367" s="30" t="s">
        <v>806</v>
      </c>
      <c r="S367" s="19">
        <v>45348</v>
      </c>
      <c r="T367" s="18">
        <f t="shared" si="21"/>
        <v>0</v>
      </c>
      <c r="X367" s="18" t="s">
        <v>51</v>
      </c>
      <c r="Y367" s="18" t="s">
        <v>51</v>
      </c>
      <c r="AA367" s="18">
        <v>0</v>
      </c>
      <c r="AB367" s="18">
        <v>0</v>
      </c>
      <c r="AC367" s="18">
        <v>0</v>
      </c>
      <c r="AD367" s="18" t="s">
        <v>65</v>
      </c>
      <c r="AE367" s="18">
        <v>0</v>
      </c>
      <c r="AF367" s="18">
        <f t="shared" si="22"/>
        <v>3</v>
      </c>
      <c r="AG367" s="18" t="str">
        <f t="shared" si="23"/>
        <v>LOW</v>
      </c>
    </row>
    <row r="368" spans="1:33" x14ac:dyDescent="0.3">
      <c r="A368" s="66">
        <v>367</v>
      </c>
      <c r="B368" s="18" t="s">
        <v>2</v>
      </c>
      <c r="C368" s="18" t="s">
        <v>4</v>
      </c>
      <c r="D368" s="18" t="s">
        <v>74</v>
      </c>
      <c r="E368" s="29" t="s">
        <v>142</v>
      </c>
      <c r="F368" s="29" t="s">
        <v>405</v>
      </c>
      <c r="G368" s="18">
        <v>0</v>
      </c>
      <c r="H368" s="18">
        <v>0</v>
      </c>
      <c r="I368" s="18" t="s">
        <v>9</v>
      </c>
      <c r="J368" s="18" t="s">
        <v>63</v>
      </c>
      <c r="K368" s="68">
        <v>0</v>
      </c>
      <c r="L368" s="18">
        <v>0</v>
      </c>
      <c r="N368" s="19">
        <v>45344</v>
      </c>
      <c r="O368" s="19">
        <v>45344</v>
      </c>
      <c r="P368" s="18">
        <f t="shared" si="20"/>
        <v>0</v>
      </c>
      <c r="Q368" s="30" t="s">
        <v>807</v>
      </c>
      <c r="S368" s="19">
        <v>45344</v>
      </c>
      <c r="T368" s="18">
        <f t="shared" si="21"/>
        <v>0</v>
      </c>
      <c r="X368" s="18" t="s">
        <v>53</v>
      </c>
      <c r="Y368" s="18" t="s">
        <v>51</v>
      </c>
      <c r="AA368" s="18">
        <v>0</v>
      </c>
      <c r="AB368" s="18">
        <v>0</v>
      </c>
      <c r="AC368" s="18">
        <v>0</v>
      </c>
      <c r="AD368" s="18" t="s">
        <v>65</v>
      </c>
      <c r="AE368" s="18">
        <v>0</v>
      </c>
      <c r="AF368" s="18">
        <f t="shared" si="22"/>
        <v>0</v>
      </c>
      <c r="AG368" s="18" t="str">
        <f t="shared" si="23"/>
        <v>LOW</v>
      </c>
    </row>
    <row r="369" spans="1:33" x14ac:dyDescent="0.3">
      <c r="A369" s="66">
        <v>368</v>
      </c>
      <c r="B369" s="18" t="s">
        <v>1</v>
      </c>
      <c r="C369" s="18" t="s">
        <v>4</v>
      </c>
      <c r="D369" s="18" t="s">
        <v>10</v>
      </c>
      <c r="E369" s="29" t="s">
        <v>234</v>
      </c>
      <c r="F369" s="29" t="s">
        <v>350</v>
      </c>
      <c r="G369" s="18">
        <v>2</v>
      </c>
      <c r="H369" s="18">
        <v>1</v>
      </c>
      <c r="I369" s="18" t="s">
        <v>10</v>
      </c>
      <c r="J369" s="18" t="s">
        <v>10</v>
      </c>
      <c r="K369" s="68">
        <v>0</v>
      </c>
      <c r="L369" s="18">
        <v>0</v>
      </c>
      <c r="M369" s="18">
        <v>36</v>
      </c>
      <c r="N369" s="19">
        <v>45345</v>
      </c>
      <c r="O369" s="19">
        <v>45345</v>
      </c>
      <c r="P369" s="18">
        <f t="shared" si="20"/>
        <v>0</v>
      </c>
      <c r="Q369" s="30" t="s">
        <v>808</v>
      </c>
      <c r="S369" s="19">
        <v>45345</v>
      </c>
      <c r="T369" s="18">
        <f t="shared" si="21"/>
        <v>0</v>
      </c>
      <c r="X369" s="18" t="s">
        <v>53</v>
      </c>
      <c r="Y369" s="18" t="s">
        <v>53</v>
      </c>
      <c r="AA369" s="18">
        <v>0</v>
      </c>
      <c r="AB369" s="18">
        <v>0</v>
      </c>
      <c r="AC369" s="18">
        <v>0</v>
      </c>
      <c r="AD369" s="18" t="s">
        <v>65</v>
      </c>
      <c r="AE369" s="18">
        <v>0</v>
      </c>
      <c r="AF369" s="18">
        <f t="shared" si="22"/>
        <v>3</v>
      </c>
      <c r="AG369" s="18" t="str">
        <f t="shared" si="23"/>
        <v>LOW</v>
      </c>
    </row>
    <row r="370" spans="1:33" x14ac:dyDescent="0.3">
      <c r="A370" s="66">
        <v>369</v>
      </c>
      <c r="B370" s="18" t="s">
        <v>2</v>
      </c>
      <c r="C370" s="18" t="s">
        <v>4</v>
      </c>
      <c r="D370" s="18" t="s">
        <v>76</v>
      </c>
      <c r="E370" s="29" t="s">
        <v>124</v>
      </c>
      <c r="F370" s="29" t="s">
        <v>406</v>
      </c>
      <c r="G370" s="18">
        <v>0</v>
      </c>
      <c r="H370" s="18">
        <v>0</v>
      </c>
      <c r="I370" s="18" t="s">
        <v>9</v>
      </c>
      <c r="J370" s="18" t="s">
        <v>450</v>
      </c>
      <c r="K370" s="68">
        <v>0</v>
      </c>
      <c r="L370" s="18">
        <v>0</v>
      </c>
      <c r="N370" s="19">
        <v>45345</v>
      </c>
      <c r="O370" s="19">
        <v>45345</v>
      </c>
      <c r="P370" s="18">
        <f t="shared" si="20"/>
        <v>0</v>
      </c>
      <c r="Q370" s="30" t="s">
        <v>809</v>
      </c>
      <c r="S370" s="19">
        <v>45348</v>
      </c>
      <c r="T370" s="18">
        <f t="shared" si="21"/>
        <v>0</v>
      </c>
      <c r="X370" s="18" t="s">
        <v>53</v>
      </c>
      <c r="Y370" s="18" t="s">
        <v>51</v>
      </c>
      <c r="AA370" s="18">
        <v>0</v>
      </c>
      <c r="AB370" s="18">
        <v>0</v>
      </c>
      <c r="AC370" s="18">
        <v>0</v>
      </c>
      <c r="AD370" s="18" t="s">
        <v>65</v>
      </c>
      <c r="AE370" s="18">
        <v>0</v>
      </c>
      <c r="AF370" s="18">
        <f t="shared" si="22"/>
        <v>0</v>
      </c>
      <c r="AG370" s="18" t="str">
        <f t="shared" si="23"/>
        <v>LOW</v>
      </c>
    </row>
    <row r="371" spans="1:33" x14ac:dyDescent="0.3">
      <c r="A371" s="66">
        <v>370</v>
      </c>
      <c r="B371" s="18" t="s">
        <v>2</v>
      </c>
      <c r="C371" s="18" t="s">
        <v>4</v>
      </c>
      <c r="D371" s="18" t="s">
        <v>74</v>
      </c>
      <c r="E371" s="29" t="s">
        <v>235</v>
      </c>
      <c r="F371" s="29" t="s">
        <v>407</v>
      </c>
      <c r="G371" s="18">
        <v>0</v>
      </c>
      <c r="H371" s="18">
        <v>2</v>
      </c>
      <c r="I371" s="18" t="s">
        <v>9</v>
      </c>
      <c r="J371" s="18" t="s">
        <v>63</v>
      </c>
      <c r="K371" s="68">
        <v>0</v>
      </c>
      <c r="L371" s="18">
        <v>0</v>
      </c>
      <c r="N371" s="19">
        <v>45347</v>
      </c>
      <c r="O371" s="19">
        <v>45347</v>
      </c>
      <c r="P371" s="18">
        <f t="shared" si="20"/>
        <v>0</v>
      </c>
      <c r="Q371" s="30" t="s">
        <v>810</v>
      </c>
      <c r="S371" s="19">
        <v>45354</v>
      </c>
      <c r="T371" s="18">
        <f t="shared" si="21"/>
        <v>0</v>
      </c>
      <c r="X371" s="18" t="s">
        <v>53</v>
      </c>
      <c r="Y371" s="18" t="s">
        <v>51</v>
      </c>
      <c r="AA371" s="18">
        <v>0</v>
      </c>
      <c r="AB371" s="18">
        <v>0</v>
      </c>
      <c r="AC371" s="18">
        <v>0</v>
      </c>
      <c r="AD371" s="18" t="s">
        <v>65</v>
      </c>
      <c r="AE371" s="18">
        <v>0</v>
      </c>
      <c r="AF371" s="18">
        <f t="shared" si="22"/>
        <v>2</v>
      </c>
      <c r="AG371" s="18" t="str">
        <f t="shared" si="23"/>
        <v>LOW</v>
      </c>
    </row>
    <row r="372" spans="1:33" x14ac:dyDescent="0.3">
      <c r="A372" s="66">
        <v>371</v>
      </c>
      <c r="B372" s="18" t="s">
        <v>2</v>
      </c>
      <c r="C372" s="18" t="s">
        <v>4</v>
      </c>
      <c r="D372" s="18" t="s">
        <v>71</v>
      </c>
      <c r="E372" s="29" t="s">
        <v>236</v>
      </c>
      <c r="F372" s="29" t="s">
        <v>117</v>
      </c>
      <c r="G372" s="18">
        <v>0</v>
      </c>
      <c r="H372" s="18">
        <v>0</v>
      </c>
      <c r="I372" s="18" t="s">
        <v>9</v>
      </c>
      <c r="J372" s="18" t="s">
        <v>452</v>
      </c>
      <c r="K372" s="68">
        <v>0</v>
      </c>
      <c r="L372" s="18">
        <v>0</v>
      </c>
      <c r="N372" s="19">
        <v>45348</v>
      </c>
      <c r="O372" s="19">
        <v>45348</v>
      </c>
      <c r="P372" s="18">
        <f t="shared" si="20"/>
        <v>0</v>
      </c>
      <c r="Q372" s="30" t="s">
        <v>811</v>
      </c>
      <c r="S372" s="19">
        <v>45349</v>
      </c>
      <c r="T372" s="18">
        <f t="shared" si="21"/>
        <v>0</v>
      </c>
      <c r="X372" s="18" t="s">
        <v>53</v>
      </c>
      <c r="Y372" s="18" t="s">
        <v>51</v>
      </c>
      <c r="AA372" s="18">
        <v>0</v>
      </c>
      <c r="AB372" s="18">
        <v>0</v>
      </c>
      <c r="AC372" s="18">
        <v>0</v>
      </c>
      <c r="AD372" s="18" t="s">
        <v>65</v>
      </c>
      <c r="AE372" s="18">
        <v>0</v>
      </c>
      <c r="AF372" s="18">
        <f t="shared" si="22"/>
        <v>0</v>
      </c>
      <c r="AG372" s="18" t="str">
        <f t="shared" si="23"/>
        <v>LOW</v>
      </c>
    </row>
    <row r="373" spans="1:33" ht="28.8" x14ac:dyDescent="0.3">
      <c r="A373" s="66">
        <v>372</v>
      </c>
      <c r="B373" s="18" t="s">
        <v>2</v>
      </c>
      <c r="C373" s="18" t="s">
        <v>4</v>
      </c>
      <c r="D373" s="18" t="s">
        <v>74</v>
      </c>
      <c r="E373" s="29" t="s">
        <v>237</v>
      </c>
      <c r="F373" s="29" t="s">
        <v>408</v>
      </c>
      <c r="G373" s="18">
        <v>0</v>
      </c>
      <c r="H373" s="18">
        <v>0</v>
      </c>
      <c r="I373" s="18" t="s">
        <v>9</v>
      </c>
      <c r="J373" s="18" t="s">
        <v>63</v>
      </c>
      <c r="K373" s="68">
        <v>0</v>
      </c>
      <c r="L373" s="18">
        <v>0</v>
      </c>
      <c r="N373" s="19">
        <v>45348</v>
      </c>
      <c r="O373" s="19">
        <v>45348</v>
      </c>
      <c r="P373" s="18">
        <f t="shared" si="20"/>
        <v>0</v>
      </c>
      <c r="Q373" s="30" t="s">
        <v>812</v>
      </c>
      <c r="S373" s="19">
        <v>45348</v>
      </c>
      <c r="T373" s="18">
        <f t="shared" si="21"/>
        <v>0</v>
      </c>
      <c r="X373" s="18" t="s">
        <v>53</v>
      </c>
      <c r="Y373" s="18" t="s">
        <v>51</v>
      </c>
      <c r="AA373" s="18">
        <v>0</v>
      </c>
      <c r="AB373" s="18">
        <v>0</v>
      </c>
      <c r="AC373" s="18">
        <v>0</v>
      </c>
      <c r="AD373" s="18" t="s">
        <v>65</v>
      </c>
      <c r="AE373" s="18">
        <v>0</v>
      </c>
      <c r="AF373" s="18">
        <f t="shared" si="22"/>
        <v>0</v>
      </c>
      <c r="AG373" s="18" t="str">
        <f t="shared" si="23"/>
        <v>LOW</v>
      </c>
    </row>
    <row r="374" spans="1:33" x14ac:dyDescent="0.3">
      <c r="A374" s="66">
        <v>373</v>
      </c>
      <c r="B374" s="18" t="s">
        <v>1</v>
      </c>
      <c r="C374" s="18" t="s">
        <v>4</v>
      </c>
      <c r="D374" s="18" t="s">
        <v>10</v>
      </c>
      <c r="E374" s="29" t="s">
        <v>238</v>
      </c>
      <c r="F374" s="29" t="s">
        <v>409</v>
      </c>
      <c r="G374" s="18">
        <v>2</v>
      </c>
      <c r="H374" s="18">
        <v>1</v>
      </c>
      <c r="I374" s="18" t="s">
        <v>10</v>
      </c>
      <c r="J374" s="18" t="s">
        <v>10</v>
      </c>
      <c r="K374" s="68">
        <v>0</v>
      </c>
      <c r="L374" s="18">
        <v>0</v>
      </c>
      <c r="M374" s="18">
        <v>24</v>
      </c>
      <c r="N374" s="19">
        <v>45348</v>
      </c>
      <c r="O374" s="19">
        <v>45348</v>
      </c>
      <c r="P374" s="18">
        <f t="shared" si="20"/>
        <v>0</v>
      </c>
      <c r="Q374" s="30" t="s">
        <v>813</v>
      </c>
      <c r="S374" s="19">
        <v>45349</v>
      </c>
      <c r="T374" s="18">
        <f t="shared" si="21"/>
        <v>0</v>
      </c>
      <c r="X374" s="18" t="s">
        <v>53</v>
      </c>
      <c r="Y374" s="18" t="s">
        <v>53</v>
      </c>
      <c r="AA374" s="18">
        <v>0</v>
      </c>
      <c r="AB374" s="18">
        <v>0</v>
      </c>
      <c r="AC374" s="18">
        <v>0</v>
      </c>
      <c r="AD374" s="18" t="s">
        <v>65</v>
      </c>
      <c r="AE374" s="18">
        <v>0</v>
      </c>
      <c r="AF374" s="18">
        <f t="shared" si="22"/>
        <v>3</v>
      </c>
      <c r="AG374" s="18" t="str">
        <f t="shared" si="23"/>
        <v>LOW</v>
      </c>
    </row>
    <row r="375" spans="1:33" x14ac:dyDescent="0.3">
      <c r="A375" s="66">
        <v>374</v>
      </c>
      <c r="B375" s="18" t="s">
        <v>1</v>
      </c>
      <c r="C375" s="18" t="s">
        <v>4</v>
      </c>
      <c r="D375" s="18" t="s">
        <v>72</v>
      </c>
      <c r="E375" s="29" t="s">
        <v>139</v>
      </c>
      <c r="F375" s="29" t="s">
        <v>410</v>
      </c>
      <c r="G375" s="18">
        <v>2</v>
      </c>
      <c r="H375" s="18">
        <v>1</v>
      </c>
      <c r="I375" s="18" t="s">
        <v>9</v>
      </c>
      <c r="J375" s="18" t="s">
        <v>450</v>
      </c>
      <c r="K375" s="68">
        <v>0</v>
      </c>
      <c r="L375" s="18">
        <v>0</v>
      </c>
      <c r="M375" s="18" t="s">
        <v>464</v>
      </c>
      <c r="N375" s="19">
        <v>45348</v>
      </c>
      <c r="O375" s="19">
        <v>45348</v>
      </c>
      <c r="P375" s="18">
        <f t="shared" si="20"/>
        <v>0</v>
      </c>
      <c r="Q375" s="30" t="s">
        <v>814</v>
      </c>
      <c r="S375" s="19">
        <v>45348</v>
      </c>
      <c r="T375" s="18">
        <f t="shared" si="21"/>
        <v>0</v>
      </c>
      <c r="X375" s="18" t="s">
        <v>53</v>
      </c>
      <c r="Y375" s="18" t="s">
        <v>51</v>
      </c>
      <c r="AA375" s="18">
        <v>0</v>
      </c>
      <c r="AB375" s="18">
        <v>0</v>
      </c>
      <c r="AC375" s="18">
        <v>0</v>
      </c>
      <c r="AD375" s="18" t="s">
        <v>65</v>
      </c>
      <c r="AE375" s="18">
        <v>0</v>
      </c>
      <c r="AF375" s="18">
        <f t="shared" si="22"/>
        <v>3</v>
      </c>
      <c r="AG375" s="18" t="str">
        <f t="shared" si="23"/>
        <v>LOW</v>
      </c>
    </row>
    <row r="376" spans="1:33" ht="28.8" x14ac:dyDescent="0.3">
      <c r="A376" s="66">
        <v>375</v>
      </c>
      <c r="B376" s="18" t="s">
        <v>2</v>
      </c>
      <c r="C376" s="18" t="s">
        <v>4</v>
      </c>
      <c r="D376" s="18" t="s">
        <v>74</v>
      </c>
      <c r="E376" s="29" t="s">
        <v>239</v>
      </c>
      <c r="F376" s="29" t="s">
        <v>411</v>
      </c>
      <c r="G376" s="18">
        <v>0</v>
      </c>
      <c r="H376" s="18">
        <v>0</v>
      </c>
      <c r="I376" s="18" t="s">
        <v>9</v>
      </c>
      <c r="J376" s="18" t="s">
        <v>451</v>
      </c>
      <c r="K376" s="68">
        <v>0</v>
      </c>
      <c r="L376" s="18">
        <v>0</v>
      </c>
      <c r="N376" s="19">
        <v>45349</v>
      </c>
      <c r="O376" s="19">
        <v>45349</v>
      </c>
      <c r="P376" s="18">
        <f t="shared" si="20"/>
        <v>0</v>
      </c>
      <c r="Q376" s="30" t="s">
        <v>815</v>
      </c>
      <c r="S376" s="19">
        <v>45349</v>
      </c>
      <c r="T376" s="18">
        <f t="shared" si="21"/>
        <v>0</v>
      </c>
      <c r="X376" s="18" t="s">
        <v>53</v>
      </c>
      <c r="Y376" s="18" t="s">
        <v>51</v>
      </c>
      <c r="AA376" s="18">
        <v>0</v>
      </c>
      <c r="AB376" s="18">
        <v>0</v>
      </c>
      <c r="AC376" s="18">
        <v>0</v>
      </c>
      <c r="AD376" s="18" t="s">
        <v>65</v>
      </c>
      <c r="AE376" s="18">
        <v>0</v>
      </c>
      <c r="AF376" s="18">
        <f t="shared" si="22"/>
        <v>0</v>
      </c>
      <c r="AG376" s="18" t="str">
        <f t="shared" si="23"/>
        <v>LOW</v>
      </c>
    </row>
    <row r="377" spans="1:33" x14ac:dyDescent="0.3">
      <c r="A377" s="66">
        <v>376</v>
      </c>
      <c r="B377" s="18" t="s">
        <v>2</v>
      </c>
      <c r="C377" s="18" t="s">
        <v>4</v>
      </c>
      <c r="D377" s="18" t="s">
        <v>74</v>
      </c>
      <c r="E377" s="29" t="s">
        <v>240</v>
      </c>
      <c r="F377" s="29" t="s">
        <v>117</v>
      </c>
      <c r="G377" s="18">
        <v>2</v>
      </c>
      <c r="H377" s="18">
        <v>2</v>
      </c>
      <c r="I377" s="18" t="s">
        <v>9</v>
      </c>
      <c r="J377" s="18" t="s">
        <v>63</v>
      </c>
      <c r="K377" s="68">
        <v>0</v>
      </c>
      <c r="L377" s="18">
        <v>0</v>
      </c>
      <c r="N377" s="19">
        <v>45349</v>
      </c>
      <c r="O377" s="19">
        <v>45349</v>
      </c>
      <c r="P377" s="18">
        <f t="shared" si="20"/>
        <v>0</v>
      </c>
      <c r="Q377" s="30" t="s">
        <v>816</v>
      </c>
      <c r="S377" s="19">
        <v>45349</v>
      </c>
      <c r="T377" s="18">
        <f t="shared" si="21"/>
        <v>0</v>
      </c>
      <c r="X377" s="18" t="s">
        <v>53</v>
      </c>
      <c r="Y377" s="18" t="s">
        <v>51</v>
      </c>
      <c r="AA377" s="18">
        <v>0</v>
      </c>
      <c r="AB377" s="18">
        <v>0</v>
      </c>
      <c r="AC377" s="18">
        <v>0</v>
      </c>
      <c r="AD377" s="18" t="s">
        <v>65</v>
      </c>
      <c r="AE377" s="18">
        <v>0</v>
      </c>
      <c r="AF377" s="18">
        <f t="shared" si="22"/>
        <v>4</v>
      </c>
      <c r="AG377" s="18" t="str">
        <f t="shared" si="23"/>
        <v>LOW</v>
      </c>
    </row>
    <row r="378" spans="1:33" x14ac:dyDescent="0.3">
      <c r="A378" s="66">
        <v>377</v>
      </c>
      <c r="B378" s="18" t="s">
        <v>2</v>
      </c>
      <c r="C378" s="18" t="s">
        <v>4</v>
      </c>
      <c r="D378" s="18" t="s">
        <v>87</v>
      </c>
      <c r="E378" s="29" t="s">
        <v>241</v>
      </c>
      <c r="F378" s="29" t="s">
        <v>412</v>
      </c>
      <c r="G378" s="18">
        <v>0</v>
      </c>
      <c r="H378" s="18">
        <v>0</v>
      </c>
      <c r="I378" s="18" t="s">
        <v>9</v>
      </c>
      <c r="J378" s="18" t="s">
        <v>452</v>
      </c>
      <c r="K378" s="68">
        <v>0</v>
      </c>
      <c r="L378" s="18">
        <v>0</v>
      </c>
      <c r="N378" s="19">
        <v>45349</v>
      </c>
      <c r="O378" s="19">
        <v>45349</v>
      </c>
      <c r="P378" s="18">
        <f t="shared" si="20"/>
        <v>0</v>
      </c>
      <c r="Q378" s="30" t="s">
        <v>817</v>
      </c>
      <c r="S378" s="19">
        <v>45349</v>
      </c>
      <c r="T378" s="18">
        <f t="shared" si="21"/>
        <v>0</v>
      </c>
      <c r="X378" s="18" t="s">
        <v>53</v>
      </c>
      <c r="Y378" s="18" t="s">
        <v>51</v>
      </c>
      <c r="AA378" s="18">
        <v>0</v>
      </c>
      <c r="AB378" s="18">
        <v>0</v>
      </c>
      <c r="AC378" s="18">
        <v>0</v>
      </c>
      <c r="AD378" s="18" t="s">
        <v>65</v>
      </c>
      <c r="AE378" s="18">
        <v>0</v>
      </c>
      <c r="AF378" s="18">
        <f t="shared" si="22"/>
        <v>0</v>
      </c>
      <c r="AG378" s="18" t="str">
        <f t="shared" si="23"/>
        <v>LOW</v>
      </c>
    </row>
    <row r="379" spans="1:33" x14ac:dyDescent="0.3">
      <c r="A379" s="66">
        <v>378</v>
      </c>
      <c r="B379" s="18" t="s">
        <v>2</v>
      </c>
      <c r="C379" s="18" t="s">
        <v>4</v>
      </c>
      <c r="D379" s="18" t="s">
        <v>75</v>
      </c>
      <c r="E379" s="29" t="s">
        <v>242</v>
      </c>
      <c r="F379" s="29" t="s">
        <v>413</v>
      </c>
      <c r="G379" s="18">
        <v>2</v>
      </c>
      <c r="H379" s="18">
        <v>1</v>
      </c>
      <c r="I379" s="18" t="s">
        <v>9</v>
      </c>
      <c r="J379" s="18" t="s">
        <v>63</v>
      </c>
      <c r="K379" s="68">
        <v>0</v>
      </c>
      <c r="L379" s="18">
        <v>0</v>
      </c>
      <c r="N379" s="19">
        <v>45349</v>
      </c>
      <c r="O379" s="19">
        <v>45349</v>
      </c>
      <c r="P379" s="18">
        <f t="shared" si="20"/>
        <v>0</v>
      </c>
      <c r="Q379" s="30" t="s">
        <v>818</v>
      </c>
      <c r="S379" s="19">
        <v>45349</v>
      </c>
      <c r="T379" s="18">
        <f t="shared" si="21"/>
        <v>0</v>
      </c>
      <c r="X379" s="18" t="s">
        <v>51</v>
      </c>
      <c r="Y379" s="18" t="s">
        <v>51</v>
      </c>
      <c r="AA379" s="18">
        <v>0</v>
      </c>
      <c r="AB379" s="18">
        <v>0</v>
      </c>
      <c r="AC379" s="18">
        <v>0</v>
      </c>
      <c r="AD379" s="18" t="s">
        <v>65</v>
      </c>
      <c r="AE379" s="18">
        <v>0</v>
      </c>
      <c r="AF379" s="18">
        <f t="shared" si="22"/>
        <v>3</v>
      </c>
      <c r="AG379" s="18" t="str">
        <f t="shared" si="23"/>
        <v>LOW</v>
      </c>
    </row>
    <row r="380" spans="1:33" ht="28.8" x14ac:dyDescent="0.3">
      <c r="A380" s="66">
        <v>379</v>
      </c>
      <c r="B380" s="18" t="s">
        <v>2</v>
      </c>
      <c r="C380" s="18" t="s">
        <v>4</v>
      </c>
      <c r="D380" s="18" t="s">
        <v>80</v>
      </c>
      <c r="E380" s="29" t="s">
        <v>243</v>
      </c>
      <c r="F380" s="29" t="s">
        <v>117</v>
      </c>
      <c r="G380" s="18">
        <v>0</v>
      </c>
      <c r="H380" s="18">
        <v>0</v>
      </c>
      <c r="I380" s="18" t="s">
        <v>9</v>
      </c>
      <c r="J380" s="18" t="s">
        <v>450</v>
      </c>
      <c r="K380" s="68">
        <v>0</v>
      </c>
      <c r="L380" s="18">
        <v>0</v>
      </c>
      <c r="N380" s="19">
        <v>45350</v>
      </c>
      <c r="O380" s="19">
        <v>45350</v>
      </c>
      <c r="P380" s="18">
        <f t="shared" si="20"/>
        <v>0</v>
      </c>
      <c r="Q380" s="30" t="s">
        <v>819</v>
      </c>
      <c r="S380" s="19">
        <v>45352</v>
      </c>
      <c r="T380" s="18">
        <f t="shared" si="21"/>
        <v>0</v>
      </c>
      <c r="X380" s="18" t="s">
        <v>53</v>
      </c>
      <c r="Y380" s="18" t="s">
        <v>51</v>
      </c>
      <c r="AA380" s="18">
        <v>0</v>
      </c>
      <c r="AB380" s="18">
        <v>0</v>
      </c>
      <c r="AC380" s="18">
        <v>0</v>
      </c>
      <c r="AD380" s="18" t="s">
        <v>65</v>
      </c>
      <c r="AE380" s="18">
        <v>0</v>
      </c>
      <c r="AF380" s="18">
        <f t="shared" si="22"/>
        <v>0</v>
      </c>
      <c r="AG380" s="18" t="str">
        <f t="shared" si="23"/>
        <v>LOW</v>
      </c>
    </row>
    <row r="381" spans="1:33" x14ac:dyDescent="0.3">
      <c r="A381" s="66">
        <v>380</v>
      </c>
      <c r="B381" s="18" t="s">
        <v>1</v>
      </c>
      <c r="C381" s="18" t="s">
        <v>4</v>
      </c>
      <c r="D381" s="18" t="s">
        <v>10</v>
      </c>
      <c r="E381" s="29" t="s">
        <v>244</v>
      </c>
      <c r="F381" s="29" t="s">
        <v>414</v>
      </c>
      <c r="G381" s="18">
        <v>0</v>
      </c>
      <c r="H381" s="18">
        <v>0</v>
      </c>
      <c r="I381" s="18" t="s">
        <v>10</v>
      </c>
      <c r="J381" s="18" t="s">
        <v>10</v>
      </c>
      <c r="K381" s="68">
        <v>0</v>
      </c>
      <c r="L381" s="18">
        <v>0</v>
      </c>
      <c r="N381" s="19">
        <v>45350</v>
      </c>
      <c r="O381" s="19">
        <v>45350</v>
      </c>
      <c r="P381" s="18">
        <f t="shared" si="20"/>
        <v>0</v>
      </c>
      <c r="Q381" s="30" t="s">
        <v>808</v>
      </c>
      <c r="S381" s="19">
        <v>45352</v>
      </c>
      <c r="T381" s="18">
        <f t="shared" si="21"/>
        <v>0</v>
      </c>
      <c r="X381" s="18" t="s">
        <v>53</v>
      </c>
      <c r="Y381" s="18" t="s">
        <v>53</v>
      </c>
      <c r="AA381" s="18">
        <v>0</v>
      </c>
      <c r="AB381" s="18">
        <v>0</v>
      </c>
      <c r="AC381" s="18">
        <v>0</v>
      </c>
      <c r="AD381" s="18" t="s">
        <v>65</v>
      </c>
      <c r="AE381" s="18">
        <v>0</v>
      </c>
      <c r="AF381" s="18">
        <f t="shared" si="22"/>
        <v>0</v>
      </c>
      <c r="AG381" s="18" t="str">
        <f t="shared" si="23"/>
        <v>LOW</v>
      </c>
    </row>
    <row r="382" spans="1:33" x14ac:dyDescent="0.3">
      <c r="A382" s="66">
        <v>381</v>
      </c>
      <c r="B382" s="18" t="s">
        <v>1</v>
      </c>
      <c r="C382" s="18" t="s">
        <v>4</v>
      </c>
      <c r="D382" s="18" t="s">
        <v>10</v>
      </c>
      <c r="E382" s="29" t="s">
        <v>245</v>
      </c>
      <c r="F382" s="29" t="s">
        <v>415</v>
      </c>
      <c r="G382" s="18">
        <v>2</v>
      </c>
      <c r="H382" s="18">
        <v>1</v>
      </c>
      <c r="I382" s="18" t="s">
        <v>10</v>
      </c>
      <c r="J382" s="18" t="s">
        <v>10</v>
      </c>
      <c r="K382" s="68">
        <v>0</v>
      </c>
      <c r="L382" s="18">
        <v>0</v>
      </c>
      <c r="M382" s="18">
        <v>36</v>
      </c>
      <c r="N382" s="19">
        <v>45350</v>
      </c>
      <c r="O382" s="19">
        <v>45350</v>
      </c>
      <c r="P382" s="18">
        <f t="shared" si="20"/>
        <v>0</v>
      </c>
      <c r="Q382" s="30" t="s">
        <v>205</v>
      </c>
      <c r="S382" s="19">
        <v>45351</v>
      </c>
      <c r="T382" s="18">
        <f t="shared" si="21"/>
        <v>0</v>
      </c>
      <c r="X382" s="18" t="s">
        <v>51</v>
      </c>
      <c r="Y382" s="18" t="s">
        <v>51</v>
      </c>
      <c r="AA382" s="18">
        <v>0</v>
      </c>
      <c r="AB382" s="18">
        <v>0</v>
      </c>
      <c r="AC382" s="18">
        <v>0</v>
      </c>
      <c r="AD382" s="18" t="s">
        <v>65</v>
      </c>
      <c r="AE382" s="18">
        <v>0</v>
      </c>
      <c r="AF382" s="18">
        <f t="shared" si="22"/>
        <v>3</v>
      </c>
      <c r="AG382" s="18" t="str">
        <f t="shared" si="23"/>
        <v>LOW</v>
      </c>
    </row>
    <row r="383" spans="1:33" x14ac:dyDescent="0.3">
      <c r="A383" s="66">
        <v>382</v>
      </c>
      <c r="B383" s="18" t="s">
        <v>2</v>
      </c>
      <c r="C383" s="18" t="s">
        <v>4</v>
      </c>
      <c r="D383" s="18" t="s">
        <v>10</v>
      </c>
      <c r="E383" s="29" t="s">
        <v>246</v>
      </c>
      <c r="F383" s="29" t="s">
        <v>117</v>
      </c>
      <c r="G383" s="18">
        <v>0</v>
      </c>
      <c r="H383" s="18">
        <v>0</v>
      </c>
      <c r="I383" s="18" t="s">
        <v>10</v>
      </c>
      <c r="J383" s="18" t="s">
        <v>10</v>
      </c>
      <c r="K383" s="68">
        <v>0</v>
      </c>
      <c r="L383" s="18">
        <v>0</v>
      </c>
      <c r="N383" s="19">
        <v>45350</v>
      </c>
      <c r="O383" s="19">
        <v>45350</v>
      </c>
      <c r="P383" s="18">
        <f t="shared" si="20"/>
        <v>0</v>
      </c>
      <c r="Q383" s="30" t="s">
        <v>820</v>
      </c>
      <c r="S383" s="19">
        <v>45350</v>
      </c>
      <c r="T383" s="18">
        <f t="shared" si="21"/>
        <v>0</v>
      </c>
      <c r="X383" s="18" t="s">
        <v>53</v>
      </c>
      <c r="Y383" s="18" t="s">
        <v>51</v>
      </c>
      <c r="AA383" s="18">
        <v>0</v>
      </c>
      <c r="AB383" s="18">
        <v>0</v>
      </c>
      <c r="AC383" s="18">
        <v>0</v>
      </c>
      <c r="AD383" s="18" t="s">
        <v>65</v>
      </c>
      <c r="AE383" s="18">
        <v>0</v>
      </c>
      <c r="AF383" s="18">
        <f t="shared" si="22"/>
        <v>0</v>
      </c>
      <c r="AG383" s="18" t="str">
        <f t="shared" si="23"/>
        <v>LOW</v>
      </c>
    </row>
    <row r="384" spans="1:33" x14ac:dyDescent="0.3">
      <c r="A384" s="66">
        <v>383</v>
      </c>
      <c r="B384" s="18" t="s">
        <v>2</v>
      </c>
      <c r="C384" s="18" t="s">
        <v>4</v>
      </c>
      <c r="D384" s="18" t="s">
        <v>76</v>
      </c>
      <c r="E384" s="29" t="s">
        <v>247</v>
      </c>
      <c r="F384" s="29" t="s">
        <v>416</v>
      </c>
      <c r="G384" s="18">
        <v>3</v>
      </c>
      <c r="H384" s="18">
        <v>3</v>
      </c>
      <c r="I384" s="18" t="s">
        <v>9</v>
      </c>
      <c r="J384" s="18" t="s">
        <v>63</v>
      </c>
      <c r="K384" s="68">
        <v>0</v>
      </c>
      <c r="L384" s="18">
        <v>0</v>
      </c>
      <c r="N384" s="19">
        <v>45307</v>
      </c>
      <c r="O384" s="19">
        <v>45351</v>
      </c>
      <c r="P384" s="18">
        <f t="shared" si="20"/>
        <v>44</v>
      </c>
      <c r="Q384" s="30" t="s">
        <v>821</v>
      </c>
      <c r="S384" s="19">
        <v>45351</v>
      </c>
      <c r="T384" s="18">
        <f t="shared" si="21"/>
        <v>44</v>
      </c>
      <c r="X384" s="18" t="s">
        <v>53</v>
      </c>
      <c r="Y384" s="18" t="s">
        <v>51</v>
      </c>
      <c r="AA384" s="18">
        <v>0</v>
      </c>
      <c r="AB384" s="18">
        <v>0</v>
      </c>
      <c r="AC384" s="18">
        <v>0</v>
      </c>
      <c r="AD384" s="18" t="s">
        <v>65</v>
      </c>
      <c r="AE384" s="18">
        <v>0</v>
      </c>
      <c r="AF384" s="18">
        <f t="shared" si="22"/>
        <v>6</v>
      </c>
      <c r="AG384" s="18" t="str">
        <f t="shared" si="23"/>
        <v>LOW</v>
      </c>
    </row>
    <row r="385" spans="1:33" ht="28.8" x14ac:dyDescent="0.3">
      <c r="A385" s="66">
        <v>384</v>
      </c>
      <c r="B385" s="18" t="s">
        <v>2</v>
      </c>
      <c r="C385" s="18" t="s">
        <v>4</v>
      </c>
      <c r="D385" s="18" t="s">
        <v>71</v>
      </c>
      <c r="E385" s="29" t="s">
        <v>248</v>
      </c>
      <c r="F385" s="29" t="s">
        <v>417</v>
      </c>
      <c r="G385" s="18">
        <v>2</v>
      </c>
      <c r="H385" s="18">
        <v>0</v>
      </c>
      <c r="I385" s="18" t="s">
        <v>9</v>
      </c>
      <c r="J385" s="18" t="s">
        <v>451</v>
      </c>
      <c r="K385" s="68">
        <v>0</v>
      </c>
      <c r="L385" s="18">
        <v>0</v>
      </c>
      <c r="N385" s="19">
        <v>45351</v>
      </c>
      <c r="O385" s="19">
        <v>45351</v>
      </c>
      <c r="P385" s="18">
        <f t="shared" si="20"/>
        <v>0</v>
      </c>
      <c r="Q385" s="30" t="s">
        <v>822</v>
      </c>
      <c r="S385" s="19">
        <v>45351</v>
      </c>
      <c r="T385" s="18">
        <f t="shared" si="21"/>
        <v>0</v>
      </c>
      <c r="X385" s="18" t="s">
        <v>51</v>
      </c>
      <c r="Y385" s="18" t="s">
        <v>51</v>
      </c>
      <c r="AA385" s="18">
        <v>0</v>
      </c>
      <c r="AB385" s="18">
        <v>0</v>
      </c>
      <c r="AC385" s="18">
        <v>0</v>
      </c>
      <c r="AD385" s="18" t="s">
        <v>65</v>
      </c>
      <c r="AE385" s="18">
        <v>0</v>
      </c>
      <c r="AF385" s="18">
        <f t="shared" si="22"/>
        <v>2</v>
      </c>
      <c r="AG385" s="18" t="str">
        <f t="shared" si="23"/>
        <v>LOW</v>
      </c>
    </row>
    <row r="386" spans="1:33" x14ac:dyDescent="0.3">
      <c r="A386" s="66">
        <v>385</v>
      </c>
      <c r="B386" s="18" t="s">
        <v>2</v>
      </c>
      <c r="C386" s="18" t="s">
        <v>4</v>
      </c>
      <c r="D386" s="18" t="s">
        <v>76</v>
      </c>
      <c r="E386" s="29" t="s">
        <v>992</v>
      </c>
      <c r="F386" s="29" t="s">
        <v>117</v>
      </c>
      <c r="G386" s="18">
        <v>0</v>
      </c>
      <c r="H386" s="18">
        <v>0</v>
      </c>
      <c r="I386" s="18" t="s">
        <v>9</v>
      </c>
      <c r="J386" s="18" t="s">
        <v>63</v>
      </c>
      <c r="K386" s="68">
        <v>0</v>
      </c>
      <c r="L386" s="18">
        <v>0</v>
      </c>
      <c r="N386" s="19">
        <v>45351</v>
      </c>
      <c r="O386" s="19">
        <v>45351</v>
      </c>
      <c r="P386" s="18">
        <f t="shared" ref="P386:P449" si="24">$O386-$N386</f>
        <v>0</v>
      </c>
      <c r="Q386" s="30" t="s">
        <v>823</v>
      </c>
      <c r="S386" s="19">
        <v>45351</v>
      </c>
      <c r="T386" s="18">
        <f t="shared" ref="T386:T408" si="25">IF(AND(O386&lt;&gt; "",N386&lt;&gt;""),O386-N386,"")</f>
        <v>0</v>
      </c>
      <c r="X386" s="18" t="s">
        <v>53</v>
      </c>
      <c r="Y386" s="18" t="s">
        <v>51</v>
      </c>
      <c r="AA386" s="18">
        <v>0</v>
      </c>
      <c r="AB386" s="18">
        <v>0</v>
      </c>
      <c r="AC386" s="18">
        <v>0</v>
      </c>
      <c r="AD386" s="18" t="s">
        <v>65</v>
      </c>
      <c r="AE386" s="18">
        <v>0</v>
      </c>
      <c r="AF386" s="18">
        <f t="shared" ref="AF386:AF449" si="26">SUM($G386,$H386,$L386,$AA386,$AB386,$AC386,$AE386)</f>
        <v>0</v>
      </c>
      <c r="AG386" s="18" t="str">
        <f t="shared" ref="AG386:AG449" si="27">IF(AF386&lt;=15,"LOW",IF(AF386&gt;=31,"HIGH","MIDIUM"))</f>
        <v>LOW</v>
      </c>
    </row>
    <row r="387" spans="1:33" ht="43.2" x14ac:dyDescent="0.3">
      <c r="A387" s="66">
        <v>386</v>
      </c>
      <c r="B387" s="18" t="s">
        <v>2</v>
      </c>
      <c r="C387" s="18" t="s">
        <v>4</v>
      </c>
      <c r="D387" s="18" t="s">
        <v>74</v>
      </c>
      <c r="E387" s="29" t="s">
        <v>249</v>
      </c>
      <c r="F387" s="29" t="s">
        <v>418</v>
      </c>
      <c r="G387" s="18">
        <v>2</v>
      </c>
      <c r="H387" s="18">
        <v>2</v>
      </c>
      <c r="I387" s="18" t="s">
        <v>9</v>
      </c>
      <c r="J387" s="18" t="s">
        <v>63</v>
      </c>
      <c r="K387" s="68">
        <v>0</v>
      </c>
      <c r="L387" s="18">
        <v>0</v>
      </c>
      <c r="N387" s="19">
        <v>45351</v>
      </c>
      <c r="O387" s="19">
        <v>45351</v>
      </c>
      <c r="P387" s="18">
        <f t="shared" si="24"/>
        <v>0</v>
      </c>
      <c r="Q387" s="30" t="s">
        <v>249</v>
      </c>
      <c r="S387" s="19">
        <v>45351</v>
      </c>
      <c r="T387" s="18">
        <f t="shared" si="25"/>
        <v>0</v>
      </c>
      <c r="X387" s="18" t="s">
        <v>51</v>
      </c>
      <c r="Y387" s="18" t="s">
        <v>51</v>
      </c>
      <c r="AA387" s="18">
        <v>0</v>
      </c>
      <c r="AB387" s="18">
        <v>0</v>
      </c>
      <c r="AC387" s="18">
        <v>0</v>
      </c>
      <c r="AD387" s="18" t="s">
        <v>65</v>
      </c>
      <c r="AE387" s="18">
        <v>0</v>
      </c>
      <c r="AF387" s="18">
        <f t="shared" si="26"/>
        <v>4</v>
      </c>
      <c r="AG387" s="18" t="str">
        <f t="shared" si="27"/>
        <v>LOW</v>
      </c>
    </row>
    <row r="388" spans="1:33" x14ac:dyDescent="0.3">
      <c r="A388" s="66">
        <v>387</v>
      </c>
      <c r="B388" s="18" t="s">
        <v>1</v>
      </c>
      <c r="C388" s="18" t="s">
        <v>5</v>
      </c>
      <c r="D388" s="18" t="s">
        <v>60</v>
      </c>
      <c r="E388" s="29" t="s">
        <v>159</v>
      </c>
      <c r="F388" s="29" t="s">
        <v>419</v>
      </c>
      <c r="G388" s="18">
        <v>2</v>
      </c>
      <c r="H388" s="18">
        <v>1</v>
      </c>
      <c r="I388" s="18" t="s">
        <v>9</v>
      </c>
      <c r="J388" s="18" t="s">
        <v>451</v>
      </c>
      <c r="K388" s="68">
        <v>480000</v>
      </c>
      <c r="L388" s="18">
        <v>3</v>
      </c>
      <c r="M388" s="18">
        <v>24</v>
      </c>
      <c r="N388" s="19">
        <v>45345</v>
      </c>
      <c r="O388" s="19">
        <v>45348</v>
      </c>
      <c r="P388" s="18">
        <f t="shared" si="24"/>
        <v>3</v>
      </c>
      <c r="Q388" s="30" t="s">
        <v>824</v>
      </c>
      <c r="S388" s="19">
        <v>45348</v>
      </c>
      <c r="T388" s="18">
        <f t="shared" si="25"/>
        <v>3</v>
      </c>
      <c r="X388" s="18" t="s">
        <v>53</v>
      </c>
      <c r="Y388" s="18" t="s">
        <v>51</v>
      </c>
      <c r="Z388" s="18" t="s">
        <v>65</v>
      </c>
      <c r="AA388" s="18">
        <v>0</v>
      </c>
      <c r="AB388" s="18">
        <v>0</v>
      </c>
      <c r="AC388" s="18">
        <v>0</v>
      </c>
      <c r="AD388" s="18" t="s">
        <v>65</v>
      </c>
      <c r="AE388" s="18">
        <v>0</v>
      </c>
      <c r="AF388" s="18">
        <f t="shared" si="26"/>
        <v>6</v>
      </c>
      <c r="AG388" s="18" t="str">
        <f t="shared" si="27"/>
        <v>LOW</v>
      </c>
    </row>
    <row r="389" spans="1:33" ht="43.2" x14ac:dyDescent="0.3">
      <c r="A389" s="66">
        <v>388</v>
      </c>
      <c r="B389" s="18" t="s">
        <v>1</v>
      </c>
      <c r="C389" s="18" t="s">
        <v>5</v>
      </c>
      <c r="D389" s="18" t="s">
        <v>60</v>
      </c>
      <c r="E389" s="29" t="s">
        <v>250</v>
      </c>
      <c r="F389" s="29" t="s">
        <v>420</v>
      </c>
      <c r="G389" s="18">
        <v>2</v>
      </c>
      <c r="H389" s="18">
        <v>1</v>
      </c>
      <c r="I389" s="18" t="s">
        <v>9</v>
      </c>
      <c r="J389" s="18" t="s">
        <v>452</v>
      </c>
      <c r="K389" s="68" t="s">
        <v>456</v>
      </c>
      <c r="L389" s="18">
        <v>0</v>
      </c>
      <c r="M389" s="18">
        <v>12</v>
      </c>
      <c r="N389" s="19">
        <v>0</v>
      </c>
      <c r="O389" s="19">
        <v>0</v>
      </c>
      <c r="P389" s="18">
        <f t="shared" si="24"/>
        <v>0</v>
      </c>
      <c r="Q389" s="30" t="s">
        <v>825</v>
      </c>
      <c r="S389" s="19">
        <v>45349</v>
      </c>
      <c r="T389" s="18">
        <f t="shared" si="25"/>
        <v>0</v>
      </c>
      <c r="X389" s="18" t="s">
        <v>53</v>
      </c>
      <c r="Y389" s="18" t="s">
        <v>51</v>
      </c>
      <c r="AA389" s="18">
        <v>0</v>
      </c>
      <c r="AB389" s="18">
        <v>0</v>
      </c>
      <c r="AC389" s="18">
        <v>0</v>
      </c>
      <c r="AD389" s="18" t="s">
        <v>65</v>
      </c>
      <c r="AE389" s="18">
        <v>0</v>
      </c>
      <c r="AF389" s="18">
        <f t="shared" si="26"/>
        <v>3</v>
      </c>
      <c r="AG389" s="18" t="str">
        <f t="shared" si="27"/>
        <v>LOW</v>
      </c>
    </row>
    <row r="390" spans="1:33" ht="28.8" x14ac:dyDescent="0.3">
      <c r="A390" s="66">
        <v>389</v>
      </c>
      <c r="B390" s="18" t="s">
        <v>2</v>
      </c>
      <c r="C390" s="18" t="s">
        <v>5</v>
      </c>
      <c r="D390" s="18" t="s">
        <v>74</v>
      </c>
      <c r="E390" s="29" t="s">
        <v>251</v>
      </c>
      <c r="F390" s="29" t="s">
        <v>117</v>
      </c>
      <c r="G390" s="18">
        <v>2</v>
      </c>
      <c r="H390" s="18">
        <v>0</v>
      </c>
      <c r="I390" s="18" t="s">
        <v>9</v>
      </c>
      <c r="J390" s="18" t="s">
        <v>63</v>
      </c>
      <c r="K390" s="68">
        <v>0</v>
      </c>
      <c r="L390" s="18">
        <v>0</v>
      </c>
      <c r="N390" s="19">
        <v>45349</v>
      </c>
      <c r="O390" s="19">
        <v>45349</v>
      </c>
      <c r="P390" s="18">
        <f t="shared" si="24"/>
        <v>0</v>
      </c>
      <c r="Q390" s="30" t="s">
        <v>826</v>
      </c>
      <c r="S390" s="19">
        <v>45349</v>
      </c>
      <c r="T390" s="18">
        <f t="shared" si="25"/>
        <v>0</v>
      </c>
      <c r="X390" s="18" t="s">
        <v>51</v>
      </c>
      <c r="Y390" s="18" t="s">
        <v>51</v>
      </c>
      <c r="AA390" s="18">
        <v>0</v>
      </c>
      <c r="AB390" s="18">
        <v>0</v>
      </c>
      <c r="AC390" s="18">
        <v>0</v>
      </c>
      <c r="AD390" s="18" t="s">
        <v>65</v>
      </c>
      <c r="AE390" s="18">
        <v>0</v>
      </c>
      <c r="AF390" s="18">
        <f t="shared" si="26"/>
        <v>2</v>
      </c>
      <c r="AG390" s="18" t="str">
        <f t="shared" si="27"/>
        <v>LOW</v>
      </c>
    </row>
    <row r="391" spans="1:33" ht="28.8" x14ac:dyDescent="0.3">
      <c r="A391" s="66">
        <v>390</v>
      </c>
      <c r="B391" s="18" t="s">
        <v>1</v>
      </c>
      <c r="C391" s="18" t="s">
        <v>5</v>
      </c>
      <c r="D391" s="18" t="s">
        <v>60</v>
      </c>
      <c r="E391" s="29" t="s">
        <v>159</v>
      </c>
      <c r="F391" s="29" t="s">
        <v>421</v>
      </c>
      <c r="G391" s="18">
        <v>2</v>
      </c>
      <c r="H391" s="18">
        <v>1</v>
      </c>
      <c r="I391" s="18" t="s">
        <v>9</v>
      </c>
      <c r="J391" s="18" t="s">
        <v>451</v>
      </c>
      <c r="K391" s="68" t="s">
        <v>456</v>
      </c>
      <c r="L391" s="18">
        <v>0</v>
      </c>
      <c r="M391" s="18">
        <v>36</v>
      </c>
      <c r="N391" s="19">
        <v>45349</v>
      </c>
      <c r="O391" s="19">
        <v>45349</v>
      </c>
      <c r="P391" s="18">
        <f t="shared" si="24"/>
        <v>0</v>
      </c>
      <c r="Q391" s="30" t="s">
        <v>827</v>
      </c>
      <c r="S391" s="19">
        <v>45349</v>
      </c>
      <c r="T391" s="18">
        <f t="shared" si="25"/>
        <v>0</v>
      </c>
      <c r="X391" s="18" t="s">
        <v>53</v>
      </c>
      <c r="Y391" s="18" t="s">
        <v>51</v>
      </c>
      <c r="AA391" s="18">
        <v>0</v>
      </c>
      <c r="AB391" s="18">
        <v>0</v>
      </c>
      <c r="AC391" s="18">
        <v>0</v>
      </c>
      <c r="AD391" s="18" t="s">
        <v>65</v>
      </c>
      <c r="AE391" s="18">
        <v>0</v>
      </c>
      <c r="AF391" s="18">
        <f t="shared" si="26"/>
        <v>3</v>
      </c>
      <c r="AG391" s="18" t="str">
        <f t="shared" si="27"/>
        <v>LOW</v>
      </c>
    </row>
    <row r="392" spans="1:33" ht="28.8" x14ac:dyDescent="0.3">
      <c r="A392" s="66">
        <v>391</v>
      </c>
      <c r="B392" s="18" t="s">
        <v>2</v>
      </c>
      <c r="C392" s="18" t="s">
        <v>5</v>
      </c>
      <c r="D392" s="18" t="s">
        <v>96</v>
      </c>
      <c r="E392" s="29" t="s">
        <v>159</v>
      </c>
      <c r="F392" s="29" t="s">
        <v>422</v>
      </c>
      <c r="G392" s="18">
        <v>2</v>
      </c>
      <c r="H392" s="18">
        <v>1</v>
      </c>
      <c r="I392" s="18" t="s">
        <v>9</v>
      </c>
      <c r="J392" s="18" t="s">
        <v>63</v>
      </c>
      <c r="K392" s="68">
        <v>0</v>
      </c>
      <c r="L392" s="18">
        <v>0</v>
      </c>
      <c r="N392" s="19">
        <v>45349</v>
      </c>
      <c r="O392" s="19">
        <v>45350</v>
      </c>
      <c r="P392" s="18">
        <f t="shared" si="24"/>
        <v>1</v>
      </c>
      <c r="Q392" s="30" t="s">
        <v>828</v>
      </c>
      <c r="S392" s="19">
        <v>45350</v>
      </c>
      <c r="T392" s="18">
        <f t="shared" si="25"/>
        <v>1</v>
      </c>
      <c r="X392" s="18" t="s">
        <v>53</v>
      </c>
      <c r="Y392" s="18" t="s">
        <v>51</v>
      </c>
      <c r="AA392" s="18">
        <v>0</v>
      </c>
      <c r="AB392" s="18">
        <v>0</v>
      </c>
      <c r="AC392" s="18">
        <v>0</v>
      </c>
      <c r="AD392" s="18" t="s">
        <v>65</v>
      </c>
      <c r="AE392" s="18">
        <v>0</v>
      </c>
      <c r="AF392" s="18">
        <f t="shared" si="26"/>
        <v>3</v>
      </c>
      <c r="AG392" s="18" t="str">
        <f t="shared" si="27"/>
        <v>LOW</v>
      </c>
    </row>
    <row r="393" spans="1:33" x14ac:dyDescent="0.3">
      <c r="A393" s="66">
        <v>392</v>
      </c>
      <c r="B393" s="18" t="s">
        <v>1</v>
      </c>
      <c r="C393" s="18" t="s">
        <v>5</v>
      </c>
      <c r="D393" s="18" t="s">
        <v>60</v>
      </c>
      <c r="E393" s="29" t="s">
        <v>216</v>
      </c>
      <c r="F393" s="29" t="s">
        <v>423</v>
      </c>
      <c r="G393" s="18">
        <v>2</v>
      </c>
      <c r="H393" s="18">
        <v>1</v>
      </c>
      <c r="I393" s="18" t="s">
        <v>449</v>
      </c>
      <c r="J393" s="18" t="s">
        <v>451</v>
      </c>
      <c r="K393" s="68">
        <v>339300</v>
      </c>
      <c r="L393" s="18">
        <v>3</v>
      </c>
      <c r="M393" s="18">
        <v>1</v>
      </c>
      <c r="N393" s="19">
        <v>45349</v>
      </c>
      <c r="O393" s="19">
        <v>45351</v>
      </c>
      <c r="P393" s="18">
        <f t="shared" si="24"/>
        <v>2</v>
      </c>
      <c r="Q393" s="30" t="s">
        <v>829</v>
      </c>
      <c r="S393" s="19">
        <v>45351</v>
      </c>
      <c r="T393" s="18">
        <f t="shared" si="25"/>
        <v>2</v>
      </c>
      <c r="X393" s="18" t="s">
        <v>53</v>
      </c>
      <c r="Y393" s="18" t="s">
        <v>51</v>
      </c>
      <c r="AA393" s="18">
        <v>0</v>
      </c>
      <c r="AB393" s="18">
        <v>0</v>
      </c>
      <c r="AC393" s="18">
        <v>0</v>
      </c>
      <c r="AD393" s="18" t="s">
        <v>65</v>
      </c>
      <c r="AE393" s="18">
        <v>0</v>
      </c>
      <c r="AF393" s="18">
        <f t="shared" si="26"/>
        <v>6</v>
      </c>
      <c r="AG393" s="18" t="str">
        <f t="shared" si="27"/>
        <v>LOW</v>
      </c>
    </row>
    <row r="394" spans="1:33" x14ac:dyDescent="0.3">
      <c r="A394" s="66">
        <v>393</v>
      </c>
      <c r="B394" s="18" t="s">
        <v>1</v>
      </c>
      <c r="C394" s="18" t="s">
        <v>5</v>
      </c>
      <c r="D394" s="18" t="s">
        <v>60</v>
      </c>
      <c r="E394" s="29" t="s">
        <v>159</v>
      </c>
      <c r="F394" s="29" t="s">
        <v>424</v>
      </c>
      <c r="G394" s="18">
        <v>2</v>
      </c>
      <c r="H394" s="18">
        <v>1</v>
      </c>
      <c r="I394" s="18" t="s">
        <v>9</v>
      </c>
      <c r="J394" s="18" t="s">
        <v>451</v>
      </c>
      <c r="K394" s="68" t="s">
        <v>456</v>
      </c>
      <c r="L394" s="18">
        <v>0</v>
      </c>
      <c r="M394" s="18">
        <v>36</v>
      </c>
      <c r="N394" s="19">
        <v>45350</v>
      </c>
      <c r="O394" s="19">
        <v>45351</v>
      </c>
      <c r="P394" s="18">
        <f t="shared" si="24"/>
        <v>1</v>
      </c>
      <c r="Q394" s="30" t="s">
        <v>830</v>
      </c>
      <c r="S394" s="19">
        <v>45351</v>
      </c>
      <c r="T394" s="18">
        <f t="shared" si="25"/>
        <v>1</v>
      </c>
      <c r="X394" s="18" t="s">
        <v>51</v>
      </c>
      <c r="Y394" s="18" t="s">
        <v>51</v>
      </c>
      <c r="AA394" s="18">
        <v>0</v>
      </c>
      <c r="AB394" s="18">
        <v>0</v>
      </c>
      <c r="AC394" s="18">
        <v>0</v>
      </c>
      <c r="AD394" s="18" t="s">
        <v>65</v>
      </c>
      <c r="AE394" s="18">
        <v>0</v>
      </c>
      <c r="AF394" s="18">
        <f t="shared" si="26"/>
        <v>3</v>
      </c>
      <c r="AG394" s="18" t="str">
        <f t="shared" si="27"/>
        <v>LOW</v>
      </c>
    </row>
    <row r="395" spans="1:33" x14ac:dyDescent="0.3">
      <c r="A395" s="66">
        <v>394</v>
      </c>
      <c r="B395" s="18" t="s">
        <v>1</v>
      </c>
      <c r="C395" s="18" t="s">
        <v>5</v>
      </c>
      <c r="D395" s="18" t="s">
        <v>60</v>
      </c>
      <c r="E395" s="29" t="s">
        <v>252</v>
      </c>
      <c r="F395" s="29" t="s">
        <v>425</v>
      </c>
      <c r="G395" s="18">
        <v>2</v>
      </c>
      <c r="H395" s="18">
        <v>1</v>
      </c>
      <c r="I395" s="18" t="s">
        <v>9</v>
      </c>
      <c r="J395" s="18" t="s">
        <v>63</v>
      </c>
      <c r="K395" s="68" t="s">
        <v>456</v>
      </c>
      <c r="L395" s="18">
        <v>0</v>
      </c>
      <c r="N395" s="19">
        <v>45351</v>
      </c>
      <c r="O395" s="19">
        <v>45351</v>
      </c>
      <c r="P395" s="18">
        <f t="shared" si="24"/>
        <v>0</v>
      </c>
      <c r="Q395" s="30" t="s">
        <v>831</v>
      </c>
      <c r="S395" s="19">
        <v>45351</v>
      </c>
      <c r="T395" s="18">
        <f t="shared" si="25"/>
        <v>0</v>
      </c>
      <c r="X395" s="18" t="s">
        <v>53</v>
      </c>
      <c r="Y395" s="18" t="s">
        <v>51</v>
      </c>
      <c r="AA395" s="18">
        <v>0</v>
      </c>
      <c r="AB395" s="18">
        <v>0</v>
      </c>
      <c r="AC395" s="18">
        <v>0</v>
      </c>
      <c r="AD395" s="18" t="s">
        <v>65</v>
      </c>
      <c r="AE395" s="18">
        <v>0</v>
      </c>
      <c r="AF395" s="18">
        <f t="shared" si="26"/>
        <v>3</v>
      </c>
      <c r="AG395" s="18" t="str">
        <f t="shared" si="27"/>
        <v>LOW</v>
      </c>
    </row>
    <row r="396" spans="1:33" x14ac:dyDescent="0.3">
      <c r="A396" s="66">
        <v>395</v>
      </c>
      <c r="B396" s="18" t="s">
        <v>1</v>
      </c>
      <c r="C396" s="18" t="s">
        <v>5</v>
      </c>
      <c r="D396" s="18" t="s">
        <v>60</v>
      </c>
      <c r="E396" s="29" t="s">
        <v>159</v>
      </c>
      <c r="F396" s="29" t="s">
        <v>426</v>
      </c>
      <c r="G396" s="18">
        <v>2</v>
      </c>
      <c r="H396" s="18">
        <v>1</v>
      </c>
      <c r="I396" s="18" t="s">
        <v>9</v>
      </c>
      <c r="J396" s="18" t="s">
        <v>63</v>
      </c>
      <c r="K396" s="68">
        <v>183600</v>
      </c>
      <c r="L396" s="18">
        <v>3</v>
      </c>
      <c r="M396" s="18">
        <v>36</v>
      </c>
      <c r="N396" s="19">
        <v>45283</v>
      </c>
      <c r="O396" s="19">
        <v>45289</v>
      </c>
      <c r="P396" s="18">
        <f t="shared" si="24"/>
        <v>6</v>
      </c>
      <c r="Q396" s="30" t="s">
        <v>832</v>
      </c>
      <c r="S396" s="19">
        <v>45351</v>
      </c>
      <c r="T396" s="18">
        <f t="shared" si="25"/>
        <v>6</v>
      </c>
      <c r="X396" s="18" t="s">
        <v>51</v>
      </c>
      <c r="Y396" s="18" t="s">
        <v>51</v>
      </c>
      <c r="AA396" s="18">
        <v>0</v>
      </c>
      <c r="AB396" s="18">
        <v>0</v>
      </c>
      <c r="AC396" s="18">
        <v>0</v>
      </c>
      <c r="AD396" s="18" t="s">
        <v>65</v>
      </c>
      <c r="AE396" s="18">
        <v>0</v>
      </c>
      <c r="AF396" s="18">
        <f t="shared" si="26"/>
        <v>6</v>
      </c>
      <c r="AG396" s="18" t="str">
        <f t="shared" si="27"/>
        <v>LOW</v>
      </c>
    </row>
    <row r="397" spans="1:33" ht="28.8" x14ac:dyDescent="0.3">
      <c r="A397" s="66">
        <v>396</v>
      </c>
      <c r="B397" s="18" t="s">
        <v>2</v>
      </c>
      <c r="C397" s="18" t="s">
        <v>5</v>
      </c>
      <c r="D397" s="18" t="s">
        <v>74</v>
      </c>
      <c r="E397" s="29" t="s">
        <v>253</v>
      </c>
      <c r="F397" s="29" t="s">
        <v>117</v>
      </c>
      <c r="G397" s="18">
        <v>0</v>
      </c>
      <c r="H397" s="18">
        <v>0</v>
      </c>
      <c r="I397" s="18" t="s">
        <v>449</v>
      </c>
      <c r="J397" s="18" t="s">
        <v>63</v>
      </c>
      <c r="K397" s="68">
        <v>0</v>
      </c>
      <c r="L397" s="18">
        <v>0</v>
      </c>
      <c r="N397" s="19">
        <v>45289</v>
      </c>
      <c r="O397" s="19">
        <v>45289</v>
      </c>
      <c r="P397" s="18">
        <f t="shared" si="24"/>
        <v>0</v>
      </c>
      <c r="Q397" s="30" t="s">
        <v>833</v>
      </c>
      <c r="S397" s="19">
        <v>45351</v>
      </c>
      <c r="T397" s="18">
        <f t="shared" si="25"/>
        <v>0</v>
      </c>
      <c r="X397" s="18" t="s">
        <v>51</v>
      </c>
      <c r="Y397" s="18" t="s">
        <v>51</v>
      </c>
      <c r="AA397" s="18">
        <v>0</v>
      </c>
      <c r="AB397" s="18">
        <v>0</v>
      </c>
      <c r="AC397" s="18">
        <v>0</v>
      </c>
      <c r="AD397" s="18" t="s">
        <v>65</v>
      </c>
      <c r="AE397" s="18">
        <v>0</v>
      </c>
      <c r="AF397" s="18">
        <f t="shared" si="26"/>
        <v>0</v>
      </c>
      <c r="AG397" s="18" t="str">
        <f t="shared" si="27"/>
        <v>LOW</v>
      </c>
    </row>
    <row r="398" spans="1:33" ht="28.8" x14ac:dyDescent="0.3">
      <c r="A398" s="66">
        <v>397</v>
      </c>
      <c r="B398" s="18" t="s">
        <v>1</v>
      </c>
      <c r="C398" s="18" t="s">
        <v>5</v>
      </c>
      <c r="D398" s="18" t="s">
        <v>97</v>
      </c>
      <c r="E398" s="29" t="s">
        <v>254</v>
      </c>
      <c r="F398" s="29" t="s">
        <v>427</v>
      </c>
      <c r="G398" s="18">
        <v>2</v>
      </c>
      <c r="H398" s="18">
        <v>1</v>
      </c>
      <c r="I398" s="18" t="s">
        <v>9</v>
      </c>
      <c r="J398" s="18" t="s">
        <v>450</v>
      </c>
      <c r="K398" s="68">
        <v>28000</v>
      </c>
      <c r="L398" s="18">
        <v>1</v>
      </c>
      <c r="M398" s="18">
        <v>12</v>
      </c>
      <c r="N398" s="19">
        <v>45289</v>
      </c>
      <c r="O398" s="19">
        <v>45350</v>
      </c>
      <c r="P398" s="18">
        <f t="shared" si="24"/>
        <v>61</v>
      </c>
      <c r="Q398" s="30" t="s">
        <v>834</v>
      </c>
      <c r="S398" s="19">
        <v>45351</v>
      </c>
      <c r="T398" s="18">
        <f t="shared" si="25"/>
        <v>61</v>
      </c>
      <c r="X398" s="18" t="s">
        <v>53</v>
      </c>
      <c r="Y398" s="18" t="s">
        <v>51</v>
      </c>
      <c r="AA398" s="18">
        <v>0</v>
      </c>
      <c r="AB398" s="18">
        <v>0</v>
      </c>
      <c r="AC398" s="18">
        <v>0</v>
      </c>
      <c r="AD398" s="18" t="s">
        <v>65</v>
      </c>
      <c r="AE398" s="18">
        <v>0</v>
      </c>
      <c r="AF398" s="18">
        <f t="shared" si="26"/>
        <v>4</v>
      </c>
      <c r="AG398" s="18" t="str">
        <f t="shared" si="27"/>
        <v>LOW</v>
      </c>
    </row>
    <row r="399" spans="1:33" x14ac:dyDescent="0.3">
      <c r="A399" s="66">
        <v>398</v>
      </c>
      <c r="B399" s="18" t="s">
        <v>1</v>
      </c>
      <c r="C399" s="18" t="s">
        <v>5</v>
      </c>
      <c r="D399" s="18" t="s">
        <v>60</v>
      </c>
      <c r="E399" s="29" t="s">
        <v>1126</v>
      </c>
      <c r="F399" s="29" t="s">
        <v>428</v>
      </c>
      <c r="G399" s="18">
        <v>2</v>
      </c>
      <c r="H399" s="18">
        <v>1</v>
      </c>
      <c r="I399" s="18" t="s">
        <v>449</v>
      </c>
      <c r="J399" s="18" t="s">
        <v>63</v>
      </c>
      <c r="K399" s="68">
        <v>17820</v>
      </c>
      <c r="L399" s="18">
        <v>1</v>
      </c>
      <c r="M399" s="18">
        <v>12</v>
      </c>
      <c r="N399" s="19">
        <v>45289</v>
      </c>
      <c r="O399" s="19">
        <v>45350</v>
      </c>
      <c r="P399" s="18">
        <f t="shared" si="24"/>
        <v>61</v>
      </c>
      <c r="Q399" s="30" t="s">
        <v>835</v>
      </c>
      <c r="S399" s="19">
        <v>45351</v>
      </c>
      <c r="T399" s="18">
        <f t="shared" si="25"/>
        <v>61</v>
      </c>
      <c r="X399" s="18" t="s">
        <v>53</v>
      </c>
      <c r="Y399" s="18" t="s">
        <v>51</v>
      </c>
      <c r="AA399" s="18">
        <v>0</v>
      </c>
      <c r="AB399" s="18">
        <v>0</v>
      </c>
      <c r="AC399" s="18">
        <v>0</v>
      </c>
      <c r="AD399" s="18" t="s">
        <v>65</v>
      </c>
      <c r="AE399" s="18">
        <v>0</v>
      </c>
      <c r="AF399" s="18">
        <f t="shared" si="26"/>
        <v>4</v>
      </c>
      <c r="AG399" s="18" t="str">
        <f t="shared" si="27"/>
        <v>LOW</v>
      </c>
    </row>
    <row r="400" spans="1:33" ht="28.8" x14ac:dyDescent="0.3">
      <c r="A400" s="66">
        <v>399</v>
      </c>
      <c r="B400" s="18" t="s">
        <v>2</v>
      </c>
      <c r="C400" s="18" t="s">
        <v>6</v>
      </c>
      <c r="D400" s="18" t="s">
        <v>71</v>
      </c>
      <c r="E400" s="29" t="s">
        <v>255</v>
      </c>
      <c r="F400" s="29" t="s">
        <v>117</v>
      </c>
      <c r="G400" s="18">
        <v>0</v>
      </c>
      <c r="H400" s="18">
        <v>0</v>
      </c>
      <c r="I400" s="18" t="s">
        <v>117</v>
      </c>
      <c r="J400" s="18" t="s">
        <v>452</v>
      </c>
      <c r="K400" s="68">
        <v>0</v>
      </c>
      <c r="L400" s="18">
        <v>0</v>
      </c>
      <c r="N400" s="19">
        <v>45374</v>
      </c>
      <c r="O400" s="19">
        <v>45374</v>
      </c>
      <c r="P400" s="18">
        <f t="shared" si="24"/>
        <v>0</v>
      </c>
      <c r="Q400" s="30" t="s">
        <v>836</v>
      </c>
      <c r="T400" s="18">
        <f t="shared" si="25"/>
        <v>0</v>
      </c>
      <c r="X400" s="18" t="s">
        <v>51</v>
      </c>
      <c r="Y400" s="18" t="s">
        <v>51</v>
      </c>
      <c r="AA400" s="18">
        <v>0</v>
      </c>
      <c r="AB400" s="18">
        <v>0</v>
      </c>
      <c r="AC400" s="18">
        <v>0</v>
      </c>
      <c r="AD400" s="18" t="s">
        <v>65</v>
      </c>
      <c r="AE400" s="18">
        <v>0</v>
      </c>
      <c r="AF400" s="18">
        <f t="shared" si="26"/>
        <v>0</v>
      </c>
      <c r="AG400" s="18" t="str">
        <f t="shared" si="27"/>
        <v>LOW</v>
      </c>
    </row>
    <row r="401" spans="1:33" x14ac:dyDescent="0.3">
      <c r="A401" s="66">
        <v>400</v>
      </c>
      <c r="B401" s="18" t="s">
        <v>2</v>
      </c>
      <c r="C401" s="18" t="s">
        <v>6</v>
      </c>
      <c r="D401" s="18" t="s">
        <v>74</v>
      </c>
      <c r="E401" s="29" t="s">
        <v>230</v>
      </c>
      <c r="F401" s="29" t="s">
        <v>117</v>
      </c>
      <c r="G401" s="18">
        <v>0</v>
      </c>
      <c r="H401" s="18">
        <v>0</v>
      </c>
      <c r="I401" s="18" t="s">
        <v>117</v>
      </c>
      <c r="J401" s="18" t="s">
        <v>11</v>
      </c>
      <c r="K401" s="68">
        <v>0</v>
      </c>
      <c r="L401" s="18">
        <v>0</v>
      </c>
      <c r="N401" s="19">
        <v>45345</v>
      </c>
      <c r="O401" s="19">
        <v>45345</v>
      </c>
      <c r="P401" s="18">
        <f t="shared" si="24"/>
        <v>0</v>
      </c>
      <c r="Q401" s="30" t="s">
        <v>837</v>
      </c>
      <c r="T401" s="18">
        <f t="shared" si="25"/>
        <v>0</v>
      </c>
      <c r="X401" s="18" t="s">
        <v>51</v>
      </c>
      <c r="Y401" s="18" t="s">
        <v>51</v>
      </c>
      <c r="AA401" s="18">
        <v>0</v>
      </c>
      <c r="AB401" s="18">
        <v>0</v>
      </c>
      <c r="AC401" s="18">
        <v>0</v>
      </c>
      <c r="AD401" s="18" t="s">
        <v>65</v>
      </c>
      <c r="AE401" s="18">
        <v>0</v>
      </c>
      <c r="AF401" s="18">
        <f t="shared" si="26"/>
        <v>0</v>
      </c>
      <c r="AG401" s="18" t="str">
        <f t="shared" si="27"/>
        <v>LOW</v>
      </c>
    </row>
    <row r="402" spans="1:33" ht="28.8" x14ac:dyDescent="0.3">
      <c r="A402" s="66">
        <v>401</v>
      </c>
      <c r="B402" s="18" t="s">
        <v>2</v>
      </c>
      <c r="C402" s="18" t="s">
        <v>6</v>
      </c>
      <c r="D402" s="18" t="s">
        <v>74</v>
      </c>
      <c r="E402" s="29" t="s">
        <v>223</v>
      </c>
      <c r="F402" s="29" t="s">
        <v>117</v>
      </c>
      <c r="G402" s="18">
        <v>0</v>
      </c>
      <c r="H402" s="18">
        <v>0</v>
      </c>
      <c r="I402" s="18" t="s">
        <v>117</v>
      </c>
      <c r="J402" s="18" t="s">
        <v>63</v>
      </c>
      <c r="K402" s="68">
        <v>0</v>
      </c>
      <c r="L402" s="18">
        <v>0</v>
      </c>
      <c r="N402" s="19">
        <v>45345</v>
      </c>
      <c r="O402" s="19">
        <v>45345</v>
      </c>
      <c r="P402" s="18">
        <f t="shared" si="24"/>
        <v>0</v>
      </c>
      <c r="Q402" s="30" t="s">
        <v>838</v>
      </c>
      <c r="T402" s="18">
        <f t="shared" si="25"/>
        <v>0</v>
      </c>
      <c r="X402" s="18" t="s">
        <v>51</v>
      </c>
      <c r="Y402" s="18" t="s">
        <v>51</v>
      </c>
      <c r="AA402" s="18">
        <v>0</v>
      </c>
      <c r="AB402" s="18">
        <v>0</v>
      </c>
      <c r="AC402" s="18">
        <v>0</v>
      </c>
      <c r="AD402" s="18" t="s">
        <v>65</v>
      </c>
      <c r="AE402" s="18">
        <v>0</v>
      </c>
      <c r="AF402" s="18">
        <f t="shared" si="26"/>
        <v>0</v>
      </c>
      <c r="AG402" s="18" t="str">
        <f t="shared" si="27"/>
        <v>LOW</v>
      </c>
    </row>
    <row r="403" spans="1:33" x14ac:dyDescent="0.3">
      <c r="A403" s="66">
        <v>402</v>
      </c>
      <c r="B403" s="18" t="s">
        <v>2</v>
      </c>
      <c r="C403" s="18" t="s">
        <v>6</v>
      </c>
      <c r="D403" s="18" t="s">
        <v>60</v>
      </c>
      <c r="E403" s="29" t="s">
        <v>205</v>
      </c>
      <c r="F403" s="29" t="s">
        <v>117</v>
      </c>
      <c r="G403" s="18">
        <v>0</v>
      </c>
      <c r="H403" s="18">
        <v>0</v>
      </c>
      <c r="I403" s="18" t="s">
        <v>117</v>
      </c>
      <c r="J403" s="18" t="s">
        <v>63</v>
      </c>
      <c r="K403" s="68">
        <v>0</v>
      </c>
      <c r="L403" s="18">
        <v>0</v>
      </c>
      <c r="P403" s="18">
        <f t="shared" si="24"/>
        <v>0</v>
      </c>
      <c r="Q403" s="30" t="s">
        <v>800</v>
      </c>
      <c r="T403" s="18" t="str">
        <f t="shared" si="25"/>
        <v/>
      </c>
      <c r="X403" s="18" t="s">
        <v>51</v>
      </c>
      <c r="Y403" s="18" t="s">
        <v>51</v>
      </c>
      <c r="AA403" s="18">
        <v>0</v>
      </c>
      <c r="AB403" s="18">
        <v>0</v>
      </c>
      <c r="AC403" s="18">
        <v>0</v>
      </c>
      <c r="AD403" s="18" t="s">
        <v>65</v>
      </c>
      <c r="AE403" s="18">
        <v>0</v>
      </c>
      <c r="AF403" s="18">
        <f t="shared" si="26"/>
        <v>0</v>
      </c>
      <c r="AG403" s="18" t="str">
        <f t="shared" si="27"/>
        <v>LOW</v>
      </c>
    </row>
    <row r="404" spans="1:33" x14ac:dyDescent="0.3">
      <c r="A404" s="66">
        <v>403</v>
      </c>
      <c r="B404" s="18" t="s">
        <v>2</v>
      </c>
      <c r="C404" s="18" t="s">
        <v>6</v>
      </c>
      <c r="D404" s="18" t="s">
        <v>60</v>
      </c>
      <c r="E404" s="29" t="s">
        <v>205</v>
      </c>
      <c r="F404" s="29" t="s">
        <v>117</v>
      </c>
      <c r="G404" s="18">
        <v>0</v>
      </c>
      <c r="H404" s="18">
        <v>0</v>
      </c>
      <c r="I404" s="18" t="s">
        <v>117</v>
      </c>
      <c r="J404" s="18" t="s">
        <v>63</v>
      </c>
      <c r="K404" s="68">
        <v>0</v>
      </c>
      <c r="L404" s="18">
        <v>0</v>
      </c>
      <c r="P404" s="18">
        <f t="shared" si="24"/>
        <v>0</v>
      </c>
      <c r="Q404" s="30" t="s">
        <v>797</v>
      </c>
      <c r="T404" s="18" t="str">
        <f t="shared" si="25"/>
        <v/>
      </c>
      <c r="X404" s="18" t="s">
        <v>51</v>
      </c>
      <c r="Y404" s="18" t="s">
        <v>51</v>
      </c>
      <c r="AA404" s="18">
        <v>0</v>
      </c>
      <c r="AB404" s="18">
        <v>0</v>
      </c>
      <c r="AC404" s="18">
        <v>0</v>
      </c>
      <c r="AD404" s="18" t="s">
        <v>65</v>
      </c>
      <c r="AE404" s="18">
        <v>0</v>
      </c>
      <c r="AF404" s="18">
        <f t="shared" si="26"/>
        <v>0</v>
      </c>
      <c r="AG404" s="18" t="str">
        <f t="shared" si="27"/>
        <v>LOW</v>
      </c>
    </row>
    <row r="405" spans="1:33" ht="28.8" x14ac:dyDescent="0.3">
      <c r="A405" s="66">
        <v>404</v>
      </c>
      <c r="B405" s="18" t="s">
        <v>2</v>
      </c>
      <c r="C405" s="18" t="s">
        <v>6</v>
      </c>
      <c r="D405" s="18" t="s">
        <v>74</v>
      </c>
      <c r="E405" s="29" t="s">
        <v>978</v>
      </c>
      <c r="F405" s="29" t="s">
        <v>117</v>
      </c>
      <c r="G405" s="18">
        <v>0</v>
      </c>
      <c r="H405" s="18">
        <v>0</v>
      </c>
      <c r="I405" s="18" t="s">
        <v>117</v>
      </c>
      <c r="J405" s="18" t="s">
        <v>63</v>
      </c>
      <c r="K405" s="68">
        <v>0</v>
      </c>
      <c r="L405" s="18">
        <v>0</v>
      </c>
      <c r="P405" s="18">
        <f t="shared" si="24"/>
        <v>0</v>
      </c>
      <c r="Q405" s="30" t="s">
        <v>839</v>
      </c>
      <c r="T405" s="18" t="str">
        <f t="shared" si="25"/>
        <v/>
      </c>
      <c r="X405" s="18" t="s">
        <v>51</v>
      </c>
      <c r="Y405" s="18" t="s">
        <v>51</v>
      </c>
      <c r="AA405" s="18">
        <v>0</v>
      </c>
      <c r="AB405" s="18">
        <v>0</v>
      </c>
      <c r="AC405" s="18">
        <v>0</v>
      </c>
      <c r="AD405" s="18" t="s">
        <v>65</v>
      </c>
      <c r="AE405" s="18">
        <v>0</v>
      </c>
      <c r="AF405" s="18">
        <f t="shared" si="26"/>
        <v>0</v>
      </c>
      <c r="AG405" s="18" t="str">
        <f t="shared" si="27"/>
        <v>LOW</v>
      </c>
    </row>
    <row r="406" spans="1:33" x14ac:dyDescent="0.3">
      <c r="A406" s="66">
        <v>405</v>
      </c>
      <c r="B406" s="18" t="s">
        <v>2</v>
      </c>
      <c r="C406" s="18" t="s">
        <v>6</v>
      </c>
      <c r="D406" s="18" t="s">
        <v>74</v>
      </c>
      <c r="E406" s="29" t="s">
        <v>217</v>
      </c>
      <c r="F406" s="29" t="s">
        <v>117</v>
      </c>
      <c r="G406" s="18">
        <v>0</v>
      </c>
      <c r="H406" s="18">
        <v>0</v>
      </c>
      <c r="I406" s="18" t="s">
        <v>117</v>
      </c>
      <c r="J406" s="18" t="s">
        <v>63</v>
      </c>
      <c r="K406" s="68">
        <v>0</v>
      </c>
      <c r="L406" s="18">
        <v>0</v>
      </c>
      <c r="P406" s="18">
        <f t="shared" si="24"/>
        <v>0</v>
      </c>
      <c r="Q406" s="30" t="s">
        <v>840</v>
      </c>
      <c r="T406" s="18" t="str">
        <f t="shared" si="25"/>
        <v/>
      </c>
      <c r="X406" s="18" t="s">
        <v>51</v>
      </c>
      <c r="Y406" s="18" t="s">
        <v>51</v>
      </c>
      <c r="AA406" s="18">
        <v>0</v>
      </c>
      <c r="AB406" s="18">
        <v>0</v>
      </c>
      <c r="AC406" s="18">
        <v>0</v>
      </c>
      <c r="AD406" s="18" t="s">
        <v>65</v>
      </c>
      <c r="AE406" s="18">
        <v>0</v>
      </c>
      <c r="AF406" s="18">
        <f t="shared" si="26"/>
        <v>0</v>
      </c>
      <c r="AG406" s="18" t="str">
        <f t="shared" si="27"/>
        <v>LOW</v>
      </c>
    </row>
    <row r="407" spans="1:33" x14ac:dyDescent="0.3">
      <c r="A407" s="66">
        <v>406</v>
      </c>
      <c r="B407" s="18" t="s">
        <v>2</v>
      </c>
      <c r="C407" s="18" t="s">
        <v>6</v>
      </c>
      <c r="D407" s="18" t="s">
        <v>74</v>
      </c>
      <c r="E407" s="29" t="s">
        <v>217</v>
      </c>
      <c r="F407" s="29" t="s">
        <v>117</v>
      </c>
      <c r="G407" s="18">
        <v>0</v>
      </c>
      <c r="H407" s="18">
        <v>0</v>
      </c>
      <c r="I407" s="18" t="s">
        <v>117</v>
      </c>
      <c r="J407" s="18" t="s">
        <v>63</v>
      </c>
      <c r="K407" s="68">
        <v>0</v>
      </c>
      <c r="L407" s="18">
        <v>0</v>
      </c>
      <c r="P407" s="18">
        <f t="shared" si="24"/>
        <v>0</v>
      </c>
      <c r="Q407" s="30" t="s">
        <v>841</v>
      </c>
      <c r="T407" s="18" t="str">
        <f t="shared" si="25"/>
        <v/>
      </c>
      <c r="X407" s="18" t="s">
        <v>51</v>
      </c>
      <c r="Y407" s="18" t="s">
        <v>51</v>
      </c>
      <c r="AA407" s="18">
        <v>0</v>
      </c>
      <c r="AB407" s="18">
        <v>0</v>
      </c>
      <c r="AC407" s="18">
        <v>0</v>
      </c>
      <c r="AD407" s="18" t="s">
        <v>65</v>
      </c>
      <c r="AE407" s="18">
        <v>0</v>
      </c>
      <c r="AF407" s="18">
        <f t="shared" si="26"/>
        <v>0</v>
      </c>
      <c r="AG407" s="18" t="str">
        <f t="shared" si="27"/>
        <v>LOW</v>
      </c>
    </row>
    <row r="408" spans="1:33" x14ac:dyDescent="0.3">
      <c r="A408" s="66">
        <v>407</v>
      </c>
      <c r="B408" s="18" t="s">
        <v>2</v>
      </c>
      <c r="C408" s="18" t="s">
        <v>6</v>
      </c>
      <c r="D408" s="18" t="s">
        <v>60</v>
      </c>
      <c r="E408" s="29" t="s">
        <v>256</v>
      </c>
      <c r="F408" s="29" t="s">
        <v>117</v>
      </c>
      <c r="G408" s="18">
        <v>0</v>
      </c>
      <c r="H408" s="18">
        <v>0</v>
      </c>
      <c r="I408" s="18" t="s">
        <v>117</v>
      </c>
      <c r="J408" s="18" t="s">
        <v>63</v>
      </c>
      <c r="K408" s="68">
        <v>0</v>
      </c>
      <c r="L408" s="18">
        <v>0</v>
      </c>
      <c r="P408" s="18">
        <f t="shared" si="24"/>
        <v>0</v>
      </c>
      <c r="Q408" s="30" t="s">
        <v>800</v>
      </c>
      <c r="T408" s="18" t="str">
        <f t="shared" si="25"/>
        <v/>
      </c>
      <c r="X408" s="18" t="s">
        <v>51</v>
      </c>
      <c r="Y408" s="18" t="s">
        <v>51</v>
      </c>
      <c r="AA408" s="18">
        <v>0</v>
      </c>
      <c r="AB408" s="18">
        <v>0</v>
      </c>
      <c r="AC408" s="18">
        <v>0</v>
      </c>
      <c r="AD408" s="18" t="s">
        <v>65</v>
      </c>
      <c r="AE408" s="18">
        <v>0</v>
      </c>
      <c r="AF408" s="18">
        <f t="shared" si="26"/>
        <v>0</v>
      </c>
      <c r="AG408" s="18" t="str">
        <f t="shared" si="27"/>
        <v>LOW</v>
      </c>
    </row>
    <row r="409" spans="1:33" x14ac:dyDescent="0.3">
      <c r="A409" s="66">
        <v>408</v>
      </c>
      <c r="B409" s="18" t="s">
        <v>2</v>
      </c>
      <c r="C409" s="18" t="s">
        <v>6</v>
      </c>
      <c r="D409" s="18" t="s">
        <v>73</v>
      </c>
      <c r="E409" s="29" t="s">
        <v>256</v>
      </c>
      <c r="F409" s="29" t="s">
        <v>117</v>
      </c>
      <c r="G409" s="18">
        <v>0</v>
      </c>
      <c r="H409" s="18">
        <v>0</v>
      </c>
      <c r="I409" s="18" t="s">
        <v>117</v>
      </c>
      <c r="J409" s="18" t="s">
        <v>63</v>
      </c>
      <c r="K409" s="68">
        <v>0</v>
      </c>
      <c r="L409" s="18">
        <v>0</v>
      </c>
      <c r="N409" s="19">
        <v>45348</v>
      </c>
      <c r="O409" s="19">
        <v>45348</v>
      </c>
      <c r="P409" s="18">
        <f t="shared" si="24"/>
        <v>0</v>
      </c>
      <c r="Q409" s="30" t="s">
        <v>623</v>
      </c>
      <c r="T409" s="18">
        <f>IF(AND(O409&lt;&gt; "",N409&lt;&gt;""),O409-N409,"0")</f>
        <v>0</v>
      </c>
      <c r="X409" s="18" t="s">
        <v>51</v>
      </c>
      <c r="Y409" s="18" t="s">
        <v>51</v>
      </c>
      <c r="AA409" s="18">
        <v>0</v>
      </c>
      <c r="AB409" s="18">
        <v>0</v>
      </c>
      <c r="AC409" s="18">
        <v>0</v>
      </c>
      <c r="AD409" s="18" t="s">
        <v>65</v>
      </c>
      <c r="AE409" s="18">
        <v>0</v>
      </c>
      <c r="AF409" s="18">
        <f t="shared" si="26"/>
        <v>0</v>
      </c>
      <c r="AG409" s="18" t="str">
        <f t="shared" si="27"/>
        <v>LOW</v>
      </c>
    </row>
    <row r="410" spans="1:33" x14ac:dyDescent="0.3">
      <c r="A410" s="66">
        <v>409</v>
      </c>
      <c r="B410" s="18" t="s">
        <v>2</v>
      </c>
      <c r="C410" s="18" t="s">
        <v>6</v>
      </c>
      <c r="D410" s="18" t="s">
        <v>74</v>
      </c>
      <c r="E410" s="29" t="s">
        <v>218</v>
      </c>
      <c r="F410" s="29" t="s">
        <v>117</v>
      </c>
      <c r="G410" s="18">
        <v>0</v>
      </c>
      <c r="H410" s="18">
        <v>0</v>
      </c>
      <c r="I410" s="18" t="s">
        <v>117</v>
      </c>
      <c r="J410" s="18" t="s">
        <v>63</v>
      </c>
      <c r="K410" s="68">
        <v>0</v>
      </c>
      <c r="L410" s="18">
        <v>0</v>
      </c>
      <c r="P410" s="18">
        <f t="shared" si="24"/>
        <v>0</v>
      </c>
      <c r="Q410" s="30" t="s">
        <v>842</v>
      </c>
      <c r="T410" s="18" t="str">
        <f t="shared" ref="T410:T441" si="28">IF(AND(O410&lt;&gt; "",N410&lt;&gt;""),O410-N410,"")</f>
        <v/>
      </c>
      <c r="X410" s="18" t="s">
        <v>51</v>
      </c>
      <c r="Y410" s="18" t="s">
        <v>51</v>
      </c>
      <c r="AA410" s="18">
        <v>0</v>
      </c>
      <c r="AB410" s="18">
        <v>0</v>
      </c>
      <c r="AC410" s="18">
        <v>0</v>
      </c>
      <c r="AD410" s="18" t="s">
        <v>65</v>
      </c>
      <c r="AE410" s="18">
        <v>0</v>
      </c>
      <c r="AF410" s="18">
        <f t="shared" si="26"/>
        <v>0</v>
      </c>
      <c r="AG410" s="18" t="str">
        <f t="shared" si="27"/>
        <v>LOW</v>
      </c>
    </row>
    <row r="411" spans="1:33" ht="28.8" x14ac:dyDescent="0.3">
      <c r="A411" s="66">
        <v>410</v>
      </c>
      <c r="B411" s="18" t="s">
        <v>2</v>
      </c>
      <c r="C411" s="18" t="s">
        <v>6</v>
      </c>
      <c r="D411" s="18" t="s">
        <v>74</v>
      </c>
      <c r="E411" s="29" t="s">
        <v>218</v>
      </c>
      <c r="F411" s="29" t="s">
        <v>117</v>
      </c>
      <c r="G411" s="18">
        <v>0</v>
      </c>
      <c r="H411" s="18">
        <v>0</v>
      </c>
      <c r="I411" s="18" t="s">
        <v>117</v>
      </c>
      <c r="J411" s="18" t="s">
        <v>63</v>
      </c>
      <c r="K411" s="68">
        <v>0</v>
      </c>
      <c r="L411" s="18">
        <v>0</v>
      </c>
      <c r="P411" s="18">
        <f t="shared" si="24"/>
        <v>0</v>
      </c>
      <c r="Q411" s="30" t="s">
        <v>843</v>
      </c>
      <c r="T411" s="18" t="str">
        <f t="shared" si="28"/>
        <v/>
      </c>
      <c r="X411" s="18" t="s">
        <v>51</v>
      </c>
      <c r="Y411" s="18" t="s">
        <v>51</v>
      </c>
      <c r="AA411" s="18">
        <v>0</v>
      </c>
      <c r="AB411" s="18">
        <v>0</v>
      </c>
      <c r="AC411" s="18">
        <v>0</v>
      </c>
      <c r="AD411" s="18" t="s">
        <v>65</v>
      </c>
      <c r="AE411" s="18">
        <v>0</v>
      </c>
      <c r="AF411" s="18">
        <f t="shared" si="26"/>
        <v>0</v>
      </c>
      <c r="AG411" s="18" t="str">
        <f t="shared" si="27"/>
        <v>LOW</v>
      </c>
    </row>
    <row r="412" spans="1:33" x14ac:dyDescent="0.3">
      <c r="A412" s="66">
        <v>411</v>
      </c>
      <c r="B412" s="18" t="s">
        <v>2</v>
      </c>
      <c r="C412" s="18" t="s">
        <v>6</v>
      </c>
      <c r="D412" s="18" t="s">
        <v>74</v>
      </c>
      <c r="E412" s="29" t="s">
        <v>218</v>
      </c>
      <c r="F412" s="29" t="s">
        <v>117</v>
      </c>
      <c r="G412" s="18">
        <v>0</v>
      </c>
      <c r="H412" s="18">
        <v>0</v>
      </c>
      <c r="I412" s="18" t="s">
        <v>117</v>
      </c>
      <c r="J412" s="18" t="s">
        <v>63</v>
      </c>
      <c r="K412" s="68">
        <v>0</v>
      </c>
      <c r="L412" s="18">
        <v>0</v>
      </c>
      <c r="P412" s="18">
        <f t="shared" si="24"/>
        <v>0</v>
      </c>
      <c r="Q412" s="30" t="s">
        <v>844</v>
      </c>
      <c r="T412" s="18" t="str">
        <f t="shared" si="28"/>
        <v/>
      </c>
      <c r="X412" s="18" t="s">
        <v>51</v>
      </c>
      <c r="Y412" s="18" t="s">
        <v>51</v>
      </c>
      <c r="AA412" s="18">
        <v>0</v>
      </c>
      <c r="AB412" s="18">
        <v>0</v>
      </c>
      <c r="AC412" s="18">
        <v>0</v>
      </c>
      <c r="AD412" s="18" t="s">
        <v>65</v>
      </c>
      <c r="AE412" s="18">
        <v>0</v>
      </c>
      <c r="AF412" s="18">
        <f t="shared" si="26"/>
        <v>0</v>
      </c>
      <c r="AG412" s="18" t="str">
        <f t="shared" si="27"/>
        <v>LOW</v>
      </c>
    </row>
    <row r="413" spans="1:33" ht="57.6" x14ac:dyDescent="0.3">
      <c r="A413" s="66">
        <v>412</v>
      </c>
      <c r="B413" s="18" t="s">
        <v>2</v>
      </c>
      <c r="C413" s="18" t="s">
        <v>6</v>
      </c>
      <c r="D413" s="18" t="s">
        <v>74</v>
      </c>
      <c r="E413" s="29" t="s">
        <v>257</v>
      </c>
      <c r="F413" s="29" t="s">
        <v>117</v>
      </c>
      <c r="G413" s="18">
        <v>0</v>
      </c>
      <c r="H413" s="18">
        <v>0</v>
      </c>
      <c r="I413" s="18" t="s">
        <v>117</v>
      </c>
      <c r="J413" s="18" t="s">
        <v>63</v>
      </c>
      <c r="K413" s="68">
        <v>0</v>
      </c>
      <c r="L413" s="18">
        <v>0</v>
      </c>
      <c r="P413" s="18">
        <f t="shared" si="24"/>
        <v>0</v>
      </c>
      <c r="Q413" s="30" t="s">
        <v>845</v>
      </c>
      <c r="T413" s="18" t="str">
        <f t="shared" si="28"/>
        <v/>
      </c>
      <c r="X413" s="18" t="s">
        <v>51</v>
      </c>
      <c r="Y413" s="18" t="s">
        <v>51</v>
      </c>
      <c r="AA413" s="18">
        <v>0</v>
      </c>
      <c r="AB413" s="18">
        <v>0</v>
      </c>
      <c r="AC413" s="18">
        <v>0</v>
      </c>
      <c r="AD413" s="18" t="s">
        <v>65</v>
      </c>
      <c r="AE413" s="18">
        <v>0</v>
      </c>
      <c r="AF413" s="18">
        <f t="shared" si="26"/>
        <v>0</v>
      </c>
      <c r="AG413" s="18" t="str">
        <f t="shared" si="27"/>
        <v>LOW</v>
      </c>
    </row>
    <row r="414" spans="1:33" x14ac:dyDescent="0.3">
      <c r="A414" s="66">
        <v>413</v>
      </c>
      <c r="B414" s="18" t="s">
        <v>2</v>
      </c>
      <c r="C414" s="18" t="s">
        <v>6</v>
      </c>
      <c r="D414" s="18" t="s">
        <v>74</v>
      </c>
      <c r="E414" s="29" t="s">
        <v>257</v>
      </c>
      <c r="F414" s="29" t="s">
        <v>117</v>
      </c>
      <c r="G414" s="18">
        <v>0</v>
      </c>
      <c r="H414" s="18">
        <v>0</v>
      </c>
      <c r="I414" s="18" t="s">
        <v>117</v>
      </c>
      <c r="J414" s="18" t="s">
        <v>63</v>
      </c>
      <c r="K414" s="68">
        <v>0</v>
      </c>
      <c r="L414" s="18">
        <v>0</v>
      </c>
      <c r="P414" s="18">
        <f t="shared" si="24"/>
        <v>0</v>
      </c>
      <c r="Q414" s="30" t="s">
        <v>846</v>
      </c>
      <c r="T414" s="18" t="str">
        <f t="shared" si="28"/>
        <v/>
      </c>
      <c r="X414" s="18" t="s">
        <v>51</v>
      </c>
      <c r="Y414" s="18" t="s">
        <v>51</v>
      </c>
      <c r="AA414" s="18">
        <v>0</v>
      </c>
      <c r="AB414" s="18">
        <v>0</v>
      </c>
      <c r="AC414" s="18">
        <v>0</v>
      </c>
      <c r="AD414" s="18" t="s">
        <v>65</v>
      </c>
      <c r="AE414" s="18">
        <v>0</v>
      </c>
      <c r="AF414" s="18">
        <f t="shared" si="26"/>
        <v>0</v>
      </c>
      <c r="AG414" s="18" t="str">
        <f t="shared" si="27"/>
        <v>LOW</v>
      </c>
    </row>
    <row r="415" spans="1:33" x14ac:dyDescent="0.3">
      <c r="A415" s="66">
        <v>414</v>
      </c>
      <c r="B415" s="18" t="s">
        <v>2</v>
      </c>
      <c r="C415" s="18" t="s">
        <v>6</v>
      </c>
      <c r="D415" s="18" t="s">
        <v>76</v>
      </c>
      <c r="E415" s="29" t="s">
        <v>258</v>
      </c>
      <c r="F415" s="29" t="s">
        <v>117</v>
      </c>
      <c r="G415" s="18">
        <v>0</v>
      </c>
      <c r="H415" s="18">
        <v>0</v>
      </c>
      <c r="I415" s="18" t="s">
        <v>117</v>
      </c>
      <c r="J415" s="18" t="s">
        <v>63</v>
      </c>
      <c r="K415" s="68">
        <v>0</v>
      </c>
      <c r="L415" s="18">
        <v>0</v>
      </c>
      <c r="P415" s="18">
        <f t="shared" si="24"/>
        <v>0</v>
      </c>
      <c r="Q415" s="30" t="s">
        <v>803</v>
      </c>
      <c r="T415" s="18" t="str">
        <f t="shared" si="28"/>
        <v/>
      </c>
      <c r="X415" s="18" t="s">
        <v>51</v>
      </c>
      <c r="Y415" s="18" t="s">
        <v>51</v>
      </c>
      <c r="AA415" s="18">
        <v>0</v>
      </c>
      <c r="AB415" s="18">
        <v>0</v>
      </c>
      <c r="AC415" s="18">
        <v>0</v>
      </c>
      <c r="AD415" s="18" t="s">
        <v>65</v>
      </c>
      <c r="AE415" s="18">
        <v>0</v>
      </c>
      <c r="AF415" s="18">
        <f t="shared" si="26"/>
        <v>0</v>
      </c>
      <c r="AG415" s="18" t="str">
        <f t="shared" si="27"/>
        <v>LOW</v>
      </c>
    </row>
    <row r="416" spans="1:33" x14ac:dyDescent="0.3">
      <c r="A416" s="66">
        <v>415</v>
      </c>
      <c r="B416" s="18" t="s">
        <v>2</v>
      </c>
      <c r="C416" s="18" t="s">
        <v>6</v>
      </c>
      <c r="D416" s="18" t="s">
        <v>77</v>
      </c>
      <c r="E416" s="29" t="s">
        <v>259</v>
      </c>
      <c r="F416" s="29" t="s">
        <v>117</v>
      </c>
      <c r="G416" s="18">
        <v>0</v>
      </c>
      <c r="H416" s="18">
        <v>0</v>
      </c>
      <c r="I416" s="18" t="s">
        <v>117</v>
      </c>
      <c r="J416" s="18" t="s">
        <v>63</v>
      </c>
      <c r="K416" s="68">
        <v>0</v>
      </c>
      <c r="L416" s="18">
        <v>0</v>
      </c>
      <c r="P416" s="18">
        <f t="shared" si="24"/>
        <v>0</v>
      </c>
      <c r="Q416" s="30" t="s">
        <v>847</v>
      </c>
      <c r="T416" s="18" t="str">
        <f t="shared" si="28"/>
        <v/>
      </c>
      <c r="X416" s="18" t="s">
        <v>51</v>
      </c>
      <c r="Y416" s="18" t="s">
        <v>51</v>
      </c>
      <c r="AA416" s="18">
        <v>0</v>
      </c>
      <c r="AB416" s="18">
        <v>0</v>
      </c>
      <c r="AC416" s="18">
        <v>0</v>
      </c>
      <c r="AD416" s="18" t="s">
        <v>65</v>
      </c>
      <c r="AE416" s="18">
        <v>0</v>
      </c>
      <c r="AF416" s="18">
        <f t="shared" si="26"/>
        <v>0</v>
      </c>
      <c r="AG416" s="18" t="str">
        <f t="shared" si="27"/>
        <v>LOW</v>
      </c>
    </row>
    <row r="417" spans="1:33" x14ac:dyDescent="0.3">
      <c r="A417" s="66">
        <v>416</v>
      </c>
      <c r="B417" s="18" t="s">
        <v>2</v>
      </c>
      <c r="C417" s="18" t="s">
        <v>6</v>
      </c>
      <c r="D417" s="18" t="s">
        <v>74</v>
      </c>
      <c r="E417" s="29" t="s">
        <v>217</v>
      </c>
      <c r="F417" s="29" t="s">
        <v>117</v>
      </c>
      <c r="G417" s="18">
        <v>0</v>
      </c>
      <c r="H417" s="18">
        <v>0</v>
      </c>
      <c r="I417" s="18" t="s">
        <v>117</v>
      </c>
      <c r="J417" s="18" t="s">
        <v>63</v>
      </c>
      <c r="K417" s="68">
        <v>0</v>
      </c>
      <c r="L417" s="18">
        <v>0</v>
      </c>
      <c r="N417" s="19">
        <v>45349</v>
      </c>
      <c r="O417" s="19">
        <v>45349</v>
      </c>
      <c r="P417" s="18">
        <f t="shared" si="24"/>
        <v>0</v>
      </c>
      <c r="Q417" s="30" t="s">
        <v>848</v>
      </c>
      <c r="T417" s="18">
        <f t="shared" si="28"/>
        <v>0</v>
      </c>
      <c r="X417" s="18" t="s">
        <v>51</v>
      </c>
      <c r="Y417" s="18" t="s">
        <v>51</v>
      </c>
      <c r="AA417" s="18">
        <v>0</v>
      </c>
      <c r="AB417" s="18">
        <v>0</v>
      </c>
      <c r="AC417" s="18">
        <v>0</v>
      </c>
      <c r="AD417" s="18" t="s">
        <v>65</v>
      </c>
      <c r="AE417" s="18">
        <v>0</v>
      </c>
      <c r="AF417" s="18">
        <f t="shared" si="26"/>
        <v>0</v>
      </c>
      <c r="AG417" s="18" t="str">
        <f t="shared" si="27"/>
        <v>LOW</v>
      </c>
    </row>
    <row r="418" spans="1:33" x14ac:dyDescent="0.3">
      <c r="A418" s="66">
        <v>417</v>
      </c>
      <c r="B418" s="18" t="s">
        <v>2</v>
      </c>
      <c r="C418" s="18" t="s">
        <v>6</v>
      </c>
      <c r="D418" s="18" t="s">
        <v>71</v>
      </c>
      <c r="E418" s="29" t="s">
        <v>260</v>
      </c>
      <c r="F418" s="29" t="s">
        <v>117</v>
      </c>
      <c r="G418" s="18">
        <v>0</v>
      </c>
      <c r="H418" s="18">
        <v>0</v>
      </c>
      <c r="I418" s="18" t="s">
        <v>117</v>
      </c>
      <c r="J418" s="18" t="s">
        <v>63</v>
      </c>
      <c r="K418" s="68">
        <v>0</v>
      </c>
      <c r="L418" s="18">
        <v>0</v>
      </c>
      <c r="P418" s="18">
        <f t="shared" si="24"/>
        <v>0</v>
      </c>
      <c r="Q418" s="30" t="s">
        <v>849</v>
      </c>
      <c r="T418" s="18" t="str">
        <f t="shared" si="28"/>
        <v/>
      </c>
      <c r="X418" s="18" t="s">
        <v>51</v>
      </c>
      <c r="Y418" s="18" t="s">
        <v>51</v>
      </c>
      <c r="AA418" s="18">
        <v>0</v>
      </c>
      <c r="AB418" s="18">
        <v>0</v>
      </c>
      <c r="AC418" s="18">
        <v>0</v>
      </c>
      <c r="AD418" s="18" t="s">
        <v>65</v>
      </c>
      <c r="AE418" s="18">
        <v>0</v>
      </c>
      <c r="AF418" s="18">
        <f t="shared" si="26"/>
        <v>0</v>
      </c>
      <c r="AG418" s="18" t="str">
        <f t="shared" si="27"/>
        <v>LOW</v>
      </c>
    </row>
    <row r="419" spans="1:33" x14ac:dyDescent="0.3">
      <c r="A419" s="66">
        <v>418</v>
      </c>
      <c r="B419" s="18" t="s">
        <v>2</v>
      </c>
      <c r="C419" s="18" t="s">
        <v>6</v>
      </c>
      <c r="D419" s="18" t="s">
        <v>74</v>
      </c>
      <c r="E419" s="29" t="s">
        <v>223</v>
      </c>
      <c r="F419" s="29" t="s">
        <v>117</v>
      </c>
      <c r="G419" s="18">
        <v>0</v>
      </c>
      <c r="H419" s="18">
        <v>0</v>
      </c>
      <c r="I419" s="18" t="s">
        <v>117</v>
      </c>
      <c r="J419" s="18" t="s">
        <v>63</v>
      </c>
      <c r="K419" s="68">
        <v>0</v>
      </c>
      <c r="L419" s="18">
        <v>0</v>
      </c>
      <c r="P419" s="18">
        <f t="shared" si="24"/>
        <v>0</v>
      </c>
      <c r="Q419" s="30" t="s">
        <v>850</v>
      </c>
      <c r="T419" s="18" t="str">
        <f t="shared" si="28"/>
        <v/>
      </c>
      <c r="X419" s="18" t="s">
        <v>51</v>
      </c>
      <c r="Y419" s="18" t="s">
        <v>51</v>
      </c>
      <c r="AA419" s="18">
        <v>0</v>
      </c>
      <c r="AB419" s="18">
        <v>0</v>
      </c>
      <c r="AC419" s="18">
        <v>0</v>
      </c>
      <c r="AD419" s="18" t="s">
        <v>65</v>
      </c>
      <c r="AE419" s="18">
        <v>0</v>
      </c>
      <c r="AF419" s="18">
        <f t="shared" si="26"/>
        <v>0</v>
      </c>
      <c r="AG419" s="18" t="str">
        <f t="shared" si="27"/>
        <v>LOW</v>
      </c>
    </row>
    <row r="420" spans="1:33" x14ac:dyDescent="0.3">
      <c r="A420" s="66">
        <v>419</v>
      </c>
      <c r="B420" s="18" t="s">
        <v>2</v>
      </c>
      <c r="C420" s="18" t="s">
        <v>6</v>
      </c>
      <c r="D420" s="18" t="s">
        <v>74</v>
      </c>
      <c r="E420" s="29" t="s">
        <v>223</v>
      </c>
      <c r="F420" s="29" t="s">
        <v>117</v>
      </c>
      <c r="G420" s="18">
        <v>0</v>
      </c>
      <c r="H420" s="18">
        <v>0</v>
      </c>
      <c r="I420" s="18" t="s">
        <v>117</v>
      </c>
      <c r="J420" s="18" t="s">
        <v>63</v>
      </c>
      <c r="K420" s="68">
        <v>0</v>
      </c>
      <c r="L420" s="18">
        <v>0</v>
      </c>
      <c r="P420" s="18">
        <f t="shared" si="24"/>
        <v>0</v>
      </c>
      <c r="Q420" s="30" t="s">
        <v>851</v>
      </c>
      <c r="T420" s="18" t="str">
        <f t="shared" si="28"/>
        <v/>
      </c>
      <c r="X420" s="18" t="s">
        <v>51</v>
      </c>
      <c r="Y420" s="18" t="s">
        <v>51</v>
      </c>
      <c r="AA420" s="18">
        <v>0</v>
      </c>
      <c r="AB420" s="18">
        <v>0</v>
      </c>
      <c r="AC420" s="18">
        <v>0</v>
      </c>
      <c r="AD420" s="18" t="s">
        <v>65</v>
      </c>
      <c r="AE420" s="18">
        <v>0</v>
      </c>
      <c r="AF420" s="18">
        <f t="shared" si="26"/>
        <v>0</v>
      </c>
      <c r="AG420" s="18" t="str">
        <f t="shared" si="27"/>
        <v>LOW</v>
      </c>
    </row>
    <row r="421" spans="1:33" x14ac:dyDescent="0.3">
      <c r="A421" s="66">
        <v>420</v>
      </c>
      <c r="B421" s="18" t="s">
        <v>2</v>
      </c>
      <c r="C421" s="18" t="s">
        <v>6</v>
      </c>
      <c r="D421" s="18" t="s">
        <v>74</v>
      </c>
      <c r="E421" s="29" t="s">
        <v>261</v>
      </c>
      <c r="F421" s="29" t="s">
        <v>117</v>
      </c>
      <c r="G421" s="18">
        <v>0</v>
      </c>
      <c r="H421" s="18">
        <v>0</v>
      </c>
      <c r="I421" s="18" t="s">
        <v>117</v>
      </c>
      <c r="J421" s="18" t="s">
        <v>63</v>
      </c>
      <c r="K421" s="68">
        <v>0</v>
      </c>
      <c r="L421" s="18">
        <v>0</v>
      </c>
      <c r="P421" s="18">
        <f t="shared" si="24"/>
        <v>0</v>
      </c>
      <c r="Q421" s="30" t="s">
        <v>852</v>
      </c>
      <c r="T421" s="18" t="str">
        <f t="shared" si="28"/>
        <v/>
      </c>
      <c r="X421" s="18" t="s">
        <v>51</v>
      </c>
      <c r="Y421" s="18" t="s">
        <v>51</v>
      </c>
      <c r="AA421" s="18">
        <v>0</v>
      </c>
      <c r="AB421" s="18">
        <v>0</v>
      </c>
      <c r="AC421" s="18">
        <v>0</v>
      </c>
      <c r="AD421" s="18" t="s">
        <v>65</v>
      </c>
      <c r="AE421" s="18">
        <v>0</v>
      </c>
      <c r="AF421" s="18">
        <f t="shared" si="26"/>
        <v>0</v>
      </c>
      <c r="AG421" s="18" t="str">
        <f t="shared" si="27"/>
        <v>LOW</v>
      </c>
    </row>
    <row r="422" spans="1:33" x14ac:dyDescent="0.3">
      <c r="A422" s="66">
        <v>421</v>
      </c>
      <c r="B422" s="18" t="s">
        <v>2</v>
      </c>
      <c r="C422" s="18" t="s">
        <v>6</v>
      </c>
      <c r="D422" s="18" t="s">
        <v>71</v>
      </c>
      <c r="E422" s="29" t="s">
        <v>262</v>
      </c>
      <c r="F422" s="29" t="s">
        <v>117</v>
      </c>
      <c r="G422" s="18">
        <v>0</v>
      </c>
      <c r="H422" s="18">
        <v>0</v>
      </c>
      <c r="I422" s="18" t="s">
        <v>117</v>
      </c>
      <c r="J422" s="18" t="s">
        <v>452</v>
      </c>
      <c r="K422" s="68">
        <v>0</v>
      </c>
      <c r="L422" s="18">
        <v>0</v>
      </c>
      <c r="P422" s="18">
        <f t="shared" si="24"/>
        <v>0</v>
      </c>
      <c r="Q422" s="30" t="s">
        <v>853</v>
      </c>
      <c r="T422" s="18" t="str">
        <f t="shared" si="28"/>
        <v/>
      </c>
      <c r="X422" s="18" t="s">
        <v>51</v>
      </c>
      <c r="Y422" s="18" t="s">
        <v>51</v>
      </c>
      <c r="AA422" s="18">
        <v>0</v>
      </c>
      <c r="AB422" s="18">
        <v>0</v>
      </c>
      <c r="AC422" s="18">
        <v>0</v>
      </c>
      <c r="AD422" s="18" t="s">
        <v>65</v>
      </c>
      <c r="AE422" s="18">
        <v>0</v>
      </c>
      <c r="AF422" s="18">
        <f t="shared" si="26"/>
        <v>0</v>
      </c>
      <c r="AG422" s="18" t="str">
        <f t="shared" si="27"/>
        <v>LOW</v>
      </c>
    </row>
    <row r="423" spans="1:33" x14ac:dyDescent="0.3">
      <c r="A423" s="66">
        <v>422</v>
      </c>
      <c r="B423" s="18" t="s">
        <v>2</v>
      </c>
      <c r="C423" s="18" t="s">
        <v>6</v>
      </c>
      <c r="D423" s="18" t="s">
        <v>74</v>
      </c>
      <c r="E423" s="29" t="s">
        <v>206</v>
      </c>
      <c r="F423" s="29" t="s">
        <v>117</v>
      </c>
      <c r="G423" s="18">
        <v>0</v>
      </c>
      <c r="H423" s="18">
        <v>0</v>
      </c>
      <c r="I423" s="18" t="s">
        <v>117</v>
      </c>
      <c r="J423" s="18" t="s">
        <v>63</v>
      </c>
      <c r="K423" s="68">
        <v>0</v>
      </c>
      <c r="L423" s="18">
        <v>0</v>
      </c>
      <c r="P423" s="18">
        <f t="shared" si="24"/>
        <v>0</v>
      </c>
      <c r="Q423" s="30" t="s">
        <v>798</v>
      </c>
      <c r="T423" s="18" t="str">
        <f t="shared" si="28"/>
        <v/>
      </c>
      <c r="X423" s="18" t="s">
        <v>51</v>
      </c>
      <c r="Y423" s="18" t="s">
        <v>51</v>
      </c>
      <c r="AA423" s="18">
        <v>0</v>
      </c>
      <c r="AB423" s="18">
        <v>0</v>
      </c>
      <c r="AC423" s="18">
        <v>0</v>
      </c>
      <c r="AD423" s="18" t="s">
        <v>65</v>
      </c>
      <c r="AE423" s="18">
        <v>0</v>
      </c>
      <c r="AF423" s="18">
        <f t="shared" si="26"/>
        <v>0</v>
      </c>
      <c r="AG423" s="18" t="str">
        <f t="shared" si="27"/>
        <v>LOW</v>
      </c>
    </row>
    <row r="424" spans="1:33" x14ac:dyDescent="0.3">
      <c r="A424" s="66">
        <v>423</v>
      </c>
      <c r="B424" s="18" t="s">
        <v>2</v>
      </c>
      <c r="C424" s="18" t="s">
        <v>6</v>
      </c>
      <c r="D424" s="18" t="s">
        <v>74</v>
      </c>
      <c r="E424" s="29" t="s">
        <v>263</v>
      </c>
      <c r="F424" s="29" t="s">
        <v>117</v>
      </c>
      <c r="G424" s="18">
        <v>0</v>
      </c>
      <c r="H424" s="18">
        <v>0</v>
      </c>
      <c r="I424" s="18" t="s">
        <v>117</v>
      </c>
      <c r="J424" s="18" t="s">
        <v>63</v>
      </c>
      <c r="K424" s="68">
        <v>0</v>
      </c>
      <c r="L424" s="18">
        <v>0</v>
      </c>
      <c r="P424" s="18">
        <f t="shared" si="24"/>
        <v>0</v>
      </c>
      <c r="Q424" s="30" t="s">
        <v>854</v>
      </c>
      <c r="T424" s="18" t="str">
        <f t="shared" si="28"/>
        <v/>
      </c>
      <c r="X424" s="18" t="s">
        <v>51</v>
      </c>
      <c r="Y424" s="18" t="s">
        <v>51</v>
      </c>
      <c r="AA424" s="18">
        <v>0</v>
      </c>
      <c r="AB424" s="18">
        <v>0</v>
      </c>
      <c r="AC424" s="18">
        <v>0</v>
      </c>
      <c r="AD424" s="18" t="s">
        <v>65</v>
      </c>
      <c r="AE424" s="18">
        <v>0</v>
      </c>
      <c r="AF424" s="18">
        <f t="shared" si="26"/>
        <v>0</v>
      </c>
      <c r="AG424" s="18" t="str">
        <f t="shared" si="27"/>
        <v>LOW</v>
      </c>
    </row>
    <row r="425" spans="1:33" ht="28.8" x14ac:dyDescent="0.3">
      <c r="A425" s="66">
        <v>424</v>
      </c>
      <c r="B425" s="18" t="s">
        <v>2</v>
      </c>
      <c r="C425" s="18" t="s">
        <v>6</v>
      </c>
      <c r="D425" s="18" t="s">
        <v>74</v>
      </c>
      <c r="E425" s="29" t="s">
        <v>264</v>
      </c>
      <c r="F425" s="29" t="s">
        <v>117</v>
      </c>
      <c r="G425" s="18">
        <v>0</v>
      </c>
      <c r="H425" s="18">
        <v>0</v>
      </c>
      <c r="I425" s="18" t="s">
        <v>117</v>
      </c>
      <c r="J425" s="18" t="s">
        <v>63</v>
      </c>
      <c r="K425" s="68">
        <v>0</v>
      </c>
      <c r="L425" s="18">
        <v>0</v>
      </c>
      <c r="N425" s="19">
        <v>45350</v>
      </c>
      <c r="O425" s="19">
        <v>45350</v>
      </c>
      <c r="P425" s="18">
        <f t="shared" si="24"/>
        <v>0</v>
      </c>
      <c r="Q425" s="30" t="s">
        <v>838</v>
      </c>
      <c r="T425" s="18">
        <f t="shared" si="28"/>
        <v>0</v>
      </c>
      <c r="X425" s="18" t="s">
        <v>51</v>
      </c>
      <c r="Y425" s="18" t="s">
        <v>51</v>
      </c>
      <c r="AA425" s="18">
        <v>0</v>
      </c>
      <c r="AB425" s="18">
        <v>0</v>
      </c>
      <c r="AC425" s="18">
        <v>0</v>
      </c>
      <c r="AD425" s="18" t="s">
        <v>65</v>
      </c>
      <c r="AE425" s="18">
        <v>0</v>
      </c>
      <c r="AF425" s="18">
        <f t="shared" si="26"/>
        <v>0</v>
      </c>
      <c r="AG425" s="18" t="str">
        <f t="shared" si="27"/>
        <v>LOW</v>
      </c>
    </row>
    <row r="426" spans="1:33" ht="28.8" x14ac:dyDescent="0.3">
      <c r="A426" s="66">
        <v>425</v>
      </c>
      <c r="B426" s="18" t="s">
        <v>2</v>
      </c>
      <c r="C426" s="18" t="s">
        <v>6</v>
      </c>
      <c r="D426" s="18" t="s">
        <v>74</v>
      </c>
      <c r="E426" s="29" t="s">
        <v>264</v>
      </c>
      <c r="F426" s="29" t="s">
        <v>117</v>
      </c>
      <c r="G426" s="18">
        <v>0</v>
      </c>
      <c r="H426" s="18">
        <v>0</v>
      </c>
      <c r="I426" s="18" t="s">
        <v>117</v>
      </c>
      <c r="J426" s="18" t="s">
        <v>63</v>
      </c>
      <c r="K426" s="68">
        <v>0</v>
      </c>
      <c r="L426" s="18">
        <v>0</v>
      </c>
      <c r="P426" s="18">
        <f t="shared" si="24"/>
        <v>0</v>
      </c>
      <c r="Q426" s="30" t="s">
        <v>855</v>
      </c>
      <c r="T426" s="18" t="str">
        <f t="shared" si="28"/>
        <v/>
      </c>
      <c r="X426" s="18" t="s">
        <v>51</v>
      </c>
      <c r="Y426" s="18" t="s">
        <v>51</v>
      </c>
      <c r="AA426" s="18">
        <v>0</v>
      </c>
      <c r="AB426" s="18">
        <v>0</v>
      </c>
      <c r="AC426" s="18">
        <v>0</v>
      </c>
      <c r="AD426" s="18" t="s">
        <v>65</v>
      </c>
      <c r="AE426" s="18">
        <v>0</v>
      </c>
      <c r="AF426" s="18">
        <f t="shared" si="26"/>
        <v>0</v>
      </c>
      <c r="AG426" s="18" t="str">
        <f t="shared" si="27"/>
        <v>LOW</v>
      </c>
    </row>
    <row r="427" spans="1:33" x14ac:dyDescent="0.3">
      <c r="A427" s="66">
        <v>426</v>
      </c>
      <c r="B427" s="18" t="s">
        <v>2</v>
      </c>
      <c r="C427" s="18" t="s">
        <v>6</v>
      </c>
      <c r="D427" s="18" t="s">
        <v>74</v>
      </c>
      <c r="E427" s="29" t="s">
        <v>257</v>
      </c>
      <c r="F427" s="29" t="s">
        <v>117</v>
      </c>
      <c r="G427" s="18">
        <v>0</v>
      </c>
      <c r="H427" s="18">
        <v>0</v>
      </c>
      <c r="I427" s="18" t="s">
        <v>117</v>
      </c>
      <c r="J427" s="18" t="s">
        <v>63</v>
      </c>
      <c r="K427" s="68">
        <v>0</v>
      </c>
      <c r="L427" s="18">
        <v>0</v>
      </c>
      <c r="P427" s="18">
        <f t="shared" si="24"/>
        <v>0</v>
      </c>
      <c r="Q427" s="30" t="s">
        <v>844</v>
      </c>
      <c r="T427" s="18" t="str">
        <f t="shared" si="28"/>
        <v/>
      </c>
      <c r="X427" s="18" t="s">
        <v>51</v>
      </c>
      <c r="Y427" s="18" t="s">
        <v>51</v>
      </c>
      <c r="AA427" s="18">
        <v>0</v>
      </c>
      <c r="AB427" s="18">
        <v>0</v>
      </c>
      <c r="AC427" s="18">
        <v>0</v>
      </c>
      <c r="AD427" s="18" t="s">
        <v>65</v>
      </c>
      <c r="AE427" s="18">
        <v>0</v>
      </c>
      <c r="AF427" s="18">
        <f t="shared" si="26"/>
        <v>0</v>
      </c>
      <c r="AG427" s="18" t="str">
        <f t="shared" si="27"/>
        <v>LOW</v>
      </c>
    </row>
    <row r="428" spans="1:33" ht="28.8" x14ac:dyDescent="0.3">
      <c r="A428" s="66">
        <v>427</v>
      </c>
      <c r="B428" s="18" t="s">
        <v>2</v>
      </c>
      <c r="C428" s="18" t="s">
        <v>6</v>
      </c>
      <c r="D428" s="18" t="s">
        <v>74</v>
      </c>
      <c r="E428" s="29" t="s">
        <v>1120</v>
      </c>
      <c r="F428" s="29" t="s">
        <v>117</v>
      </c>
      <c r="G428" s="18">
        <v>0</v>
      </c>
      <c r="H428" s="18">
        <v>0</v>
      </c>
      <c r="I428" s="18" t="s">
        <v>117</v>
      </c>
      <c r="J428" s="18" t="s">
        <v>63</v>
      </c>
      <c r="K428" s="68">
        <v>0</v>
      </c>
      <c r="L428" s="18">
        <v>0</v>
      </c>
      <c r="P428" s="18">
        <f t="shared" si="24"/>
        <v>0</v>
      </c>
      <c r="Q428" s="30" t="s">
        <v>856</v>
      </c>
      <c r="T428" s="18" t="str">
        <f t="shared" si="28"/>
        <v/>
      </c>
      <c r="X428" s="18" t="s">
        <v>51</v>
      </c>
      <c r="Y428" s="18" t="s">
        <v>51</v>
      </c>
      <c r="AA428" s="18">
        <v>0</v>
      </c>
      <c r="AB428" s="18">
        <v>0</v>
      </c>
      <c r="AC428" s="18">
        <v>0</v>
      </c>
      <c r="AD428" s="18" t="s">
        <v>65</v>
      </c>
      <c r="AE428" s="18">
        <v>0</v>
      </c>
      <c r="AF428" s="18">
        <f t="shared" si="26"/>
        <v>0</v>
      </c>
      <c r="AG428" s="18" t="str">
        <f t="shared" si="27"/>
        <v>LOW</v>
      </c>
    </row>
    <row r="429" spans="1:33" x14ac:dyDescent="0.3">
      <c r="A429" s="66">
        <v>428</v>
      </c>
      <c r="B429" s="18" t="s">
        <v>2</v>
      </c>
      <c r="C429" s="18" t="s">
        <v>6</v>
      </c>
      <c r="D429" s="18" t="s">
        <v>74</v>
      </c>
      <c r="E429" s="29" t="s">
        <v>265</v>
      </c>
      <c r="F429" s="29" t="s">
        <v>117</v>
      </c>
      <c r="G429" s="18">
        <v>0</v>
      </c>
      <c r="H429" s="18">
        <v>0</v>
      </c>
      <c r="I429" s="18" t="s">
        <v>117</v>
      </c>
      <c r="J429" s="18" t="s">
        <v>63</v>
      </c>
      <c r="K429" s="68">
        <v>0</v>
      </c>
      <c r="L429" s="18">
        <v>0</v>
      </c>
      <c r="P429" s="18">
        <f t="shared" si="24"/>
        <v>0</v>
      </c>
      <c r="Q429" s="30" t="s">
        <v>857</v>
      </c>
      <c r="T429" s="18" t="str">
        <f t="shared" si="28"/>
        <v/>
      </c>
      <c r="X429" s="18" t="s">
        <v>51</v>
      </c>
      <c r="Y429" s="18" t="s">
        <v>51</v>
      </c>
      <c r="AA429" s="18">
        <v>0</v>
      </c>
      <c r="AB429" s="18">
        <v>0</v>
      </c>
      <c r="AC429" s="18">
        <v>0</v>
      </c>
      <c r="AD429" s="18" t="s">
        <v>65</v>
      </c>
      <c r="AE429" s="18">
        <v>0</v>
      </c>
      <c r="AF429" s="18">
        <f t="shared" si="26"/>
        <v>0</v>
      </c>
      <c r="AG429" s="18" t="str">
        <f t="shared" si="27"/>
        <v>LOW</v>
      </c>
    </row>
    <row r="430" spans="1:33" ht="28.8" x14ac:dyDescent="0.3">
      <c r="A430" s="66">
        <v>429</v>
      </c>
      <c r="B430" s="18" t="s">
        <v>2</v>
      </c>
      <c r="C430" s="18" t="s">
        <v>6</v>
      </c>
      <c r="D430" s="18" t="s">
        <v>74</v>
      </c>
      <c r="E430" s="29" t="s">
        <v>1121</v>
      </c>
      <c r="F430" s="29" t="s">
        <v>117</v>
      </c>
      <c r="G430" s="18">
        <v>0</v>
      </c>
      <c r="H430" s="18">
        <v>0</v>
      </c>
      <c r="I430" s="18" t="s">
        <v>117</v>
      </c>
      <c r="J430" s="18" t="s">
        <v>63</v>
      </c>
      <c r="K430" s="68">
        <v>0</v>
      </c>
      <c r="L430" s="18">
        <v>0</v>
      </c>
      <c r="P430" s="18">
        <f t="shared" si="24"/>
        <v>0</v>
      </c>
      <c r="Q430" s="30" t="s">
        <v>858</v>
      </c>
      <c r="T430" s="18" t="str">
        <f t="shared" si="28"/>
        <v/>
      </c>
      <c r="X430" s="18" t="s">
        <v>51</v>
      </c>
      <c r="Y430" s="18" t="s">
        <v>51</v>
      </c>
      <c r="AA430" s="18">
        <v>0</v>
      </c>
      <c r="AB430" s="18">
        <v>0</v>
      </c>
      <c r="AC430" s="18">
        <v>0</v>
      </c>
      <c r="AD430" s="18" t="s">
        <v>65</v>
      </c>
      <c r="AE430" s="18">
        <v>0</v>
      </c>
      <c r="AF430" s="18">
        <f t="shared" si="26"/>
        <v>0</v>
      </c>
      <c r="AG430" s="18" t="str">
        <f t="shared" si="27"/>
        <v>LOW</v>
      </c>
    </row>
    <row r="431" spans="1:33" ht="28.8" x14ac:dyDescent="0.3">
      <c r="A431" s="66">
        <v>430</v>
      </c>
      <c r="B431" s="18" t="s">
        <v>2</v>
      </c>
      <c r="C431" s="18" t="s">
        <v>6</v>
      </c>
      <c r="D431" s="18" t="s">
        <v>74</v>
      </c>
      <c r="E431" s="29" t="s">
        <v>266</v>
      </c>
      <c r="F431" s="29" t="s">
        <v>117</v>
      </c>
      <c r="G431" s="18">
        <v>0</v>
      </c>
      <c r="H431" s="18">
        <v>0</v>
      </c>
      <c r="I431" s="18" t="s">
        <v>117</v>
      </c>
      <c r="J431" s="18" t="s">
        <v>63</v>
      </c>
      <c r="K431" s="68">
        <v>0</v>
      </c>
      <c r="L431" s="18">
        <v>0</v>
      </c>
      <c r="P431" s="18">
        <f t="shared" si="24"/>
        <v>0</v>
      </c>
      <c r="Q431" s="30" t="s">
        <v>859</v>
      </c>
      <c r="T431" s="18" t="str">
        <f t="shared" si="28"/>
        <v/>
      </c>
      <c r="X431" s="18" t="s">
        <v>51</v>
      </c>
      <c r="Y431" s="18" t="s">
        <v>51</v>
      </c>
      <c r="AA431" s="18">
        <v>0</v>
      </c>
      <c r="AB431" s="18">
        <v>0</v>
      </c>
      <c r="AC431" s="18">
        <v>0</v>
      </c>
      <c r="AD431" s="18" t="s">
        <v>65</v>
      </c>
      <c r="AE431" s="18">
        <v>0</v>
      </c>
      <c r="AF431" s="18">
        <f t="shared" si="26"/>
        <v>0</v>
      </c>
      <c r="AG431" s="18" t="str">
        <f t="shared" si="27"/>
        <v>LOW</v>
      </c>
    </row>
    <row r="432" spans="1:33" ht="28.8" x14ac:dyDescent="0.3">
      <c r="A432" s="66">
        <v>431</v>
      </c>
      <c r="B432" s="18" t="s">
        <v>2</v>
      </c>
      <c r="C432" s="18" t="s">
        <v>6</v>
      </c>
      <c r="D432" s="18" t="s">
        <v>74</v>
      </c>
      <c r="E432" s="29" t="s">
        <v>1122</v>
      </c>
      <c r="F432" s="29" t="s">
        <v>117</v>
      </c>
      <c r="G432" s="18">
        <v>0</v>
      </c>
      <c r="H432" s="18">
        <v>0</v>
      </c>
      <c r="I432" s="18" t="s">
        <v>117</v>
      </c>
      <c r="J432" s="18" t="s">
        <v>63</v>
      </c>
      <c r="K432" s="68">
        <v>0</v>
      </c>
      <c r="L432" s="18">
        <v>0</v>
      </c>
      <c r="P432" s="18">
        <f t="shared" si="24"/>
        <v>0</v>
      </c>
      <c r="Q432" s="30" t="s">
        <v>860</v>
      </c>
      <c r="T432" s="18" t="str">
        <f t="shared" si="28"/>
        <v/>
      </c>
      <c r="X432" s="18" t="s">
        <v>51</v>
      </c>
      <c r="Y432" s="18" t="s">
        <v>51</v>
      </c>
      <c r="AA432" s="18">
        <v>0</v>
      </c>
      <c r="AB432" s="18">
        <v>0</v>
      </c>
      <c r="AC432" s="18">
        <v>0</v>
      </c>
      <c r="AD432" s="18" t="s">
        <v>65</v>
      </c>
      <c r="AE432" s="18">
        <v>0</v>
      </c>
      <c r="AF432" s="18">
        <f t="shared" si="26"/>
        <v>0</v>
      </c>
      <c r="AG432" s="18" t="str">
        <f t="shared" si="27"/>
        <v>LOW</v>
      </c>
    </row>
    <row r="433" spans="1:33" ht="28.8" x14ac:dyDescent="0.3">
      <c r="A433" s="66">
        <v>432</v>
      </c>
      <c r="B433" s="18" t="s">
        <v>2</v>
      </c>
      <c r="C433" s="18" t="s">
        <v>6</v>
      </c>
      <c r="D433" s="18" t="s">
        <v>74</v>
      </c>
      <c r="E433" s="29" t="s">
        <v>267</v>
      </c>
      <c r="F433" s="29" t="s">
        <v>117</v>
      </c>
      <c r="G433" s="18">
        <v>0</v>
      </c>
      <c r="H433" s="18">
        <v>0</v>
      </c>
      <c r="I433" s="18" t="s">
        <v>117</v>
      </c>
      <c r="J433" s="18" t="s">
        <v>63</v>
      </c>
      <c r="K433" s="68">
        <v>0</v>
      </c>
      <c r="L433" s="18">
        <v>0</v>
      </c>
      <c r="P433" s="18">
        <f t="shared" si="24"/>
        <v>0</v>
      </c>
      <c r="Q433" s="30" t="s">
        <v>861</v>
      </c>
      <c r="T433" s="18" t="str">
        <f t="shared" si="28"/>
        <v/>
      </c>
      <c r="X433" s="18" t="s">
        <v>51</v>
      </c>
      <c r="Y433" s="18" t="s">
        <v>51</v>
      </c>
      <c r="AA433" s="18">
        <v>0</v>
      </c>
      <c r="AB433" s="18">
        <v>0</v>
      </c>
      <c r="AC433" s="18">
        <v>0</v>
      </c>
      <c r="AD433" s="18" t="s">
        <v>65</v>
      </c>
      <c r="AE433" s="18">
        <v>0</v>
      </c>
      <c r="AF433" s="18">
        <f t="shared" si="26"/>
        <v>0</v>
      </c>
      <c r="AG433" s="18" t="str">
        <f t="shared" si="27"/>
        <v>LOW</v>
      </c>
    </row>
    <row r="434" spans="1:33" x14ac:dyDescent="0.3">
      <c r="A434" s="66">
        <v>433</v>
      </c>
      <c r="B434" s="18" t="s">
        <v>2</v>
      </c>
      <c r="C434" s="18" t="s">
        <v>6</v>
      </c>
      <c r="D434" s="18" t="s">
        <v>74</v>
      </c>
      <c r="E434" s="29" t="s">
        <v>226</v>
      </c>
      <c r="F434" s="29" t="s">
        <v>117</v>
      </c>
      <c r="G434" s="18">
        <v>0</v>
      </c>
      <c r="H434" s="18">
        <v>0</v>
      </c>
      <c r="I434" s="18" t="s">
        <v>117</v>
      </c>
      <c r="J434" s="18" t="s">
        <v>63</v>
      </c>
      <c r="K434" s="68">
        <v>0</v>
      </c>
      <c r="L434" s="18">
        <v>0</v>
      </c>
      <c r="P434" s="18">
        <f t="shared" si="24"/>
        <v>0</v>
      </c>
      <c r="Q434" s="30" t="s">
        <v>862</v>
      </c>
      <c r="T434" s="18" t="str">
        <f t="shared" si="28"/>
        <v/>
      </c>
      <c r="X434" s="18" t="s">
        <v>51</v>
      </c>
      <c r="Y434" s="18" t="s">
        <v>51</v>
      </c>
      <c r="AA434" s="18">
        <v>0</v>
      </c>
      <c r="AB434" s="18">
        <v>0</v>
      </c>
      <c r="AC434" s="18">
        <v>0</v>
      </c>
      <c r="AD434" s="18" t="s">
        <v>65</v>
      </c>
      <c r="AE434" s="18">
        <v>0</v>
      </c>
      <c r="AF434" s="18">
        <f t="shared" si="26"/>
        <v>0</v>
      </c>
      <c r="AG434" s="18" t="str">
        <f t="shared" si="27"/>
        <v>LOW</v>
      </c>
    </row>
    <row r="435" spans="1:33" x14ac:dyDescent="0.3">
      <c r="A435" s="66">
        <v>434</v>
      </c>
      <c r="B435" s="18" t="s">
        <v>2</v>
      </c>
      <c r="C435" s="18" t="s">
        <v>6</v>
      </c>
      <c r="D435" s="18" t="s">
        <v>74</v>
      </c>
      <c r="E435" s="29" t="s">
        <v>1123</v>
      </c>
      <c r="F435" s="29" t="s">
        <v>117</v>
      </c>
      <c r="G435" s="18">
        <v>0</v>
      </c>
      <c r="H435" s="18">
        <v>0</v>
      </c>
      <c r="I435" s="18" t="s">
        <v>117</v>
      </c>
      <c r="J435" s="18" t="s">
        <v>63</v>
      </c>
      <c r="K435" s="68">
        <v>0</v>
      </c>
      <c r="L435" s="18">
        <v>0</v>
      </c>
      <c r="P435" s="18">
        <f t="shared" si="24"/>
        <v>0</v>
      </c>
      <c r="Q435" s="30" t="s">
        <v>797</v>
      </c>
      <c r="T435" s="18" t="str">
        <f t="shared" si="28"/>
        <v/>
      </c>
      <c r="X435" s="18" t="s">
        <v>51</v>
      </c>
      <c r="Y435" s="18" t="s">
        <v>51</v>
      </c>
      <c r="AA435" s="18">
        <v>0</v>
      </c>
      <c r="AB435" s="18">
        <v>0</v>
      </c>
      <c r="AC435" s="18">
        <v>0</v>
      </c>
      <c r="AD435" s="18" t="s">
        <v>65</v>
      </c>
      <c r="AE435" s="18">
        <v>0</v>
      </c>
      <c r="AF435" s="18">
        <f t="shared" si="26"/>
        <v>0</v>
      </c>
      <c r="AG435" s="18" t="str">
        <f t="shared" si="27"/>
        <v>LOW</v>
      </c>
    </row>
    <row r="436" spans="1:33" x14ac:dyDescent="0.3">
      <c r="A436" s="66">
        <v>435</v>
      </c>
      <c r="B436" s="18" t="s">
        <v>2</v>
      </c>
      <c r="C436" s="18" t="s">
        <v>6</v>
      </c>
      <c r="D436" s="18" t="s">
        <v>74</v>
      </c>
      <c r="E436" s="29" t="s">
        <v>205</v>
      </c>
      <c r="F436" s="29" t="s">
        <v>117</v>
      </c>
      <c r="G436" s="18">
        <v>0</v>
      </c>
      <c r="H436" s="18">
        <v>0</v>
      </c>
      <c r="I436" s="18" t="s">
        <v>117</v>
      </c>
      <c r="J436" s="18" t="s">
        <v>63</v>
      </c>
      <c r="K436" s="68">
        <v>0</v>
      </c>
      <c r="L436" s="18">
        <v>0</v>
      </c>
      <c r="P436" s="18">
        <f t="shared" si="24"/>
        <v>0</v>
      </c>
      <c r="Q436" s="30" t="s">
        <v>850</v>
      </c>
      <c r="T436" s="18" t="str">
        <f t="shared" si="28"/>
        <v/>
      </c>
      <c r="X436" s="18" t="s">
        <v>51</v>
      </c>
      <c r="Y436" s="18" t="s">
        <v>51</v>
      </c>
      <c r="AA436" s="18">
        <v>0</v>
      </c>
      <c r="AB436" s="18">
        <v>0</v>
      </c>
      <c r="AC436" s="18">
        <v>0</v>
      </c>
      <c r="AD436" s="18" t="s">
        <v>65</v>
      </c>
      <c r="AE436" s="18">
        <v>0</v>
      </c>
      <c r="AF436" s="18">
        <f t="shared" si="26"/>
        <v>0</v>
      </c>
      <c r="AG436" s="18" t="str">
        <f t="shared" si="27"/>
        <v>LOW</v>
      </c>
    </row>
    <row r="437" spans="1:33" x14ac:dyDescent="0.3">
      <c r="A437" s="66">
        <v>436</v>
      </c>
      <c r="B437" s="18" t="s">
        <v>2</v>
      </c>
      <c r="C437" s="18" t="s">
        <v>6</v>
      </c>
      <c r="D437" s="18" t="s">
        <v>74</v>
      </c>
      <c r="E437" s="29" t="s">
        <v>217</v>
      </c>
      <c r="F437" s="29" t="s">
        <v>117</v>
      </c>
      <c r="G437" s="18">
        <v>0</v>
      </c>
      <c r="H437" s="18">
        <v>0</v>
      </c>
      <c r="I437" s="18" t="s">
        <v>117</v>
      </c>
      <c r="J437" s="18" t="s">
        <v>63</v>
      </c>
      <c r="K437" s="68">
        <v>0</v>
      </c>
      <c r="L437" s="18">
        <v>0</v>
      </c>
      <c r="P437" s="18">
        <f t="shared" si="24"/>
        <v>0</v>
      </c>
      <c r="Q437" s="30" t="s">
        <v>863</v>
      </c>
      <c r="T437" s="18" t="str">
        <f t="shared" si="28"/>
        <v/>
      </c>
      <c r="X437" s="18" t="s">
        <v>51</v>
      </c>
      <c r="Y437" s="18" t="s">
        <v>51</v>
      </c>
      <c r="AA437" s="18">
        <v>0</v>
      </c>
      <c r="AB437" s="18">
        <v>0</v>
      </c>
      <c r="AC437" s="18">
        <v>0</v>
      </c>
      <c r="AD437" s="18" t="s">
        <v>65</v>
      </c>
      <c r="AE437" s="18">
        <v>0</v>
      </c>
      <c r="AF437" s="18">
        <f t="shared" si="26"/>
        <v>0</v>
      </c>
      <c r="AG437" s="18" t="str">
        <f t="shared" si="27"/>
        <v>LOW</v>
      </c>
    </row>
    <row r="438" spans="1:33" x14ac:dyDescent="0.3">
      <c r="A438" s="66">
        <v>437</v>
      </c>
      <c r="B438" s="18" t="s">
        <v>2</v>
      </c>
      <c r="C438" s="18" t="s">
        <v>6</v>
      </c>
      <c r="D438" s="18" t="s">
        <v>74</v>
      </c>
      <c r="E438" s="29" t="s">
        <v>268</v>
      </c>
      <c r="F438" s="29" t="s">
        <v>117</v>
      </c>
      <c r="G438" s="18">
        <v>0</v>
      </c>
      <c r="H438" s="18">
        <v>0</v>
      </c>
      <c r="I438" s="18" t="s">
        <v>117</v>
      </c>
      <c r="J438" s="18" t="s">
        <v>63</v>
      </c>
      <c r="K438" s="68">
        <v>0</v>
      </c>
      <c r="L438" s="18">
        <v>0</v>
      </c>
      <c r="P438" s="18">
        <f t="shared" si="24"/>
        <v>0</v>
      </c>
      <c r="Q438" s="30" t="s">
        <v>864</v>
      </c>
      <c r="T438" s="18" t="str">
        <f t="shared" si="28"/>
        <v/>
      </c>
      <c r="X438" s="18" t="s">
        <v>51</v>
      </c>
      <c r="Y438" s="18" t="s">
        <v>51</v>
      </c>
      <c r="AA438" s="18">
        <v>0</v>
      </c>
      <c r="AB438" s="18">
        <v>0</v>
      </c>
      <c r="AC438" s="18">
        <v>0</v>
      </c>
      <c r="AD438" s="18" t="s">
        <v>65</v>
      </c>
      <c r="AE438" s="18">
        <v>0</v>
      </c>
      <c r="AF438" s="18">
        <f t="shared" si="26"/>
        <v>0</v>
      </c>
      <c r="AG438" s="18" t="str">
        <f t="shared" si="27"/>
        <v>LOW</v>
      </c>
    </row>
    <row r="439" spans="1:33" x14ac:dyDescent="0.3">
      <c r="A439" s="66">
        <v>438</v>
      </c>
      <c r="B439" s="18" t="s">
        <v>2</v>
      </c>
      <c r="C439" s="18" t="s">
        <v>6</v>
      </c>
      <c r="D439" s="18" t="s">
        <v>74</v>
      </c>
      <c r="E439" s="29" t="s">
        <v>228</v>
      </c>
      <c r="F439" s="29" t="s">
        <v>117</v>
      </c>
      <c r="G439" s="18">
        <v>0</v>
      </c>
      <c r="H439" s="18">
        <v>0</v>
      </c>
      <c r="I439" s="18" t="s">
        <v>117</v>
      </c>
      <c r="J439" s="18" t="s">
        <v>63</v>
      </c>
      <c r="K439" s="68">
        <v>0</v>
      </c>
      <c r="L439" s="18">
        <v>0</v>
      </c>
      <c r="P439" s="18">
        <f t="shared" si="24"/>
        <v>0</v>
      </c>
      <c r="Q439" s="30" t="s">
        <v>865</v>
      </c>
      <c r="T439" s="18" t="str">
        <f t="shared" si="28"/>
        <v/>
      </c>
      <c r="X439" s="18" t="s">
        <v>51</v>
      </c>
      <c r="Y439" s="18" t="s">
        <v>51</v>
      </c>
      <c r="AA439" s="18">
        <v>0</v>
      </c>
      <c r="AB439" s="18">
        <v>0</v>
      </c>
      <c r="AC439" s="18">
        <v>0</v>
      </c>
      <c r="AD439" s="18" t="s">
        <v>65</v>
      </c>
      <c r="AE439" s="18">
        <v>0</v>
      </c>
      <c r="AF439" s="18">
        <f t="shared" si="26"/>
        <v>0</v>
      </c>
      <c r="AG439" s="18" t="str">
        <f t="shared" si="27"/>
        <v>LOW</v>
      </c>
    </row>
    <row r="440" spans="1:33" x14ac:dyDescent="0.3">
      <c r="A440" s="66">
        <v>439</v>
      </c>
      <c r="B440" s="18" t="s">
        <v>2</v>
      </c>
      <c r="C440" s="18" t="s">
        <v>6</v>
      </c>
      <c r="D440" s="18" t="s">
        <v>74</v>
      </c>
      <c r="E440" s="29" t="s">
        <v>269</v>
      </c>
      <c r="F440" s="29" t="s">
        <v>117</v>
      </c>
      <c r="G440" s="18">
        <v>0</v>
      </c>
      <c r="H440" s="18">
        <v>0</v>
      </c>
      <c r="I440" s="18" t="s">
        <v>117</v>
      </c>
      <c r="J440" s="18" t="s">
        <v>63</v>
      </c>
      <c r="K440" s="68">
        <v>0</v>
      </c>
      <c r="L440" s="18">
        <v>0</v>
      </c>
      <c r="P440" s="18">
        <f t="shared" si="24"/>
        <v>0</v>
      </c>
      <c r="Q440" s="30" t="s">
        <v>866</v>
      </c>
      <c r="T440" s="18" t="str">
        <f t="shared" si="28"/>
        <v/>
      </c>
      <c r="X440" s="18" t="s">
        <v>51</v>
      </c>
      <c r="Y440" s="18" t="s">
        <v>51</v>
      </c>
      <c r="AA440" s="18">
        <v>0</v>
      </c>
      <c r="AB440" s="18">
        <v>0</v>
      </c>
      <c r="AC440" s="18">
        <v>0</v>
      </c>
      <c r="AD440" s="18" t="s">
        <v>65</v>
      </c>
      <c r="AE440" s="18">
        <v>0</v>
      </c>
      <c r="AF440" s="18">
        <f t="shared" si="26"/>
        <v>0</v>
      </c>
      <c r="AG440" s="18" t="str">
        <f t="shared" si="27"/>
        <v>LOW</v>
      </c>
    </row>
    <row r="441" spans="1:33" ht="28.8" x14ac:dyDescent="0.3">
      <c r="A441" s="66">
        <v>440</v>
      </c>
      <c r="B441" s="18" t="s">
        <v>2</v>
      </c>
      <c r="C441" s="18" t="s">
        <v>69</v>
      </c>
      <c r="D441" s="18" t="s">
        <v>76</v>
      </c>
      <c r="E441" s="29" t="s">
        <v>270</v>
      </c>
      <c r="F441" s="29" t="s">
        <v>429</v>
      </c>
      <c r="G441" s="18">
        <v>0</v>
      </c>
      <c r="H441" s="18">
        <v>0</v>
      </c>
      <c r="I441" s="18" t="s">
        <v>12</v>
      </c>
      <c r="J441" s="18" t="s">
        <v>12</v>
      </c>
      <c r="K441" s="68">
        <v>0</v>
      </c>
      <c r="L441" s="18">
        <v>0</v>
      </c>
      <c r="N441" s="19">
        <v>45345</v>
      </c>
      <c r="O441" s="19">
        <v>45348</v>
      </c>
      <c r="P441" s="18">
        <f t="shared" si="24"/>
        <v>3</v>
      </c>
      <c r="Q441" s="30" t="s">
        <v>867</v>
      </c>
      <c r="S441" s="19">
        <v>45348</v>
      </c>
      <c r="T441" s="18">
        <f t="shared" si="28"/>
        <v>3</v>
      </c>
      <c r="X441" s="18" t="s">
        <v>51</v>
      </c>
      <c r="Y441" s="18" t="s">
        <v>51</v>
      </c>
      <c r="AA441" s="18">
        <v>0</v>
      </c>
      <c r="AB441" s="18">
        <v>0</v>
      </c>
      <c r="AC441" s="18">
        <v>0</v>
      </c>
      <c r="AD441" s="18" t="s">
        <v>65</v>
      </c>
      <c r="AE441" s="18">
        <v>0</v>
      </c>
      <c r="AF441" s="18">
        <f t="shared" si="26"/>
        <v>0</v>
      </c>
      <c r="AG441" s="18" t="str">
        <f t="shared" si="27"/>
        <v>LOW</v>
      </c>
    </row>
    <row r="442" spans="1:33" x14ac:dyDescent="0.3">
      <c r="A442" s="66">
        <v>441</v>
      </c>
      <c r="B442" s="18" t="s">
        <v>1</v>
      </c>
      <c r="C442" s="18" t="s">
        <v>69</v>
      </c>
      <c r="D442" s="18" t="s">
        <v>82</v>
      </c>
      <c r="E442" s="29" t="s">
        <v>271</v>
      </c>
      <c r="F442" s="29" t="s">
        <v>271</v>
      </c>
      <c r="G442" s="18">
        <v>2</v>
      </c>
      <c r="H442" s="18">
        <v>1</v>
      </c>
      <c r="I442" s="18" t="s">
        <v>9</v>
      </c>
      <c r="J442" s="18" t="s">
        <v>82</v>
      </c>
      <c r="K442" s="68">
        <v>1114398.54</v>
      </c>
      <c r="L442" s="18">
        <v>3</v>
      </c>
      <c r="M442" s="18">
        <v>3</v>
      </c>
      <c r="N442" s="19">
        <v>45345</v>
      </c>
      <c r="O442" s="19">
        <v>45348</v>
      </c>
      <c r="P442" s="18">
        <f t="shared" si="24"/>
        <v>3</v>
      </c>
      <c r="Q442" s="30" t="s">
        <v>868</v>
      </c>
      <c r="S442" s="19">
        <v>45348</v>
      </c>
      <c r="T442" s="18">
        <f t="shared" ref="T442:T471" si="29">IF(AND(O442&lt;&gt; "",N442&lt;&gt;""),O442-N442,"")</f>
        <v>3</v>
      </c>
      <c r="X442" s="18" t="s">
        <v>53</v>
      </c>
      <c r="Y442" s="18" t="s">
        <v>51</v>
      </c>
      <c r="AA442" s="18">
        <v>0</v>
      </c>
      <c r="AB442" s="18">
        <v>0</v>
      </c>
      <c r="AC442" s="18">
        <v>0</v>
      </c>
      <c r="AD442" s="18" t="s">
        <v>65</v>
      </c>
      <c r="AE442" s="18">
        <v>0</v>
      </c>
      <c r="AF442" s="18">
        <f t="shared" si="26"/>
        <v>6</v>
      </c>
      <c r="AG442" s="18" t="str">
        <f t="shared" si="27"/>
        <v>LOW</v>
      </c>
    </row>
    <row r="443" spans="1:33" x14ac:dyDescent="0.3">
      <c r="A443" s="66">
        <v>442</v>
      </c>
      <c r="B443" s="18" t="s">
        <v>2</v>
      </c>
      <c r="C443" s="18" t="s">
        <v>69</v>
      </c>
      <c r="D443" s="18" t="s">
        <v>78</v>
      </c>
      <c r="E443" s="29" t="s">
        <v>272</v>
      </c>
      <c r="F443" s="29" t="s">
        <v>430</v>
      </c>
      <c r="G443" s="18">
        <v>0</v>
      </c>
      <c r="H443" s="18">
        <v>0</v>
      </c>
      <c r="I443" s="18" t="s">
        <v>9</v>
      </c>
      <c r="J443" s="18" t="s">
        <v>63</v>
      </c>
      <c r="K443" s="68">
        <v>0</v>
      </c>
      <c r="L443" s="18">
        <v>0</v>
      </c>
      <c r="N443" s="19">
        <v>45348</v>
      </c>
      <c r="O443" s="19">
        <v>45348</v>
      </c>
      <c r="P443" s="18">
        <f t="shared" si="24"/>
        <v>0</v>
      </c>
      <c r="Q443" s="30" t="s">
        <v>869</v>
      </c>
      <c r="S443" s="19">
        <v>45348</v>
      </c>
      <c r="T443" s="18">
        <f t="shared" si="29"/>
        <v>0</v>
      </c>
      <c r="X443" s="18" t="s">
        <v>51</v>
      </c>
      <c r="Y443" s="18" t="s">
        <v>51</v>
      </c>
      <c r="AA443" s="18">
        <v>0</v>
      </c>
      <c r="AB443" s="18">
        <v>0</v>
      </c>
      <c r="AC443" s="18">
        <v>0</v>
      </c>
      <c r="AD443" s="18" t="s">
        <v>65</v>
      </c>
      <c r="AE443" s="18">
        <v>0</v>
      </c>
      <c r="AF443" s="18">
        <f t="shared" si="26"/>
        <v>0</v>
      </c>
      <c r="AG443" s="18" t="str">
        <f t="shared" si="27"/>
        <v>LOW</v>
      </c>
    </row>
    <row r="444" spans="1:33" x14ac:dyDescent="0.3">
      <c r="A444" s="66">
        <v>443</v>
      </c>
      <c r="B444" s="18" t="s">
        <v>2</v>
      </c>
      <c r="C444" s="18" t="s">
        <v>69</v>
      </c>
      <c r="D444" s="18" t="s">
        <v>82</v>
      </c>
      <c r="E444" s="29" t="s">
        <v>124</v>
      </c>
      <c r="F444" s="29" t="s">
        <v>431</v>
      </c>
      <c r="G444" s="18">
        <v>0</v>
      </c>
      <c r="H444" s="18">
        <v>0</v>
      </c>
      <c r="I444" s="18" t="s">
        <v>9</v>
      </c>
      <c r="J444" s="18" t="s">
        <v>82</v>
      </c>
      <c r="K444" s="68">
        <v>0</v>
      </c>
      <c r="L444" s="18">
        <v>0</v>
      </c>
      <c r="N444" s="19">
        <v>45348</v>
      </c>
      <c r="O444" s="19">
        <v>45348</v>
      </c>
      <c r="P444" s="18">
        <f t="shared" si="24"/>
        <v>0</v>
      </c>
      <c r="Q444" s="30" t="s">
        <v>870</v>
      </c>
      <c r="S444" s="19">
        <v>45351</v>
      </c>
      <c r="T444" s="18">
        <f t="shared" si="29"/>
        <v>0</v>
      </c>
      <c r="X444" s="18" t="s">
        <v>53</v>
      </c>
      <c r="Y444" s="18" t="s">
        <v>51</v>
      </c>
      <c r="AA444" s="18">
        <v>0</v>
      </c>
      <c r="AB444" s="18">
        <v>0</v>
      </c>
      <c r="AC444" s="18">
        <v>0</v>
      </c>
      <c r="AD444" s="18" t="s">
        <v>65</v>
      </c>
      <c r="AE444" s="18">
        <v>0</v>
      </c>
      <c r="AF444" s="18">
        <f t="shared" si="26"/>
        <v>0</v>
      </c>
      <c r="AG444" s="18" t="str">
        <f t="shared" si="27"/>
        <v>LOW</v>
      </c>
    </row>
    <row r="445" spans="1:33" ht="28.8" x14ac:dyDescent="0.3">
      <c r="A445" s="66">
        <v>444</v>
      </c>
      <c r="B445" s="18" t="s">
        <v>2</v>
      </c>
      <c r="C445" s="18" t="s">
        <v>69</v>
      </c>
      <c r="D445" s="18" t="s">
        <v>82</v>
      </c>
      <c r="E445" s="29" t="s">
        <v>273</v>
      </c>
      <c r="F445" s="29" t="s">
        <v>432</v>
      </c>
      <c r="G445" s="18">
        <v>0</v>
      </c>
      <c r="H445" s="18">
        <v>0</v>
      </c>
      <c r="I445" s="18" t="s">
        <v>9</v>
      </c>
      <c r="J445" s="18" t="s">
        <v>82</v>
      </c>
      <c r="K445" s="68">
        <v>0</v>
      </c>
      <c r="L445" s="18">
        <v>0</v>
      </c>
      <c r="N445" s="19">
        <v>45348</v>
      </c>
      <c r="O445" s="19">
        <v>45348</v>
      </c>
      <c r="P445" s="18">
        <f t="shared" si="24"/>
        <v>0</v>
      </c>
      <c r="Q445" s="30" t="s">
        <v>871</v>
      </c>
      <c r="S445" s="19">
        <v>45350</v>
      </c>
      <c r="T445" s="18">
        <f t="shared" si="29"/>
        <v>0</v>
      </c>
      <c r="X445" s="18" t="s">
        <v>53</v>
      </c>
      <c r="Y445" s="18" t="s">
        <v>51</v>
      </c>
      <c r="AA445" s="18">
        <v>0</v>
      </c>
      <c r="AB445" s="18">
        <v>0</v>
      </c>
      <c r="AC445" s="18">
        <v>0</v>
      </c>
      <c r="AD445" s="18" t="s">
        <v>65</v>
      </c>
      <c r="AE445" s="18">
        <v>0</v>
      </c>
      <c r="AF445" s="18">
        <f t="shared" si="26"/>
        <v>0</v>
      </c>
      <c r="AG445" s="18" t="str">
        <f t="shared" si="27"/>
        <v>LOW</v>
      </c>
    </row>
    <row r="446" spans="1:33" x14ac:dyDescent="0.3">
      <c r="A446" s="66">
        <v>445</v>
      </c>
      <c r="B446" s="18" t="s">
        <v>1</v>
      </c>
      <c r="C446" s="18" t="s">
        <v>69</v>
      </c>
      <c r="D446" s="18" t="s">
        <v>80</v>
      </c>
      <c r="E446" s="29" t="s">
        <v>274</v>
      </c>
      <c r="F446" s="29" t="s">
        <v>322</v>
      </c>
      <c r="G446" s="18">
        <v>2</v>
      </c>
      <c r="H446" s="18">
        <v>1</v>
      </c>
      <c r="I446" s="18" t="s">
        <v>9</v>
      </c>
      <c r="J446" s="18" t="s">
        <v>130</v>
      </c>
      <c r="K446" s="68">
        <v>29000000</v>
      </c>
      <c r="L446" s="18">
        <v>3</v>
      </c>
      <c r="M446" s="18">
        <v>36</v>
      </c>
      <c r="N446" s="19">
        <v>45348</v>
      </c>
      <c r="O446" s="19">
        <v>45348</v>
      </c>
      <c r="P446" s="18">
        <f t="shared" si="24"/>
        <v>0</v>
      </c>
      <c r="Q446" s="30" t="s">
        <v>872</v>
      </c>
      <c r="S446" s="19">
        <v>45350</v>
      </c>
      <c r="T446" s="18">
        <f t="shared" si="29"/>
        <v>0</v>
      </c>
      <c r="X446" s="18" t="s">
        <v>53</v>
      </c>
      <c r="Y446" s="18" t="s">
        <v>51</v>
      </c>
      <c r="AA446" s="18">
        <v>0</v>
      </c>
      <c r="AB446" s="18">
        <v>0</v>
      </c>
      <c r="AC446" s="18">
        <v>2</v>
      </c>
      <c r="AD446" s="18" t="s">
        <v>65</v>
      </c>
      <c r="AE446" s="18">
        <v>0</v>
      </c>
      <c r="AF446" s="18">
        <f t="shared" si="26"/>
        <v>8</v>
      </c>
      <c r="AG446" s="18" t="str">
        <f t="shared" si="27"/>
        <v>LOW</v>
      </c>
    </row>
    <row r="447" spans="1:33" x14ac:dyDescent="0.3">
      <c r="A447" s="66">
        <v>446</v>
      </c>
      <c r="B447" s="18" t="s">
        <v>2</v>
      </c>
      <c r="C447" s="18" t="s">
        <v>69</v>
      </c>
      <c r="D447" s="18" t="s">
        <v>82</v>
      </c>
      <c r="E447" s="29" t="s">
        <v>122</v>
      </c>
      <c r="F447" s="29" t="s">
        <v>433</v>
      </c>
      <c r="G447" s="18">
        <v>2</v>
      </c>
      <c r="H447" s="18">
        <v>1</v>
      </c>
      <c r="I447" s="18" t="s">
        <v>9</v>
      </c>
      <c r="J447" s="18" t="s">
        <v>82</v>
      </c>
      <c r="K447" s="68">
        <v>0</v>
      </c>
      <c r="L447" s="18">
        <v>0</v>
      </c>
      <c r="N447" s="19">
        <v>45348</v>
      </c>
      <c r="O447" s="19">
        <v>45348</v>
      </c>
      <c r="P447" s="18">
        <f t="shared" si="24"/>
        <v>0</v>
      </c>
      <c r="Q447" s="30" t="s">
        <v>594</v>
      </c>
      <c r="S447" s="19">
        <v>45348</v>
      </c>
      <c r="T447" s="18">
        <f t="shared" si="29"/>
        <v>0</v>
      </c>
      <c r="X447" s="18" t="s">
        <v>53</v>
      </c>
      <c r="Y447" s="18" t="s">
        <v>51</v>
      </c>
      <c r="AA447" s="18">
        <v>0</v>
      </c>
      <c r="AB447" s="18">
        <v>0</v>
      </c>
      <c r="AC447" s="18">
        <v>0</v>
      </c>
      <c r="AD447" s="18" t="s">
        <v>65</v>
      </c>
      <c r="AE447" s="18">
        <v>0</v>
      </c>
      <c r="AF447" s="18">
        <f t="shared" si="26"/>
        <v>3</v>
      </c>
      <c r="AG447" s="18" t="str">
        <f t="shared" si="27"/>
        <v>LOW</v>
      </c>
    </row>
    <row r="448" spans="1:33" x14ac:dyDescent="0.3">
      <c r="A448" s="66">
        <v>447</v>
      </c>
      <c r="B448" s="18" t="s">
        <v>2</v>
      </c>
      <c r="C448" s="18" t="s">
        <v>69</v>
      </c>
      <c r="D448" s="18" t="s">
        <v>82</v>
      </c>
      <c r="E448" s="29" t="s">
        <v>275</v>
      </c>
      <c r="F448" s="29" t="s">
        <v>275</v>
      </c>
      <c r="G448" s="18">
        <v>0</v>
      </c>
      <c r="H448" s="18">
        <v>0</v>
      </c>
      <c r="I448" s="18" t="s">
        <v>9</v>
      </c>
      <c r="J448" s="18" t="s">
        <v>82</v>
      </c>
      <c r="K448" s="68">
        <v>0</v>
      </c>
      <c r="L448" s="18">
        <v>0</v>
      </c>
      <c r="N448" s="19">
        <v>45348</v>
      </c>
      <c r="O448" s="19">
        <v>45348</v>
      </c>
      <c r="P448" s="18">
        <f t="shared" si="24"/>
        <v>0</v>
      </c>
      <c r="Q448" s="30" t="s">
        <v>606</v>
      </c>
      <c r="S448" s="19">
        <v>45348</v>
      </c>
      <c r="T448" s="18">
        <f t="shared" si="29"/>
        <v>0</v>
      </c>
      <c r="X448" s="18" t="s">
        <v>51</v>
      </c>
      <c r="Y448" s="18" t="s">
        <v>51</v>
      </c>
      <c r="AA448" s="18">
        <v>0</v>
      </c>
      <c r="AB448" s="18">
        <v>0</v>
      </c>
      <c r="AC448" s="18">
        <v>0</v>
      </c>
      <c r="AD448" s="18" t="s">
        <v>65</v>
      </c>
      <c r="AE448" s="18">
        <v>0</v>
      </c>
      <c r="AF448" s="18">
        <f t="shared" si="26"/>
        <v>0</v>
      </c>
      <c r="AG448" s="18" t="str">
        <f t="shared" si="27"/>
        <v>LOW</v>
      </c>
    </row>
    <row r="449" spans="1:33" x14ac:dyDescent="0.3">
      <c r="A449" s="66">
        <v>448</v>
      </c>
      <c r="B449" s="18" t="s">
        <v>2</v>
      </c>
      <c r="C449" s="18" t="s">
        <v>69</v>
      </c>
      <c r="D449" s="18" t="s">
        <v>81</v>
      </c>
      <c r="E449" s="29" t="s">
        <v>193</v>
      </c>
      <c r="F449" s="29" t="s">
        <v>364</v>
      </c>
      <c r="G449" s="18">
        <v>2</v>
      </c>
      <c r="H449" s="18">
        <v>1</v>
      </c>
      <c r="I449" s="18" t="s">
        <v>12</v>
      </c>
      <c r="J449" s="18" t="s">
        <v>12</v>
      </c>
      <c r="K449" s="68">
        <v>0</v>
      </c>
      <c r="L449" s="18">
        <v>0</v>
      </c>
      <c r="N449" s="19">
        <v>45348</v>
      </c>
      <c r="O449" s="19">
        <v>45348</v>
      </c>
      <c r="P449" s="18">
        <f t="shared" si="24"/>
        <v>0</v>
      </c>
      <c r="Q449" s="30" t="s">
        <v>873</v>
      </c>
      <c r="S449" s="19">
        <v>45350</v>
      </c>
      <c r="T449" s="18">
        <f t="shared" si="29"/>
        <v>0</v>
      </c>
      <c r="X449" s="18" t="s">
        <v>53</v>
      </c>
      <c r="Y449" s="18" t="s">
        <v>51</v>
      </c>
      <c r="AA449" s="18">
        <v>0</v>
      </c>
      <c r="AB449" s="18">
        <v>0</v>
      </c>
      <c r="AC449" s="18">
        <v>0</v>
      </c>
      <c r="AD449" s="18" t="s">
        <v>65</v>
      </c>
      <c r="AE449" s="18">
        <v>0</v>
      </c>
      <c r="AF449" s="18">
        <f t="shared" si="26"/>
        <v>3</v>
      </c>
      <c r="AG449" s="18" t="str">
        <f t="shared" si="27"/>
        <v>LOW</v>
      </c>
    </row>
    <row r="450" spans="1:33" ht="28.8" x14ac:dyDescent="0.3">
      <c r="A450" s="66">
        <v>449</v>
      </c>
      <c r="B450" s="18" t="s">
        <v>2</v>
      </c>
      <c r="C450" s="18" t="s">
        <v>69</v>
      </c>
      <c r="D450" s="18" t="s">
        <v>12</v>
      </c>
      <c r="E450" s="29" t="s">
        <v>276</v>
      </c>
      <c r="F450" s="29" t="s">
        <v>276</v>
      </c>
      <c r="G450" s="18">
        <v>0</v>
      </c>
      <c r="H450" s="18">
        <v>0</v>
      </c>
      <c r="I450" s="18" t="s">
        <v>12</v>
      </c>
      <c r="J450" s="18" t="s">
        <v>12</v>
      </c>
      <c r="K450" s="68">
        <v>0</v>
      </c>
      <c r="L450" s="18">
        <v>0</v>
      </c>
      <c r="N450" s="19">
        <v>45349</v>
      </c>
      <c r="O450" s="19">
        <v>45349</v>
      </c>
      <c r="P450" s="18">
        <f t="shared" ref="P450:P471" si="30">$O450-$N450</f>
        <v>0</v>
      </c>
      <c r="Q450" s="30" t="s">
        <v>874</v>
      </c>
      <c r="S450" s="19">
        <v>45349</v>
      </c>
      <c r="T450" s="18">
        <f t="shared" si="29"/>
        <v>0</v>
      </c>
      <c r="X450" s="18" t="s">
        <v>51</v>
      </c>
      <c r="Y450" s="18" t="s">
        <v>51</v>
      </c>
      <c r="AA450" s="18">
        <v>0</v>
      </c>
      <c r="AB450" s="18">
        <v>0</v>
      </c>
      <c r="AC450" s="18">
        <v>0</v>
      </c>
      <c r="AD450" s="18" t="s">
        <v>65</v>
      </c>
      <c r="AE450" s="18">
        <v>0</v>
      </c>
      <c r="AF450" s="18">
        <f t="shared" ref="AF450:AF471" si="31">SUM($G450,$H450,$L450,$AA450,$AB450,$AC450,$AE450)</f>
        <v>0</v>
      </c>
      <c r="AG450" s="18" t="str">
        <f t="shared" ref="AG450:AG471" si="32">IF(AF450&lt;=15,"LOW",IF(AF450&gt;=31,"HIGH","MIDIUM"))</f>
        <v>LOW</v>
      </c>
    </row>
    <row r="451" spans="1:33" x14ac:dyDescent="0.3">
      <c r="A451" s="66">
        <v>450</v>
      </c>
      <c r="B451" s="18" t="s">
        <v>2</v>
      </c>
      <c r="C451" s="18" t="s">
        <v>69</v>
      </c>
      <c r="D451" s="18" t="s">
        <v>82</v>
      </c>
      <c r="E451" s="29" t="s">
        <v>277</v>
      </c>
      <c r="F451" s="29" t="s">
        <v>189</v>
      </c>
      <c r="G451" s="18">
        <v>2</v>
      </c>
      <c r="H451" s="18">
        <v>1</v>
      </c>
      <c r="I451" s="18" t="s">
        <v>9</v>
      </c>
      <c r="J451" s="18" t="s">
        <v>82</v>
      </c>
      <c r="K451" s="68">
        <v>0</v>
      </c>
      <c r="L451" s="18">
        <v>0</v>
      </c>
      <c r="N451" s="19">
        <v>45349</v>
      </c>
      <c r="O451" s="19">
        <v>45349</v>
      </c>
      <c r="P451" s="18">
        <f t="shared" si="30"/>
        <v>0</v>
      </c>
      <c r="Q451" s="30" t="s">
        <v>875</v>
      </c>
      <c r="S451" s="19">
        <v>45349</v>
      </c>
      <c r="T451" s="18">
        <f t="shared" si="29"/>
        <v>0</v>
      </c>
      <c r="X451" s="18" t="s">
        <v>53</v>
      </c>
      <c r="Y451" s="18" t="s">
        <v>51</v>
      </c>
      <c r="AA451" s="18">
        <v>0</v>
      </c>
      <c r="AB451" s="18">
        <v>0</v>
      </c>
      <c r="AC451" s="18">
        <v>0</v>
      </c>
      <c r="AD451" s="18" t="s">
        <v>65</v>
      </c>
      <c r="AE451" s="18">
        <v>0</v>
      </c>
      <c r="AF451" s="18">
        <f t="shared" si="31"/>
        <v>3</v>
      </c>
      <c r="AG451" s="18" t="str">
        <f t="shared" si="32"/>
        <v>LOW</v>
      </c>
    </row>
    <row r="452" spans="1:33" x14ac:dyDescent="0.3">
      <c r="A452" s="66">
        <v>451</v>
      </c>
      <c r="B452" s="18" t="s">
        <v>1</v>
      </c>
      <c r="C452" s="18" t="s">
        <v>69</v>
      </c>
      <c r="D452" s="18" t="s">
        <v>88</v>
      </c>
      <c r="E452" s="29" t="s">
        <v>278</v>
      </c>
      <c r="F452" s="29" t="s">
        <v>278</v>
      </c>
      <c r="G452" s="18">
        <v>2</v>
      </c>
      <c r="H452" s="18">
        <v>0</v>
      </c>
      <c r="I452" s="18" t="s">
        <v>9</v>
      </c>
      <c r="J452" s="18" t="s">
        <v>63</v>
      </c>
      <c r="K452" s="68">
        <v>0</v>
      </c>
      <c r="L452" s="18">
        <v>0</v>
      </c>
      <c r="N452" s="19">
        <v>45349</v>
      </c>
      <c r="O452" s="19">
        <v>45349</v>
      </c>
      <c r="P452" s="18">
        <f t="shared" si="30"/>
        <v>0</v>
      </c>
      <c r="Q452" s="30" t="s">
        <v>876</v>
      </c>
      <c r="S452" s="19">
        <v>45349</v>
      </c>
      <c r="T452" s="18">
        <f t="shared" si="29"/>
        <v>0</v>
      </c>
      <c r="X452" s="18" t="s">
        <v>53</v>
      </c>
      <c r="Y452" s="18" t="s">
        <v>51</v>
      </c>
      <c r="AA452" s="18">
        <v>0</v>
      </c>
      <c r="AB452" s="18">
        <v>0</v>
      </c>
      <c r="AC452" s="18">
        <v>0</v>
      </c>
      <c r="AD452" s="18" t="s">
        <v>65</v>
      </c>
      <c r="AE452" s="18">
        <v>0</v>
      </c>
      <c r="AF452" s="18">
        <f t="shared" si="31"/>
        <v>2</v>
      </c>
      <c r="AG452" s="18" t="str">
        <f t="shared" si="32"/>
        <v>LOW</v>
      </c>
    </row>
    <row r="453" spans="1:33" ht="28.8" x14ac:dyDescent="0.3">
      <c r="A453" s="66">
        <v>452</v>
      </c>
      <c r="B453" s="18" t="s">
        <v>1</v>
      </c>
      <c r="C453" s="18" t="s">
        <v>69</v>
      </c>
      <c r="D453" s="18" t="s">
        <v>98</v>
      </c>
      <c r="E453" s="29" t="s">
        <v>279</v>
      </c>
      <c r="F453" s="29" t="s">
        <v>434</v>
      </c>
      <c r="G453" s="18">
        <v>2</v>
      </c>
      <c r="H453" s="18">
        <v>1</v>
      </c>
      <c r="I453" s="18" t="s">
        <v>9</v>
      </c>
      <c r="J453" s="18" t="s">
        <v>451</v>
      </c>
      <c r="K453" s="68">
        <v>183500</v>
      </c>
      <c r="L453" s="18">
        <v>3</v>
      </c>
      <c r="M453" s="18">
        <v>1</v>
      </c>
      <c r="N453" s="19">
        <v>45349</v>
      </c>
      <c r="O453" s="19">
        <v>45349</v>
      </c>
      <c r="P453" s="18">
        <f t="shared" si="30"/>
        <v>0</v>
      </c>
      <c r="Q453" s="30" t="s">
        <v>877</v>
      </c>
      <c r="S453" s="19">
        <v>45349</v>
      </c>
      <c r="T453" s="18">
        <f t="shared" si="29"/>
        <v>0</v>
      </c>
      <c r="X453" s="18" t="s">
        <v>53</v>
      </c>
      <c r="Y453" s="18" t="s">
        <v>51</v>
      </c>
      <c r="AA453" s="18">
        <v>0</v>
      </c>
      <c r="AB453" s="18">
        <v>0</v>
      </c>
      <c r="AC453" s="18">
        <v>0</v>
      </c>
      <c r="AD453" s="18" t="s">
        <v>65</v>
      </c>
      <c r="AE453" s="18">
        <v>0</v>
      </c>
      <c r="AF453" s="18">
        <f t="shared" si="31"/>
        <v>6</v>
      </c>
      <c r="AG453" s="18" t="str">
        <f t="shared" si="32"/>
        <v>LOW</v>
      </c>
    </row>
    <row r="454" spans="1:33" ht="28.8" x14ac:dyDescent="0.3">
      <c r="A454" s="66">
        <v>453</v>
      </c>
      <c r="B454" s="18" t="s">
        <v>1</v>
      </c>
      <c r="C454" s="18" t="s">
        <v>69</v>
      </c>
      <c r="D454" s="18" t="s">
        <v>60</v>
      </c>
      <c r="E454" s="29" t="s">
        <v>280</v>
      </c>
      <c r="F454" s="29" t="s">
        <v>435</v>
      </c>
      <c r="G454" s="18">
        <v>2</v>
      </c>
      <c r="H454" s="18">
        <v>1</v>
      </c>
      <c r="I454" s="18" t="s">
        <v>9</v>
      </c>
      <c r="J454" s="18" t="s">
        <v>63</v>
      </c>
      <c r="K454" s="68">
        <v>0</v>
      </c>
      <c r="L454" s="18">
        <v>0</v>
      </c>
      <c r="N454" s="19">
        <v>45349</v>
      </c>
      <c r="O454" s="19">
        <v>45349</v>
      </c>
      <c r="P454" s="18">
        <f t="shared" si="30"/>
        <v>0</v>
      </c>
      <c r="Q454" s="30" t="s">
        <v>878</v>
      </c>
      <c r="S454" s="19">
        <v>45349</v>
      </c>
      <c r="T454" s="18">
        <f t="shared" si="29"/>
        <v>0</v>
      </c>
      <c r="X454" s="18" t="s">
        <v>53</v>
      </c>
      <c r="Y454" s="18" t="s">
        <v>51</v>
      </c>
      <c r="AA454" s="18">
        <v>0</v>
      </c>
      <c r="AB454" s="18">
        <v>0</v>
      </c>
      <c r="AC454" s="18">
        <v>0</v>
      </c>
      <c r="AD454" s="18" t="s">
        <v>65</v>
      </c>
      <c r="AE454" s="18">
        <v>0</v>
      </c>
      <c r="AF454" s="18">
        <f t="shared" si="31"/>
        <v>3</v>
      </c>
      <c r="AG454" s="18" t="str">
        <f t="shared" si="32"/>
        <v>LOW</v>
      </c>
    </row>
    <row r="455" spans="1:33" x14ac:dyDescent="0.3">
      <c r="A455" s="66">
        <v>454</v>
      </c>
      <c r="B455" s="18" t="s">
        <v>2</v>
      </c>
      <c r="C455" s="18" t="s">
        <v>69</v>
      </c>
      <c r="D455" s="18" t="s">
        <v>72</v>
      </c>
      <c r="E455" s="29" t="s">
        <v>281</v>
      </c>
      <c r="F455" s="29" t="s">
        <v>436</v>
      </c>
      <c r="G455" s="18">
        <v>0</v>
      </c>
      <c r="H455" s="18">
        <v>0</v>
      </c>
      <c r="I455" s="18" t="s">
        <v>9</v>
      </c>
      <c r="J455" s="18" t="s">
        <v>63</v>
      </c>
      <c r="K455" s="68">
        <v>0</v>
      </c>
      <c r="L455" s="18">
        <v>0</v>
      </c>
      <c r="N455" s="19">
        <v>45349</v>
      </c>
      <c r="O455" s="19">
        <v>45349</v>
      </c>
      <c r="P455" s="18">
        <f t="shared" si="30"/>
        <v>0</v>
      </c>
      <c r="Q455" s="30" t="s">
        <v>879</v>
      </c>
      <c r="S455" s="19">
        <v>45349</v>
      </c>
      <c r="T455" s="18">
        <f t="shared" si="29"/>
        <v>0</v>
      </c>
      <c r="X455" s="18" t="s">
        <v>53</v>
      </c>
      <c r="Y455" s="18" t="s">
        <v>51</v>
      </c>
      <c r="AA455" s="18">
        <v>0</v>
      </c>
      <c r="AB455" s="18">
        <v>0</v>
      </c>
      <c r="AC455" s="18">
        <v>0</v>
      </c>
      <c r="AD455" s="18" t="s">
        <v>65</v>
      </c>
      <c r="AE455" s="18">
        <v>0</v>
      </c>
      <c r="AF455" s="18">
        <f t="shared" si="31"/>
        <v>0</v>
      </c>
      <c r="AG455" s="18" t="str">
        <f t="shared" si="32"/>
        <v>LOW</v>
      </c>
    </row>
    <row r="456" spans="1:33" x14ac:dyDescent="0.3">
      <c r="A456" s="66">
        <v>455</v>
      </c>
      <c r="B456" s="18" t="s">
        <v>1</v>
      </c>
      <c r="C456" s="18" t="s">
        <v>69</v>
      </c>
      <c r="D456" s="18" t="s">
        <v>60</v>
      </c>
      <c r="E456" s="29" t="s">
        <v>282</v>
      </c>
      <c r="F456" s="29" t="s">
        <v>437</v>
      </c>
      <c r="G456" s="18">
        <v>2</v>
      </c>
      <c r="H456" s="18">
        <v>1</v>
      </c>
      <c r="I456" s="18" t="s">
        <v>9</v>
      </c>
      <c r="J456" s="18" t="s">
        <v>82</v>
      </c>
      <c r="K456" s="68">
        <v>0</v>
      </c>
      <c r="L456" s="18">
        <v>0</v>
      </c>
      <c r="N456" s="19">
        <v>45349</v>
      </c>
      <c r="O456" s="19">
        <v>45349</v>
      </c>
      <c r="P456" s="18">
        <f t="shared" si="30"/>
        <v>0</v>
      </c>
      <c r="Q456" s="30" t="s">
        <v>880</v>
      </c>
      <c r="S456" s="19">
        <v>45349</v>
      </c>
      <c r="T456" s="18">
        <f t="shared" si="29"/>
        <v>0</v>
      </c>
      <c r="X456" s="18" t="s">
        <v>51</v>
      </c>
      <c r="Y456" s="18" t="s">
        <v>51</v>
      </c>
      <c r="AA456" s="18">
        <v>0</v>
      </c>
      <c r="AB456" s="18">
        <v>0</v>
      </c>
      <c r="AC456" s="18">
        <v>0</v>
      </c>
      <c r="AD456" s="18" t="s">
        <v>65</v>
      </c>
      <c r="AE456" s="18">
        <v>0</v>
      </c>
      <c r="AF456" s="18">
        <f t="shared" si="31"/>
        <v>3</v>
      </c>
      <c r="AG456" s="18" t="str">
        <f t="shared" si="32"/>
        <v>LOW</v>
      </c>
    </row>
    <row r="457" spans="1:33" x14ac:dyDescent="0.3">
      <c r="A457" s="66">
        <v>456</v>
      </c>
      <c r="B457" s="18" t="s">
        <v>1</v>
      </c>
      <c r="C457" s="18" t="s">
        <v>69</v>
      </c>
      <c r="D457" s="18" t="s">
        <v>80</v>
      </c>
      <c r="E457" s="29" t="s">
        <v>283</v>
      </c>
      <c r="F457" s="29" t="s">
        <v>438</v>
      </c>
      <c r="G457" s="18">
        <v>2</v>
      </c>
      <c r="H457" s="18">
        <v>1</v>
      </c>
      <c r="I457" s="18" t="s">
        <v>9</v>
      </c>
      <c r="J457" s="18" t="s">
        <v>452</v>
      </c>
      <c r="K457" s="68">
        <v>0</v>
      </c>
      <c r="L457" s="18">
        <v>0</v>
      </c>
      <c r="N457" s="19">
        <v>45349</v>
      </c>
      <c r="O457" s="19">
        <v>45349</v>
      </c>
      <c r="P457" s="18">
        <f t="shared" si="30"/>
        <v>0</v>
      </c>
      <c r="Q457" s="30" t="s">
        <v>881</v>
      </c>
      <c r="S457" s="19">
        <v>45351</v>
      </c>
      <c r="T457" s="18">
        <f t="shared" si="29"/>
        <v>0</v>
      </c>
      <c r="X457" s="18" t="s">
        <v>53</v>
      </c>
      <c r="Y457" s="18" t="s">
        <v>51</v>
      </c>
      <c r="AA457" s="18">
        <v>0</v>
      </c>
      <c r="AB457" s="18">
        <v>0</v>
      </c>
      <c r="AC457" s="18">
        <v>0</v>
      </c>
      <c r="AD457" s="18" t="s">
        <v>65</v>
      </c>
      <c r="AE457" s="18">
        <v>0</v>
      </c>
      <c r="AF457" s="18">
        <f t="shared" si="31"/>
        <v>3</v>
      </c>
      <c r="AG457" s="18" t="str">
        <f t="shared" si="32"/>
        <v>LOW</v>
      </c>
    </row>
    <row r="458" spans="1:33" x14ac:dyDescent="0.3">
      <c r="A458" s="66">
        <v>457</v>
      </c>
      <c r="B458" s="18" t="s">
        <v>2</v>
      </c>
      <c r="C458" s="18" t="s">
        <v>69</v>
      </c>
      <c r="D458" s="18" t="s">
        <v>12</v>
      </c>
      <c r="E458" s="29" t="s">
        <v>284</v>
      </c>
      <c r="F458" s="29" t="s">
        <v>439</v>
      </c>
      <c r="G458" s="18">
        <v>0</v>
      </c>
      <c r="H458" s="18">
        <v>0</v>
      </c>
      <c r="I458" s="18" t="s">
        <v>12</v>
      </c>
      <c r="J458" s="18" t="s">
        <v>12</v>
      </c>
      <c r="K458" s="68">
        <v>0</v>
      </c>
      <c r="L458" s="18">
        <v>0</v>
      </c>
      <c r="N458" s="19">
        <v>45349</v>
      </c>
      <c r="O458" s="19">
        <v>45349</v>
      </c>
      <c r="P458" s="18">
        <f t="shared" si="30"/>
        <v>0</v>
      </c>
      <c r="Q458" s="30" t="s">
        <v>882</v>
      </c>
      <c r="S458" s="19">
        <v>45349</v>
      </c>
      <c r="T458" s="18">
        <f t="shared" si="29"/>
        <v>0</v>
      </c>
      <c r="X458" s="18" t="s">
        <v>51</v>
      </c>
      <c r="Y458" s="18" t="s">
        <v>51</v>
      </c>
      <c r="AA458" s="18">
        <v>0</v>
      </c>
      <c r="AB458" s="18">
        <v>0</v>
      </c>
      <c r="AC458" s="18">
        <v>0</v>
      </c>
      <c r="AD458" s="18" t="s">
        <v>65</v>
      </c>
      <c r="AE458" s="18">
        <v>0</v>
      </c>
      <c r="AF458" s="18">
        <f t="shared" si="31"/>
        <v>0</v>
      </c>
      <c r="AG458" s="18" t="str">
        <f t="shared" si="32"/>
        <v>LOW</v>
      </c>
    </row>
    <row r="459" spans="1:33" x14ac:dyDescent="0.3">
      <c r="A459" s="66">
        <v>458</v>
      </c>
      <c r="B459" s="18" t="s">
        <v>2</v>
      </c>
      <c r="C459" s="18" t="s">
        <v>69</v>
      </c>
      <c r="D459" s="18" t="s">
        <v>83</v>
      </c>
      <c r="E459" s="29" t="s">
        <v>125</v>
      </c>
      <c r="F459" s="29" t="s">
        <v>440</v>
      </c>
      <c r="G459" s="18">
        <v>0</v>
      </c>
      <c r="H459" s="18">
        <v>0</v>
      </c>
      <c r="I459" s="18" t="s">
        <v>9</v>
      </c>
      <c r="J459" s="18" t="s">
        <v>63</v>
      </c>
      <c r="K459" s="68">
        <v>0</v>
      </c>
      <c r="L459" s="18">
        <v>0</v>
      </c>
      <c r="N459" s="19">
        <v>45350</v>
      </c>
      <c r="O459" s="19">
        <v>45350</v>
      </c>
      <c r="P459" s="18">
        <f t="shared" si="30"/>
        <v>0</v>
      </c>
      <c r="Q459" s="30" t="s">
        <v>883</v>
      </c>
      <c r="S459" s="19">
        <v>45350</v>
      </c>
      <c r="T459" s="18">
        <f t="shared" si="29"/>
        <v>0</v>
      </c>
      <c r="X459" s="18" t="s">
        <v>51</v>
      </c>
      <c r="Y459" s="18" t="s">
        <v>51</v>
      </c>
      <c r="AA459" s="18">
        <v>0</v>
      </c>
      <c r="AB459" s="18">
        <v>0</v>
      </c>
      <c r="AC459" s="18">
        <v>0</v>
      </c>
      <c r="AD459" s="18" t="s">
        <v>65</v>
      </c>
      <c r="AE459" s="18">
        <v>0</v>
      </c>
      <c r="AF459" s="18">
        <f t="shared" si="31"/>
        <v>0</v>
      </c>
      <c r="AG459" s="18" t="str">
        <f t="shared" si="32"/>
        <v>LOW</v>
      </c>
    </row>
    <row r="460" spans="1:33" x14ac:dyDescent="0.3">
      <c r="A460" s="66">
        <v>459</v>
      </c>
      <c r="B460" s="18" t="s">
        <v>2</v>
      </c>
      <c r="C460" s="18" t="s">
        <v>69</v>
      </c>
      <c r="D460" s="18" t="s">
        <v>60</v>
      </c>
      <c r="E460" s="29" t="s">
        <v>285</v>
      </c>
      <c r="F460" s="29" t="s">
        <v>285</v>
      </c>
      <c r="G460" s="18">
        <v>0</v>
      </c>
      <c r="H460" s="18">
        <v>0</v>
      </c>
      <c r="I460" s="18" t="s">
        <v>9</v>
      </c>
      <c r="J460" s="18" t="s">
        <v>63</v>
      </c>
      <c r="K460" s="68">
        <v>0</v>
      </c>
      <c r="L460" s="18">
        <v>0</v>
      </c>
      <c r="N460" s="19">
        <v>45350</v>
      </c>
      <c r="O460" s="19">
        <v>45350</v>
      </c>
      <c r="P460" s="18">
        <f t="shared" si="30"/>
        <v>0</v>
      </c>
      <c r="Q460" s="30" t="s">
        <v>884</v>
      </c>
      <c r="S460" s="19">
        <v>45350</v>
      </c>
      <c r="T460" s="18">
        <f t="shared" si="29"/>
        <v>0</v>
      </c>
      <c r="X460" s="18" t="s">
        <v>53</v>
      </c>
      <c r="Y460" s="18" t="s">
        <v>51</v>
      </c>
      <c r="AA460" s="18">
        <v>0</v>
      </c>
      <c r="AB460" s="18">
        <v>0</v>
      </c>
      <c r="AC460" s="18">
        <v>0</v>
      </c>
      <c r="AD460" s="18" t="s">
        <v>65</v>
      </c>
      <c r="AE460" s="18">
        <v>0</v>
      </c>
      <c r="AF460" s="18">
        <f t="shared" si="31"/>
        <v>0</v>
      </c>
      <c r="AG460" s="18" t="str">
        <f t="shared" si="32"/>
        <v>LOW</v>
      </c>
    </row>
    <row r="461" spans="1:33" x14ac:dyDescent="0.3">
      <c r="A461" s="66">
        <v>460</v>
      </c>
      <c r="B461" s="18" t="s">
        <v>2</v>
      </c>
      <c r="C461" s="18" t="s">
        <v>69</v>
      </c>
      <c r="D461" s="18" t="s">
        <v>60</v>
      </c>
      <c r="E461" s="29" t="s">
        <v>990</v>
      </c>
      <c r="F461" s="29" t="s">
        <v>144</v>
      </c>
      <c r="G461" s="18">
        <v>0</v>
      </c>
      <c r="H461" s="18">
        <v>0</v>
      </c>
      <c r="I461" s="18" t="s">
        <v>9</v>
      </c>
      <c r="J461" s="18" t="s">
        <v>63</v>
      </c>
      <c r="K461" s="68">
        <v>0</v>
      </c>
      <c r="L461" s="18">
        <v>0</v>
      </c>
      <c r="N461" s="19">
        <v>45350</v>
      </c>
      <c r="O461" s="19">
        <v>45350</v>
      </c>
      <c r="P461" s="18">
        <f t="shared" si="30"/>
        <v>0</v>
      </c>
      <c r="Q461" s="30" t="s">
        <v>649</v>
      </c>
      <c r="S461" s="19">
        <v>45350</v>
      </c>
      <c r="T461" s="18">
        <f t="shared" si="29"/>
        <v>0</v>
      </c>
      <c r="X461" s="18" t="s">
        <v>53</v>
      </c>
      <c r="Y461" s="18" t="s">
        <v>51</v>
      </c>
      <c r="AA461" s="18">
        <v>0</v>
      </c>
      <c r="AB461" s="18">
        <v>0</v>
      </c>
      <c r="AC461" s="18">
        <v>0</v>
      </c>
      <c r="AD461" s="18" t="s">
        <v>65</v>
      </c>
      <c r="AE461" s="18">
        <v>0</v>
      </c>
      <c r="AF461" s="18">
        <f t="shared" si="31"/>
        <v>0</v>
      </c>
      <c r="AG461" s="18" t="str">
        <f t="shared" si="32"/>
        <v>LOW</v>
      </c>
    </row>
    <row r="462" spans="1:33" ht="28.8" x14ac:dyDescent="0.3">
      <c r="A462" s="66">
        <v>461</v>
      </c>
      <c r="B462" s="18" t="s">
        <v>2</v>
      </c>
      <c r="C462" s="18" t="s">
        <v>69</v>
      </c>
      <c r="D462" s="18" t="s">
        <v>82</v>
      </c>
      <c r="E462" s="29" t="s">
        <v>277</v>
      </c>
      <c r="F462" s="29" t="s">
        <v>441</v>
      </c>
      <c r="G462" s="18">
        <v>2</v>
      </c>
      <c r="H462" s="18">
        <v>1</v>
      </c>
      <c r="I462" s="18" t="s">
        <v>9</v>
      </c>
      <c r="J462" s="18" t="s">
        <v>82</v>
      </c>
      <c r="K462" s="68">
        <v>0</v>
      </c>
      <c r="L462" s="18">
        <v>0</v>
      </c>
      <c r="N462" s="19">
        <v>45350</v>
      </c>
      <c r="O462" s="19">
        <v>45350</v>
      </c>
      <c r="P462" s="18">
        <f t="shared" si="30"/>
        <v>0</v>
      </c>
      <c r="Q462" s="30" t="s">
        <v>885</v>
      </c>
      <c r="S462" s="19">
        <v>45350</v>
      </c>
      <c r="T462" s="18">
        <f t="shared" si="29"/>
        <v>0</v>
      </c>
      <c r="X462" s="18" t="s">
        <v>51</v>
      </c>
      <c r="Y462" s="18" t="s">
        <v>51</v>
      </c>
      <c r="AA462" s="18">
        <v>0</v>
      </c>
      <c r="AB462" s="18">
        <v>0</v>
      </c>
      <c r="AC462" s="18">
        <v>0</v>
      </c>
      <c r="AD462" s="18" t="s">
        <v>65</v>
      </c>
      <c r="AE462" s="18">
        <v>0</v>
      </c>
      <c r="AF462" s="18">
        <f t="shared" si="31"/>
        <v>3</v>
      </c>
      <c r="AG462" s="18" t="str">
        <f t="shared" si="32"/>
        <v>LOW</v>
      </c>
    </row>
    <row r="463" spans="1:33" x14ac:dyDescent="0.3">
      <c r="A463" s="66">
        <v>462</v>
      </c>
      <c r="B463" s="18" t="s">
        <v>2</v>
      </c>
      <c r="C463" s="18" t="s">
        <v>69</v>
      </c>
      <c r="D463" s="18" t="s">
        <v>82</v>
      </c>
      <c r="E463" s="29" t="s">
        <v>286</v>
      </c>
      <c r="F463" s="29" t="s">
        <v>442</v>
      </c>
      <c r="G463" s="18">
        <v>2</v>
      </c>
      <c r="H463" s="18">
        <v>1</v>
      </c>
      <c r="I463" s="18" t="s">
        <v>9</v>
      </c>
      <c r="J463" s="18" t="s">
        <v>82</v>
      </c>
      <c r="K463" s="68">
        <v>0</v>
      </c>
      <c r="L463" s="18">
        <v>0</v>
      </c>
      <c r="N463" s="19">
        <v>45350</v>
      </c>
      <c r="O463" s="19">
        <v>45350</v>
      </c>
      <c r="P463" s="18">
        <f t="shared" si="30"/>
        <v>0</v>
      </c>
      <c r="Q463" s="30" t="s">
        <v>886</v>
      </c>
      <c r="S463" s="19">
        <v>45350</v>
      </c>
      <c r="T463" s="18">
        <f t="shared" si="29"/>
        <v>0</v>
      </c>
      <c r="X463" s="18" t="s">
        <v>53</v>
      </c>
      <c r="Y463" s="18" t="s">
        <v>51</v>
      </c>
      <c r="AA463" s="18">
        <v>0</v>
      </c>
      <c r="AB463" s="18">
        <v>0</v>
      </c>
      <c r="AC463" s="18">
        <v>0</v>
      </c>
      <c r="AD463" s="18" t="s">
        <v>65</v>
      </c>
      <c r="AE463" s="18">
        <v>0</v>
      </c>
      <c r="AF463" s="18">
        <f t="shared" si="31"/>
        <v>3</v>
      </c>
      <c r="AG463" s="18" t="str">
        <f t="shared" si="32"/>
        <v>LOW</v>
      </c>
    </row>
    <row r="464" spans="1:33" x14ac:dyDescent="0.3">
      <c r="A464" s="66">
        <v>463</v>
      </c>
      <c r="B464" s="18" t="s">
        <v>2</v>
      </c>
      <c r="C464" s="18" t="s">
        <v>69</v>
      </c>
      <c r="D464" s="18" t="s">
        <v>82</v>
      </c>
      <c r="E464" s="29" t="s">
        <v>286</v>
      </c>
      <c r="F464" s="29" t="s">
        <v>443</v>
      </c>
      <c r="G464" s="18">
        <v>2</v>
      </c>
      <c r="H464" s="18">
        <v>1</v>
      </c>
      <c r="I464" s="18" t="s">
        <v>9</v>
      </c>
      <c r="J464" s="18" t="s">
        <v>82</v>
      </c>
      <c r="K464" s="68">
        <v>0</v>
      </c>
      <c r="L464" s="18">
        <v>0</v>
      </c>
      <c r="N464" s="19">
        <v>45350</v>
      </c>
      <c r="O464" s="19">
        <v>45350</v>
      </c>
      <c r="P464" s="18">
        <f t="shared" si="30"/>
        <v>0</v>
      </c>
      <c r="Q464" s="30" t="s">
        <v>887</v>
      </c>
      <c r="S464" s="19">
        <v>45350</v>
      </c>
      <c r="T464" s="18">
        <f t="shared" si="29"/>
        <v>0</v>
      </c>
      <c r="X464" s="18" t="s">
        <v>53</v>
      </c>
      <c r="Y464" s="18" t="s">
        <v>51</v>
      </c>
      <c r="AA464" s="18">
        <v>0</v>
      </c>
      <c r="AB464" s="18">
        <v>0</v>
      </c>
      <c r="AC464" s="18">
        <v>0</v>
      </c>
      <c r="AD464" s="18" t="s">
        <v>65</v>
      </c>
      <c r="AE464" s="18">
        <v>0</v>
      </c>
      <c r="AF464" s="18">
        <f t="shared" si="31"/>
        <v>3</v>
      </c>
      <c r="AG464" s="18" t="str">
        <f t="shared" si="32"/>
        <v>LOW</v>
      </c>
    </row>
    <row r="465" spans="1:33" x14ac:dyDescent="0.3">
      <c r="A465" s="66">
        <v>464</v>
      </c>
      <c r="B465" s="18" t="s">
        <v>2</v>
      </c>
      <c r="C465" s="18" t="s">
        <v>69</v>
      </c>
      <c r="D465" s="18" t="s">
        <v>12</v>
      </c>
      <c r="E465" s="29" t="s">
        <v>193</v>
      </c>
      <c r="F465" s="29" t="s">
        <v>444</v>
      </c>
      <c r="G465" s="18">
        <v>0</v>
      </c>
      <c r="H465" s="18">
        <v>0</v>
      </c>
      <c r="I465" s="18" t="s">
        <v>12</v>
      </c>
      <c r="J465" s="18" t="s">
        <v>12</v>
      </c>
      <c r="K465" s="68">
        <v>0</v>
      </c>
      <c r="L465" s="18">
        <v>0</v>
      </c>
      <c r="N465" s="19">
        <v>45350</v>
      </c>
      <c r="O465" s="19">
        <v>45350</v>
      </c>
      <c r="P465" s="18">
        <f t="shared" si="30"/>
        <v>0</v>
      </c>
      <c r="Q465" s="30" t="s">
        <v>888</v>
      </c>
      <c r="S465" s="19">
        <v>45350</v>
      </c>
      <c r="T465" s="18">
        <f t="shared" si="29"/>
        <v>0</v>
      </c>
      <c r="X465" s="18" t="s">
        <v>53</v>
      </c>
      <c r="Y465" s="18" t="s">
        <v>51</v>
      </c>
      <c r="AA465" s="18">
        <v>0</v>
      </c>
      <c r="AB465" s="18">
        <v>0</v>
      </c>
      <c r="AC465" s="18">
        <v>0</v>
      </c>
      <c r="AD465" s="18" t="s">
        <v>65</v>
      </c>
      <c r="AE465" s="18">
        <v>0</v>
      </c>
      <c r="AF465" s="18">
        <f t="shared" si="31"/>
        <v>0</v>
      </c>
      <c r="AG465" s="18" t="str">
        <f t="shared" si="32"/>
        <v>LOW</v>
      </c>
    </row>
    <row r="466" spans="1:33" x14ac:dyDescent="0.3">
      <c r="A466" s="66">
        <v>465</v>
      </c>
      <c r="B466" s="18" t="s">
        <v>2</v>
      </c>
      <c r="C466" s="18" t="s">
        <v>69</v>
      </c>
      <c r="D466" s="18" t="s">
        <v>82</v>
      </c>
      <c r="E466" s="29" t="s">
        <v>125</v>
      </c>
      <c r="F466" s="29" t="s">
        <v>125</v>
      </c>
      <c r="G466" s="18">
        <v>0</v>
      </c>
      <c r="H466" s="18">
        <v>0</v>
      </c>
      <c r="I466" s="18" t="s">
        <v>9</v>
      </c>
      <c r="J466" s="18" t="s">
        <v>82</v>
      </c>
      <c r="K466" s="68">
        <v>0</v>
      </c>
      <c r="L466" s="18">
        <v>0</v>
      </c>
      <c r="N466" s="19">
        <v>45351</v>
      </c>
      <c r="O466" s="19">
        <v>45351</v>
      </c>
      <c r="P466" s="18">
        <f t="shared" si="30"/>
        <v>0</v>
      </c>
      <c r="Q466" s="30" t="s">
        <v>889</v>
      </c>
      <c r="S466" s="19">
        <v>45351</v>
      </c>
      <c r="T466" s="18">
        <f t="shared" si="29"/>
        <v>0</v>
      </c>
      <c r="X466" s="18" t="s">
        <v>51</v>
      </c>
      <c r="Y466" s="18" t="s">
        <v>51</v>
      </c>
      <c r="AA466" s="18">
        <v>0</v>
      </c>
      <c r="AB466" s="18">
        <v>0</v>
      </c>
      <c r="AC466" s="18">
        <v>0</v>
      </c>
      <c r="AD466" s="18" t="s">
        <v>65</v>
      </c>
      <c r="AE466" s="18">
        <v>0</v>
      </c>
      <c r="AF466" s="18">
        <f t="shared" si="31"/>
        <v>0</v>
      </c>
      <c r="AG466" s="18" t="str">
        <f t="shared" si="32"/>
        <v>LOW</v>
      </c>
    </row>
    <row r="467" spans="1:33" x14ac:dyDescent="0.3">
      <c r="A467" s="66">
        <v>466</v>
      </c>
      <c r="B467" s="18" t="s">
        <v>2</v>
      </c>
      <c r="C467" s="18" t="s">
        <v>69</v>
      </c>
      <c r="D467" s="18" t="s">
        <v>83</v>
      </c>
      <c r="E467" s="29" t="s">
        <v>260</v>
      </c>
      <c r="F467" s="29" t="s">
        <v>81</v>
      </c>
      <c r="G467" s="18">
        <v>0</v>
      </c>
      <c r="H467" s="18">
        <v>0</v>
      </c>
      <c r="I467" s="18" t="s">
        <v>9</v>
      </c>
      <c r="J467" s="18" t="s">
        <v>63</v>
      </c>
      <c r="K467" s="68">
        <v>0</v>
      </c>
      <c r="L467" s="18">
        <v>0</v>
      </c>
      <c r="N467" s="19">
        <v>45351</v>
      </c>
      <c r="O467" s="19">
        <v>45351</v>
      </c>
      <c r="P467" s="18">
        <f t="shared" si="30"/>
        <v>0</v>
      </c>
      <c r="Q467" s="30" t="s">
        <v>890</v>
      </c>
      <c r="S467" s="19">
        <v>45351</v>
      </c>
      <c r="T467" s="18">
        <f t="shared" si="29"/>
        <v>0</v>
      </c>
      <c r="X467" s="18" t="s">
        <v>51</v>
      </c>
      <c r="Y467" s="18" t="s">
        <v>51</v>
      </c>
      <c r="AA467" s="18">
        <v>0</v>
      </c>
      <c r="AB467" s="18">
        <v>0</v>
      </c>
      <c r="AC467" s="18">
        <v>0</v>
      </c>
      <c r="AD467" s="18" t="s">
        <v>65</v>
      </c>
      <c r="AE467" s="18">
        <v>0</v>
      </c>
      <c r="AF467" s="18">
        <f t="shared" si="31"/>
        <v>0</v>
      </c>
      <c r="AG467" s="18" t="str">
        <f t="shared" si="32"/>
        <v>LOW</v>
      </c>
    </row>
    <row r="468" spans="1:33" ht="28.8" x14ac:dyDescent="0.3">
      <c r="A468" s="66">
        <v>467</v>
      </c>
      <c r="B468" s="18" t="s">
        <v>2</v>
      </c>
      <c r="C468" s="18" t="s">
        <v>69</v>
      </c>
      <c r="D468" s="18" t="s">
        <v>96</v>
      </c>
      <c r="E468" s="29" t="s">
        <v>287</v>
      </c>
      <c r="F468" s="29" t="s">
        <v>445</v>
      </c>
      <c r="G468" s="18">
        <v>0</v>
      </c>
      <c r="H468" s="18">
        <v>0</v>
      </c>
      <c r="I468" s="18" t="s">
        <v>9</v>
      </c>
      <c r="J468" s="18" t="s">
        <v>63</v>
      </c>
      <c r="K468" s="68">
        <v>0</v>
      </c>
      <c r="L468" s="18">
        <v>0</v>
      </c>
      <c r="N468" s="19">
        <v>45350</v>
      </c>
      <c r="O468" s="19">
        <v>45350</v>
      </c>
      <c r="P468" s="18">
        <f t="shared" si="30"/>
        <v>0</v>
      </c>
      <c r="Q468" s="30" t="s">
        <v>891</v>
      </c>
      <c r="S468" s="19">
        <v>45351</v>
      </c>
      <c r="T468" s="18">
        <f t="shared" si="29"/>
        <v>0</v>
      </c>
      <c r="X468" s="18" t="s">
        <v>51</v>
      </c>
      <c r="Y468" s="18" t="s">
        <v>51</v>
      </c>
      <c r="AA468" s="18">
        <v>0</v>
      </c>
      <c r="AB468" s="18">
        <v>0</v>
      </c>
      <c r="AC468" s="18">
        <v>0</v>
      </c>
      <c r="AD468" s="18" t="s">
        <v>65</v>
      </c>
      <c r="AE468" s="18">
        <v>0</v>
      </c>
      <c r="AF468" s="18">
        <f t="shared" si="31"/>
        <v>0</v>
      </c>
      <c r="AG468" s="18" t="str">
        <f t="shared" si="32"/>
        <v>LOW</v>
      </c>
    </row>
    <row r="469" spans="1:33" x14ac:dyDescent="0.3">
      <c r="A469" s="66">
        <v>468</v>
      </c>
      <c r="B469" s="18" t="s">
        <v>1</v>
      </c>
      <c r="C469" s="18" t="s">
        <v>69</v>
      </c>
      <c r="D469" s="18" t="s">
        <v>60</v>
      </c>
      <c r="E469" s="29" t="s">
        <v>288</v>
      </c>
      <c r="F469" s="29" t="s">
        <v>446</v>
      </c>
      <c r="G469" s="18">
        <v>2</v>
      </c>
      <c r="H469" s="18">
        <v>1</v>
      </c>
      <c r="I469" s="18" t="s">
        <v>9</v>
      </c>
      <c r="J469" s="18" t="s">
        <v>63</v>
      </c>
      <c r="K469" s="68">
        <v>0</v>
      </c>
      <c r="L469" s="18">
        <v>0</v>
      </c>
      <c r="N469" s="19">
        <v>45351</v>
      </c>
      <c r="O469" s="19">
        <v>45351</v>
      </c>
      <c r="P469" s="18">
        <f t="shared" si="30"/>
        <v>0</v>
      </c>
      <c r="Q469" s="30" t="s">
        <v>892</v>
      </c>
      <c r="S469" s="19">
        <v>45351</v>
      </c>
      <c r="T469" s="18">
        <f t="shared" si="29"/>
        <v>0</v>
      </c>
      <c r="X469" s="18" t="s">
        <v>53</v>
      </c>
      <c r="Y469" s="18" t="s">
        <v>51</v>
      </c>
      <c r="AA469" s="18">
        <v>0</v>
      </c>
      <c r="AB469" s="18">
        <v>0</v>
      </c>
      <c r="AC469" s="18">
        <v>0</v>
      </c>
      <c r="AD469" s="18" t="s">
        <v>65</v>
      </c>
      <c r="AE469" s="18">
        <v>0</v>
      </c>
      <c r="AF469" s="18">
        <f t="shared" si="31"/>
        <v>3</v>
      </c>
      <c r="AG469" s="18" t="str">
        <f t="shared" si="32"/>
        <v>LOW</v>
      </c>
    </row>
    <row r="470" spans="1:33" x14ac:dyDescent="0.3">
      <c r="A470" s="66">
        <v>469</v>
      </c>
      <c r="B470" s="18" t="s">
        <v>2</v>
      </c>
      <c r="C470" s="18" t="s">
        <v>69</v>
      </c>
      <c r="D470" s="18" t="s">
        <v>82</v>
      </c>
      <c r="E470" s="29" t="s">
        <v>289</v>
      </c>
      <c r="F470" s="29" t="s">
        <v>447</v>
      </c>
      <c r="G470" s="18">
        <v>0</v>
      </c>
      <c r="H470" s="18">
        <v>0</v>
      </c>
      <c r="I470" s="18" t="s">
        <v>9</v>
      </c>
      <c r="J470" s="18" t="s">
        <v>82</v>
      </c>
      <c r="K470" s="68">
        <v>0</v>
      </c>
      <c r="L470" s="18">
        <v>0</v>
      </c>
      <c r="N470" s="19">
        <v>45351</v>
      </c>
      <c r="O470" s="19">
        <v>45351</v>
      </c>
      <c r="P470" s="18">
        <f t="shared" si="30"/>
        <v>0</v>
      </c>
      <c r="Q470" s="30" t="s">
        <v>893</v>
      </c>
      <c r="S470" s="19">
        <v>45351</v>
      </c>
      <c r="T470" s="18">
        <f t="shared" si="29"/>
        <v>0</v>
      </c>
      <c r="X470" s="18" t="s">
        <v>53</v>
      </c>
      <c r="Y470" s="18" t="s">
        <v>51</v>
      </c>
      <c r="AA470" s="18">
        <v>0</v>
      </c>
      <c r="AB470" s="18">
        <v>0</v>
      </c>
      <c r="AC470" s="18">
        <v>0</v>
      </c>
      <c r="AD470" s="18" t="s">
        <v>65</v>
      </c>
      <c r="AE470" s="18">
        <v>0</v>
      </c>
      <c r="AF470" s="18">
        <f t="shared" si="31"/>
        <v>0</v>
      </c>
      <c r="AG470" s="18" t="str">
        <f t="shared" si="32"/>
        <v>LOW</v>
      </c>
    </row>
    <row r="471" spans="1:33" x14ac:dyDescent="0.3">
      <c r="A471" s="66">
        <v>470</v>
      </c>
      <c r="B471" s="18" t="s">
        <v>1</v>
      </c>
      <c r="C471" s="18" t="s">
        <v>69</v>
      </c>
      <c r="D471" s="18" t="s">
        <v>60</v>
      </c>
      <c r="E471" s="29" t="s">
        <v>290</v>
      </c>
      <c r="F471" s="29" t="s">
        <v>448</v>
      </c>
      <c r="G471" s="18">
        <v>2</v>
      </c>
      <c r="H471" s="18">
        <v>1</v>
      </c>
      <c r="I471" s="18" t="s">
        <v>9</v>
      </c>
      <c r="J471" s="18" t="s">
        <v>63</v>
      </c>
      <c r="K471" s="68">
        <v>61200</v>
      </c>
      <c r="L471" s="18">
        <v>2</v>
      </c>
      <c r="M471" s="18">
        <v>36</v>
      </c>
      <c r="N471" s="19">
        <v>45351</v>
      </c>
      <c r="O471" s="19">
        <v>45351</v>
      </c>
      <c r="P471" s="18">
        <f t="shared" si="30"/>
        <v>0</v>
      </c>
      <c r="Q471" s="30" t="s">
        <v>894</v>
      </c>
      <c r="S471" s="19">
        <v>45351</v>
      </c>
      <c r="T471" s="18">
        <f t="shared" si="29"/>
        <v>0</v>
      </c>
      <c r="X471" s="18" t="s">
        <v>51</v>
      </c>
      <c r="Y471" s="18" t="s">
        <v>51</v>
      </c>
      <c r="AA471" s="18">
        <v>0</v>
      </c>
      <c r="AB471" s="18">
        <v>0</v>
      </c>
      <c r="AC471" s="18">
        <v>0</v>
      </c>
      <c r="AD471" s="18" t="s">
        <v>65</v>
      </c>
      <c r="AE471" s="18">
        <v>0</v>
      </c>
      <c r="AF471" s="18">
        <f t="shared" si="31"/>
        <v>5</v>
      </c>
      <c r="AG471" s="18" t="str">
        <f t="shared" si="32"/>
        <v>LOW</v>
      </c>
    </row>
  </sheetData>
  <autoFilter ref="B1:AK471" xr:uid="{3A7C30D8-DD5C-4B43-A9DC-863CF3CB461A}">
    <sortState xmlns:xlrd2="http://schemas.microsoft.com/office/spreadsheetml/2017/richdata2" ref="B2:AK471">
      <sortCondition ref="AE1:AE471"/>
    </sortState>
  </autoFilter>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4F70-FF91-4D41-9ED2-B30415255E64}">
  <sheetPr codeName="Contracts"/>
  <dimension ref="A1:P11"/>
  <sheetViews>
    <sheetView workbookViewId="0">
      <selection activeCell="D1" sqref="D1"/>
    </sheetView>
  </sheetViews>
  <sheetFormatPr defaultRowHeight="14.4" x14ac:dyDescent="0.3"/>
  <cols>
    <col min="1" max="1" width="3" style="66" bestFit="1" customWidth="1"/>
    <col min="2" max="2" width="10.77734375" style="19" bestFit="1" customWidth="1"/>
    <col min="3" max="3" width="31.77734375" style="18" bestFit="1" customWidth="1"/>
    <col min="4" max="4" width="13.6640625" style="18" bestFit="1" customWidth="1"/>
    <col min="5" max="5" width="15.21875" style="79" bestFit="1" customWidth="1"/>
    <col min="6" max="6" width="14.109375" style="18" bestFit="1" customWidth="1"/>
    <col min="7" max="7" width="10.33203125" style="19" bestFit="1" customWidth="1"/>
    <col min="8" max="8" width="12.44140625" style="74" bestFit="1" customWidth="1"/>
    <col min="9" max="9" width="9.44140625" style="74" bestFit="1" customWidth="1"/>
    <col min="10" max="10" width="10.5546875" style="74" bestFit="1" customWidth="1"/>
    <col min="11" max="12" width="9.77734375" style="18" bestFit="1" customWidth="1"/>
    <col min="13" max="13" width="9.6640625" style="18" bestFit="1" customWidth="1"/>
    <col min="14" max="14" width="42.21875" style="29" customWidth="1"/>
    <col min="15" max="15" width="14.5546875" style="18" bestFit="1" customWidth="1"/>
    <col min="16" max="16" width="11.5546875" style="18" bestFit="1" customWidth="1"/>
    <col min="17" max="16384" width="8.88671875" style="18"/>
  </cols>
  <sheetData>
    <row r="1" spans="1:16" ht="57.6" x14ac:dyDescent="0.3">
      <c r="A1" s="69" t="s">
        <v>1012</v>
      </c>
      <c r="B1" s="31" t="s">
        <v>1147</v>
      </c>
      <c r="C1" s="23" t="s">
        <v>19</v>
      </c>
      <c r="D1" s="24" t="s">
        <v>3</v>
      </c>
      <c r="E1" s="78" t="s">
        <v>25</v>
      </c>
      <c r="F1" s="23" t="s">
        <v>27</v>
      </c>
      <c r="G1" s="22" t="s">
        <v>33</v>
      </c>
      <c r="H1" s="75" t="s">
        <v>1148</v>
      </c>
      <c r="I1" s="75" t="s">
        <v>1149</v>
      </c>
      <c r="J1" s="49" t="s">
        <v>36</v>
      </c>
      <c r="K1" s="25" t="s">
        <v>37</v>
      </c>
      <c r="L1" s="26" t="s">
        <v>38</v>
      </c>
      <c r="M1" s="27" t="s">
        <v>47</v>
      </c>
      <c r="N1" s="27" t="s">
        <v>48</v>
      </c>
      <c r="O1" s="27" t="s">
        <v>49</v>
      </c>
      <c r="P1" s="28" t="s">
        <v>50</v>
      </c>
    </row>
    <row r="2" spans="1:16" x14ac:dyDescent="0.3">
      <c r="A2" s="66">
        <v>1</v>
      </c>
      <c r="B2" s="19">
        <v>45292</v>
      </c>
      <c r="C2" s="18" t="s">
        <v>61</v>
      </c>
      <c r="D2" s="18" t="s">
        <v>4</v>
      </c>
      <c r="E2" s="79">
        <v>25700</v>
      </c>
      <c r="F2" s="18">
        <v>2</v>
      </c>
      <c r="G2" s="19">
        <v>45352</v>
      </c>
      <c r="H2" s="74">
        <v>0.375</v>
      </c>
      <c r="I2" s="74">
        <v>0.79166666666666663</v>
      </c>
      <c r="J2" s="74">
        <v>0.41666666666666669</v>
      </c>
      <c r="K2" s="18" t="s">
        <v>53</v>
      </c>
      <c r="L2" s="18" t="s">
        <v>53</v>
      </c>
      <c r="M2" s="18" t="s">
        <v>55</v>
      </c>
      <c r="N2" s="29" t="s">
        <v>1131</v>
      </c>
      <c r="O2" s="18" t="s">
        <v>55</v>
      </c>
      <c r="P2" s="18" t="s">
        <v>55</v>
      </c>
    </row>
    <row r="3" spans="1:16" x14ac:dyDescent="0.3">
      <c r="A3" s="66">
        <v>2</v>
      </c>
      <c r="B3" s="19">
        <v>45323</v>
      </c>
      <c r="C3" s="18" t="s">
        <v>61</v>
      </c>
      <c r="D3" s="18" t="s">
        <v>4</v>
      </c>
      <c r="E3" s="79">
        <v>25700</v>
      </c>
      <c r="F3" s="18">
        <v>4</v>
      </c>
      <c r="G3" s="19">
        <v>45444</v>
      </c>
      <c r="H3" s="74">
        <v>0.375</v>
      </c>
      <c r="I3" s="74">
        <v>0.79166666666666663</v>
      </c>
      <c r="J3" s="74">
        <v>0.41666666666666669</v>
      </c>
      <c r="K3" s="18" t="s">
        <v>53</v>
      </c>
      <c r="L3" s="18" t="s">
        <v>53</v>
      </c>
      <c r="M3" s="18" t="s">
        <v>55</v>
      </c>
      <c r="N3" s="29" t="s">
        <v>1129</v>
      </c>
      <c r="O3" s="18" t="s">
        <v>55</v>
      </c>
      <c r="P3" s="18" t="s">
        <v>55</v>
      </c>
    </row>
    <row r="4" spans="1:16" x14ac:dyDescent="0.3">
      <c r="A4" s="66">
        <v>3</v>
      </c>
      <c r="B4" s="19">
        <v>45323</v>
      </c>
      <c r="C4" s="18" t="s">
        <v>61</v>
      </c>
      <c r="D4" s="18" t="s">
        <v>5</v>
      </c>
      <c r="E4" s="79">
        <v>25700</v>
      </c>
      <c r="F4" s="18">
        <v>10</v>
      </c>
      <c r="G4" s="19">
        <v>45627</v>
      </c>
      <c r="H4" s="74">
        <v>0.33333333333333331</v>
      </c>
      <c r="I4" s="74">
        <v>0.91666666666666663</v>
      </c>
      <c r="J4" s="74">
        <v>0.58333333333333337</v>
      </c>
      <c r="K4" s="18" t="s">
        <v>53</v>
      </c>
      <c r="L4" s="18" t="s">
        <v>53</v>
      </c>
      <c r="M4" s="18" t="s">
        <v>55</v>
      </c>
      <c r="N4" s="29" t="s">
        <v>1130</v>
      </c>
      <c r="O4" s="18" t="s">
        <v>55</v>
      </c>
      <c r="P4" s="18" t="s">
        <v>55</v>
      </c>
    </row>
    <row r="5" spans="1:16" x14ac:dyDescent="0.3">
      <c r="A5" s="66">
        <v>4</v>
      </c>
      <c r="B5" s="19">
        <v>45324</v>
      </c>
      <c r="C5" s="18" t="s">
        <v>61</v>
      </c>
      <c r="D5" s="18" t="s">
        <v>4</v>
      </c>
      <c r="E5" s="79">
        <v>25700</v>
      </c>
      <c r="F5" s="18">
        <v>5</v>
      </c>
      <c r="G5" s="19">
        <v>45475</v>
      </c>
      <c r="H5" s="74">
        <v>0.375</v>
      </c>
      <c r="I5" s="74">
        <v>0.75</v>
      </c>
      <c r="J5" s="74">
        <v>0.375</v>
      </c>
      <c r="K5" s="18" t="s">
        <v>53</v>
      </c>
      <c r="L5" s="18" t="s">
        <v>53</v>
      </c>
      <c r="M5" s="18" t="s">
        <v>55</v>
      </c>
      <c r="N5" s="29" t="s">
        <v>1132</v>
      </c>
      <c r="O5" s="18" t="s">
        <v>55</v>
      </c>
      <c r="P5" s="18" t="s">
        <v>55</v>
      </c>
    </row>
    <row r="6" spans="1:16" x14ac:dyDescent="0.3">
      <c r="A6" s="66">
        <v>5</v>
      </c>
      <c r="B6" s="19">
        <v>45292</v>
      </c>
      <c r="C6" s="18" t="s">
        <v>61</v>
      </c>
      <c r="D6" s="18" t="s">
        <v>4</v>
      </c>
      <c r="E6" s="79">
        <v>25700</v>
      </c>
      <c r="F6" s="18">
        <v>36</v>
      </c>
      <c r="G6" s="19">
        <v>45384</v>
      </c>
      <c r="H6" s="74">
        <v>0.375</v>
      </c>
      <c r="I6" s="74">
        <v>0.75</v>
      </c>
      <c r="J6" s="74">
        <v>0.375</v>
      </c>
      <c r="K6" s="18" t="s">
        <v>53</v>
      </c>
      <c r="L6" s="18" t="s">
        <v>53</v>
      </c>
      <c r="M6" s="18" t="s">
        <v>55</v>
      </c>
      <c r="N6" s="29" t="s">
        <v>1134</v>
      </c>
      <c r="O6" s="18" t="s">
        <v>55</v>
      </c>
      <c r="P6" s="18" t="s">
        <v>55</v>
      </c>
    </row>
    <row r="7" spans="1:16" x14ac:dyDescent="0.3">
      <c r="A7" s="18">
        <v>6</v>
      </c>
      <c r="B7" s="19">
        <v>45292</v>
      </c>
      <c r="C7" s="18" t="s">
        <v>61</v>
      </c>
      <c r="D7" s="18" t="s">
        <v>4</v>
      </c>
      <c r="E7" s="79">
        <v>25700</v>
      </c>
      <c r="F7" s="18">
        <v>10</v>
      </c>
      <c r="G7" s="19">
        <v>45597</v>
      </c>
      <c r="H7" s="74">
        <v>0.33333333333333331</v>
      </c>
      <c r="I7" s="74">
        <v>0.75</v>
      </c>
      <c r="J7" s="74">
        <v>0.41666666666666669</v>
      </c>
      <c r="K7" s="18" t="s">
        <v>53</v>
      </c>
      <c r="L7" s="18" t="s">
        <v>53</v>
      </c>
      <c r="M7" s="18" t="s">
        <v>55</v>
      </c>
      <c r="N7" s="29" t="s">
        <v>1136</v>
      </c>
      <c r="O7" s="18" t="s">
        <v>55</v>
      </c>
      <c r="P7" s="18" t="s">
        <v>55</v>
      </c>
    </row>
    <row r="8" spans="1:16" x14ac:dyDescent="0.3">
      <c r="A8" s="18">
        <v>7</v>
      </c>
      <c r="B8" s="19">
        <v>45292</v>
      </c>
      <c r="C8" s="18" t="s">
        <v>99</v>
      </c>
      <c r="D8" s="18" t="s">
        <v>4</v>
      </c>
      <c r="E8" s="79">
        <v>39840</v>
      </c>
      <c r="F8" s="18">
        <v>12</v>
      </c>
      <c r="G8" s="19" t="s">
        <v>1137</v>
      </c>
      <c r="H8" s="74">
        <v>0.375</v>
      </c>
      <c r="I8" s="74">
        <v>0.79166666666666663</v>
      </c>
      <c r="J8" s="74">
        <v>0.41666666666666669</v>
      </c>
      <c r="K8" s="18" t="s">
        <v>53</v>
      </c>
      <c r="L8" s="18" t="s">
        <v>53</v>
      </c>
      <c r="M8" s="18" t="s">
        <v>55</v>
      </c>
      <c r="N8" s="29" t="s">
        <v>1138</v>
      </c>
      <c r="O8" s="18" t="s">
        <v>55</v>
      </c>
      <c r="P8" s="18" t="s">
        <v>55</v>
      </c>
    </row>
    <row r="9" spans="1:16" x14ac:dyDescent="0.3">
      <c r="A9" s="18">
        <v>8</v>
      </c>
      <c r="B9" s="19">
        <v>45292</v>
      </c>
      <c r="C9" s="18" t="s">
        <v>61</v>
      </c>
      <c r="D9" s="18" t="s">
        <v>4</v>
      </c>
      <c r="E9" s="79">
        <v>35954</v>
      </c>
      <c r="F9" s="18">
        <v>10</v>
      </c>
      <c r="G9" s="19">
        <v>45597</v>
      </c>
      <c r="H9" s="74">
        <v>0.33333333333333331</v>
      </c>
      <c r="I9" s="74">
        <v>0.79166666666666663</v>
      </c>
      <c r="J9" s="74">
        <v>0.45833333333333331</v>
      </c>
      <c r="K9" s="18" t="s">
        <v>53</v>
      </c>
      <c r="L9" s="18" t="s">
        <v>53</v>
      </c>
      <c r="M9" s="18" t="s">
        <v>55</v>
      </c>
      <c r="N9" s="29" t="s">
        <v>1139</v>
      </c>
      <c r="O9" s="18" t="s">
        <v>55</v>
      </c>
      <c r="P9" s="18" t="s">
        <v>55</v>
      </c>
    </row>
    <row r="10" spans="1:16" x14ac:dyDescent="0.3">
      <c r="A10" s="18">
        <v>9</v>
      </c>
      <c r="B10" s="19">
        <v>45323</v>
      </c>
      <c r="C10" s="18" t="s">
        <v>61</v>
      </c>
      <c r="D10" s="18" t="s">
        <v>4</v>
      </c>
      <c r="E10" s="79">
        <v>25900</v>
      </c>
      <c r="F10" s="18">
        <v>10</v>
      </c>
      <c r="G10" s="19">
        <v>45597</v>
      </c>
      <c r="H10" s="74">
        <v>0.33333333333333331</v>
      </c>
      <c r="I10" s="74">
        <v>0.625</v>
      </c>
      <c r="J10" s="74">
        <v>0.29166666666666669</v>
      </c>
      <c r="K10" s="18" t="s">
        <v>53</v>
      </c>
      <c r="L10" s="18" t="s">
        <v>53</v>
      </c>
      <c r="M10" s="18" t="s">
        <v>55</v>
      </c>
      <c r="N10" s="29" t="s">
        <v>1140</v>
      </c>
      <c r="O10" s="18" t="s">
        <v>55</v>
      </c>
      <c r="P10" s="18" t="s">
        <v>55</v>
      </c>
    </row>
    <row r="11" spans="1:16" x14ac:dyDescent="0.3">
      <c r="A11" s="18">
        <v>10</v>
      </c>
      <c r="B11" s="19">
        <v>45292</v>
      </c>
      <c r="C11" s="18" t="s">
        <v>105</v>
      </c>
      <c r="D11" s="18" t="s">
        <v>4</v>
      </c>
      <c r="E11" s="79">
        <v>25900</v>
      </c>
      <c r="F11" s="18">
        <v>10</v>
      </c>
      <c r="G11" s="19">
        <v>45597</v>
      </c>
      <c r="H11" s="74">
        <v>0.33333333333333331</v>
      </c>
      <c r="I11" s="74">
        <v>0.77083333333333337</v>
      </c>
      <c r="J11" s="74">
        <v>0.4375</v>
      </c>
      <c r="K11" s="18" t="s">
        <v>53</v>
      </c>
      <c r="L11" s="18" t="s">
        <v>53</v>
      </c>
      <c r="M11" s="18" t="s">
        <v>55</v>
      </c>
      <c r="N11" s="29" t="s">
        <v>1141</v>
      </c>
      <c r="O11" s="18" t="s">
        <v>55</v>
      </c>
      <c r="P11" s="18" t="s">
        <v>55</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5E520-83BA-489F-B777-872AA94668BF}">
  <sheetPr codeName="Advisory"/>
  <dimension ref="A1:R6"/>
  <sheetViews>
    <sheetView workbookViewId="0">
      <selection activeCell="D19" sqref="D19"/>
    </sheetView>
  </sheetViews>
  <sheetFormatPr defaultRowHeight="14.4" x14ac:dyDescent="0.3"/>
  <cols>
    <col min="1" max="1" width="8.88671875" style="18"/>
    <col min="2" max="2" width="14.88671875" style="18" customWidth="1"/>
    <col min="3" max="3" width="26.109375" customWidth="1"/>
    <col min="4" max="4" width="13.6640625" bestFit="1" customWidth="1"/>
    <col min="5" max="5" width="17.33203125" customWidth="1"/>
    <col min="6" max="7" width="16.6640625" style="18" customWidth="1"/>
    <col min="8" max="8" width="16.6640625" customWidth="1"/>
    <col min="9" max="9" width="15.33203125" customWidth="1"/>
    <col min="10" max="10" width="11.88671875" style="50" customWidth="1"/>
    <col min="11" max="11" width="15.88671875" customWidth="1"/>
    <col min="12" max="12" width="17.5546875" customWidth="1"/>
    <col min="14" max="14" width="20.44140625" customWidth="1"/>
    <col min="15" max="15" width="13.77734375" style="18" customWidth="1"/>
    <col min="16" max="16" width="8.88671875" style="18"/>
    <col min="18" max="18" width="12" bestFit="1" customWidth="1"/>
  </cols>
  <sheetData>
    <row r="1" spans="1:18" s="18" customFormat="1" ht="57.6" x14ac:dyDescent="0.3">
      <c r="A1" s="69" t="s">
        <v>1012</v>
      </c>
      <c r="B1" s="31" t="s">
        <v>1147</v>
      </c>
      <c r="C1" s="23" t="s">
        <v>19</v>
      </c>
      <c r="D1" s="24" t="s">
        <v>3</v>
      </c>
      <c r="E1" s="78" t="s">
        <v>25</v>
      </c>
      <c r="F1" s="23" t="s">
        <v>27</v>
      </c>
      <c r="G1" s="22" t="s">
        <v>33</v>
      </c>
      <c r="H1" s="75" t="s">
        <v>1148</v>
      </c>
      <c r="I1" s="75" t="s">
        <v>1149</v>
      </c>
      <c r="J1" s="49" t="s">
        <v>36</v>
      </c>
      <c r="K1" s="25" t="s">
        <v>37</v>
      </c>
      <c r="L1" s="26" t="s">
        <v>38</v>
      </c>
      <c r="M1" s="27" t="s">
        <v>47</v>
      </c>
      <c r="N1" s="27" t="s">
        <v>48</v>
      </c>
      <c r="O1" s="27" t="s">
        <v>49</v>
      </c>
      <c r="P1" s="28" t="s">
        <v>50</v>
      </c>
    </row>
    <row r="2" spans="1:18" x14ac:dyDescent="0.3">
      <c r="A2" s="66">
        <v>1</v>
      </c>
      <c r="B2" s="18" t="s">
        <v>956</v>
      </c>
      <c r="C2" t="s">
        <v>101</v>
      </c>
      <c r="D2" t="s">
        <v>5</v>
      </c>
      <c r="E2" s="58">
        <v>1254000</v>
      </c>
      <c r="F2" s="18">
        <v>15</v>
      </c>
      <c r="G2" s="18" t="s">
        <v>957</v>
      </c>
      <c r="H2" s="46">
        <v>0.33333333333333331</v>
      </c>
      <c r="I2" s="46">
        <v>0.75</v>
      </c>
      <c r="J2" s="50">
        <v>0.41666666666666669</v>
      </c>
      <c r="K2" t="s">
        <v>53</v>
      </c>
      <c r="L2" t="s">
        <v>51</v>
      </c>
      <c r="M2" t="s">
        <v>55</v>
      </c>
      <c r="N2" t="s">
        <v>958</v>
      </c>
      <c r="O2" s="18" t="s">
        <v>55</v>
      </c>
      <c r="P2" s="18" t="s">
        <v>55</v>
      </c>
      <c r="R2" t="s">
        <v>102</v>
      </c>
    </row>
    <row r="3" spans="1:18" x14ac:dyDescent="0.3">
      <c r="A3" s="66">
        <v>2</v>
      </c>
      <c r="B3" s="18" t="s">
        <v>961</v>
      </c>
      <c r="C3" t="s">
        <v>102</v>
      </c>
      <c r="D3" t="s">
        <v>4</v>
      </c>
      <c r="E3" s="58">
        <v>1257450</v>
      </c>
      <c r="F3" s="18">
        <v>25</v>
      </c>
      <c r="G3" s="19">
        <v>45658</v>
      </c>
      <c r="H3" s="46">
        <v>0.33333333333333331</v>
      </c>
      <c r="I3" s="46">
        <v>0.70833333333333337</v>
      </c>
      <c r="J3" s="50">
        <v>0.375</v>
      </c>
      <c r="K3" t="s">
        <v>53</v>
      </c>
      <c r="L3" t="s">
        <v>53</v>
      </c>
      <c r="M3" t="s">
        <v>56</v>
      </c>
      <c r="N3" t="s">
        <v>962</v>
      </c>
      <c r="O3" s="18" t="s">
        <v>55</v>
      </c>
      <c r="P3" s="18" t="s">
        <v>56</v>
      </c>
      <c r="R3" s="50">
        <f>SUMIF(C2:C6,R2,J2:J6)</f>
        <v>1.1666666666666667</v>
      </c>
    </row>
    <row r="4" spans="1:18" x14ac:dyDescent="0.3">
      <c r="A4" s="66">
        <v>3</v>
      </c>
      <c r="B4" s="19">
        <v>45292</v>
      </c>
      <c r="C4" t="s">
        <v>102</v>
      </c>
      <c r="D4" t="s">
        <v>6</v>
      </c>
      <c r="E4" s="58">
        <v>0</v>
      </c>
      <c r="F4" s="18">
        <v>25</v>
      </c>
      <c r="G4" s="19">
        <v>45658</v>
      </c>
      <c r="H4" s="46">
        <v>0.33333333333333331</v>
      </c>
      <c r="I4" s="46">
        <v>0.70833333333333337</v>
      </c>
      <c r="J4" s="50">
        <v>0.375</v>
      </c>
      <c r="K4" t="s">
        <v>51</v>
      </c>
      <c r="L4" t="s">
        <v>51</v>
      </c>
      <c r="M4" t="s">
        <v>55</v>
      </c>
      <c r="N4" t="s">
        <v>963</v>
      </c>
      <c r="O4" s="18" t="s">
        <v>55</v>
      </c>
      <c r="P4" s="18" t="s">
        <v>56</v>
      </c>
    </row>
    <row r="5" spans="1:18" x14ac:dyDescent="0.3">
      <c r="A5" s="66">
        <v>4</v>
      </c>
      <c r="B5" s="19">
        <v>45292</v>
      </c>
      <c r="C5" t="s">
        <v>108</v>
      </c>
      <c r="D5" t="s">
        <v>5</v>
      </c>
      <c r="E5" s="58">
        <v>0</v>
      </c>
      <c r="F5" s="18">
        <v>25</v>
      </c>
      <c r="G5" s="18" t="s">
        <v>965</v>
      </c>
      <c r="H5" s="46">
        <v>0.33333333333333331</v>
      </c>
      <c r="I5" s="46">
        <v>0.70833333333333337</v>
      </c>
      <c r="J5" s="50">
        <v>0.375</v>
      </c>
      <c r="K5" t="s">
        <v>53</v>
      </c>
      <c r="L5" t="s">
        <v>51</v>
      </c>
      <c r="M5" t="s">
        <v>55</v>
      </c>
      <c r="N5" t="s">
        <v>966</v>
      </c>
      <c r="O5" s="18" t="s">
        <v>55</v>
      </c>
      <c r="P5" s="18" t="s">
        <v>55</v>
      </c>
    </row>
    <row r="6" spans="1:18" x14ac:dyDescent="0.3">
      <c r="A6" s="18">
        <v>5</v>
      </c>
      <c r="B6" s="19">
        <v>45292</v>
      </c>
      <c r="C6" t="s">
        <v>102</v>
      </c>
      <c r="D6" t="s">
        <v>4</v>
      </c>
      <c r="E6" s="58">
        <v>25900</v>
      </c>
      <c r="F6" s="18">
        <v>10</v>
      </c>
      <c r="G6" s="18" t="s">
        <v>1127</v>
      </c>
      <c r="H6" s="46">
        <v>0.33333333333333331</v>
      </c>
      <c r="I6" s="46">
        <v>0.75</v>
      </c>
      <c r="J6" s="50">
        <v>0.41666666666666669</v>
      </c>
      <c r="K6" t="s">
        <v>53</v>
      </c>
      <c r="L6" t="s">
        <v>53</v>
      </c>
      <c r="M6" t="s">
        <v>55</v>
      </c>
      <c r="N6" t="s">
        <v>1128</v>
      </c>
      <c r="O6" s="18" t="s">
        <v>55</v>
      </c>
      <c r="P6" s="18" t="s">
        <v>55</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405DC-D2C5-49E3-AA5C-B5189C48B330}">
  <sheetPr codeName="Administrative"/>
  <dimension ref="A1:P5"/>
  <sheetViews>
    <sheetView workbookViewId="0">
      <selection activeCell="D14" sqref="D14"/>
    </sheetView>
  </sheetViews>
  <sheetFormatPr defaultRowHeight="14.4" x14ac:dyDescent="0.3"/>
  <cols>
    <col min="1" max="1" width="8.88671875" style="66"/>
    <col min="2" max="2" width="10.77734375" style="19" customWidth="1"/>
    <col min="3" max="3" width="23.33203125" customWidth="1"/>
    <col min="4" max="4" width="12.33203125" style="18" customWidth="1"/>
    <col min="5" max="5" width="14.44140625" style="51" customWidth="1"/>
    <col min="6" max="6" width="10.88671875" style="18" customWidth="1"/>
    <col min="7" max="7" width="10.33203125" style="47" bestFit="1" customWidth="1"/>
    <col min="8" max="8" width="14.44140625" style="48" customWidth="1"/>
    <col min="9" max="9" width="11" style="48" customWidth="1"/>
    <col min="10" max="10" width="10.33203125" style="50" customWidth="1"/>
    <col min="11" max="11" width="12.21875" customWidth="1"/>
    <col min="12" max="12" width="12.33203125" style="18" customWidth="1"/>
    <col min="13" max="13" width="10" style="18" customWidth="1"/>
    <col min="14" max="14" width="43.5546875" customWidth="1"/>
    <col min="15" max="15" width="15.88671875" style="18" customWidth="1"/>
    <col min="16" max="16" width="14.6640625" style="18" customWidth="1"/>
  </cols>
  <sheetData>
    <row r="1" spans="1:16" s="18" customFormat="1" ht="57.6" x14ac:dyDescent="0.3">
      <c r="A1" s="69" t="s">
        <v>1012</v>
      </c>
      <c r="B1" s="31" t="s">
        <v>1147</v>
      </c>
      <c r="C1" s="23" t="s">
        <v>19</v>
      </c>
      <c r="D1" s="24" t="s">
        <v>3</v>
      </c>
      <c r="E1" s="78" t="s">
        <v>25</v>
      </c>
      <c r="F1" s="23" t="s">
        <v>27</v>
      </c>
      <c r="G1" s="22" t="s">
        <v>33</v>
      </c>
      <c r="H1" s="75" t="s">
        <v>1148</v>
      </c>
      <c r="I1" s="75" t="s">
        <v>1149</v>
      </c>
      <c r="J1" s="49" t="s">
        <v>36</v>
      </c>
      <c r="K1" s="25" t="s">
        <v>37</v>
      </c>
      <c r="L1" s="26" t="s">
        <v>38</v>
      </c>
      <c r="M1" s="27" t="s">
        <v>47</v>
      </c>
      <c r="N1" s="27" t="s">
        <v>48</v>
      </c>
      <c r="O1" s="27" t="s">
        <v>49</v>
      </c>
      <c r="P1" s="28" t="s">
        <v>50</v>
      </c>
    </row>
    <row r="2" spans="1:16" x14ac:dyDescent="0.3">
      <c r="A2" s="66">
        <v>1</v>
      </c>
      <c r="B2" s="19">
        <v>45292</v>
      </c>
      <c r="C2" t="s">
        <v>897</v>
      </c>
      <c r="D2" s="18" t="s">
        <v>4</v>
      </c>
      <c r="E2" s="51">
        <v>100</v>
      </c>
      <c r="F2" s="18">
        <v>2</v>
      </c>
      <c r="G2" s="47">
        <v>45352</v>
      </c>
      <c r="H2" s="48">
        <v>0.375</v>
      </c>
      <c r="I2" s="48">
        <v>0.70833333333333337</v>
      </c>
      <c r="J2" s="50">
        <v>0.33333333333333331</v>
      </c>
      <c r="K2" t="s">
        <v>53</v>
      </c>
      <c r="L2" s="18" t="s">
        <v>51</v>
      </c>
      <c r="M2" s="18" t="s">
        <v>55</v>
      </c>
      <c r="N2" t="s">
        <v>959</v>
      </c>
      <c r="O2" s="18" t="s">
        <v>55</v>
      </c>
      <c r="P2" s="18" t="s">
        <v>55</v>
      </c>
    </row>
    <row r="3" spans="1:16" x14ac:dyDescent="0.3">
      <c r="A3" s="66">
        <v>2</v>
      </c>
      <c r="B3" s="19">
        <v>45292</v>
      </c>
      <c r="C3" t="s">
        <v>897</v>
      </c>
      <c r="D3" s="18" t="s">
        <v>4</v>
      </c>
      <c r="E3" s="58">
        <v>2200</v>
      </c>
      <c r="F3" s="18">
        <v>5</v>
      </c>
      <c r="G3" s="47">
        <v>45658</v>
      </c>
      <c r="H3" s="48">
        <v>0.33333333333333331</v>
      </c>
      <c r="I3" s="48">
        <v>0.70833333333333337</v>
      </c>
      <c r="J3" s="50">
        <v>0.375</v>
      </c>
      <c r="K3" t="s">
        <v>51</v>
      </c>
      <c r="L3" s="18" t="s">
        <v>53</v>
      </c>
      <c r="M3" s="18" t="s">
        <v>55</v>
      </c>
      <c r="N3" t="s">
        <v>964</v>
      </c>
      <c r="O3" s="18" t="s">
        <v>55</v>
      </c>
      <c r="P3" s="18" t="s">
        <v>55</v>
      </c>
    </row>
    <row r="4" spans="1:16" x14ac:dyDescent="0.3">
      <c r="A4" s="66">
        <v>3</v>
      </c>
      <c r="B4" s="19">
        <v>44197</v>
      </c>
      <c r="C4" t="s">
        <v>897</v>
      </c>
      <c r="D4" s="18" t="s">
        <v>4</v>
      </c>
      <c r="E4" s="58">
        <v>12500</v>
      </c>
      <c r="F4" s="18">
        <v>2</v>
      </c>
      <c r="G4" s="47">
        <v>44256</v>
      </c>
      <c r="H4" s="48">
        <v>0.33333333333333331</v>
      </c>
      <c r="I4" s="48">
        <v>0.73611111111111116</v>
      </c>
      <c r="J4" s="50">
        <v>0.40277777777777779</v>
      </c>
      <c r="K4" t="s">
        <v>53</v>
      </c>
      <c r="L4" s="18" t="s">
        <v>53</v>
      </c>
      <c r="M4" s="18" t="s">
        <v>55</v>
      </c>
      <c r="N4" t="s">
        <v>1013</v>
      </c>
      <c r="O4" s="18" t="s">
        <v>55</v>
      </c>
      <c r="P4" s="18" t="s">
        <v>55</v>
      </c>
    </row>
    <row r="5" spans="1:16" x14ac:dyDescent="0.3">
      <c r="A5" s="18">
        <v>4</v>
      </c>
      <c r="B5" s="19">
        <v>45292</v>
      </c>
      <c r="C5" t="s">
        <v>1017</v>
      </c>
      <c r="D5" s="18" t="s">
        <v>5</v>
      </c>
      <c r="E5" s="51">
        <v>84900</v>
      </c>
      <c r="F5" s="18">
        <v>10</v>
      </c>
      <c r="G5" s="47">
        <v>45597</v>
      </c>
      <c r="H5" s="48">
        <v>0.33333333333333331</v>
      </c>
      <c r="I5" s="48">
        <v>0.625</v>
      </c>
      <c r="J5" s="50">
        <v>0.29166666666666669</v>
      </c>
      <c r="K5" t="s">
        <v>53</v>
      </c>
      <c r="L5" s="18" t="s">
        <v>53</v>
      </c>
      <c r="M5" s="18" t="s">
        <v>55</v>
      </c>
      <c r="N5" t="s">
        <v>1132</v>
      </c>
      <c r="O5" s="18" t="s">
        <v>55</v>
      </c>
      <c r="P5" s="18" t="s">
        <v>55</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12308-8361-4EC9-8F76-5884636195DB}">
  <sheetPr codeName="LegalActivity"/>
  <dimension ref="A1:P7"/>
  <sheetViews>
    <sheetView workbookViewId="0">
      <selection activeCell="E10" sqref="E10"/>
    </sheetView>
  </sheetViews>
  <sheetFormatPr defaultRowHeight="14.4" x14ac:dyDescent="0.3"/>
  <cols>
    <col min="1" max="1" width="7.5546875" style="18" customWidth="1"/>
    <col min="2" max="2" width="14.21875" style="18" customWidth="1"/>
    <col min="3" max="3" width="16" style="18" customWidth="1"/>
    <col min="4" max="4" width="13.21875" style="18" customWidth="1"/>
    <col min="5" max="5" width="15.77734375" style="18" customWidth="1"/>
    <col min="6" max="6" width="10.5546875" customWidth="1"/>
    <col min="7" max="7" width="12.44140625" style="19" customWidth="1"/>
    <col min="8" max="8" width="14.5546875" customWidth="1"/>
    <col min="9" max="9" width="10.77734375" customWidth="1"/>
    <col min="12" max="12" width="10.33203125" customWidth="1"/>
    <col min="13" max="13" width="12.77734375" customWidth="1"/>
    <col min="14" max="14" width="13.88671875" customWidth="1"/>
    <col min="15" max="15" width="18.109375" customWidth="1"/>
    <col min="16" max="16" width="15.44140625" customWidth="1"/>
  </cols>
  <sheetData>
    <row r="1" spans="1:16" s="18" customFormat="1" ht="57.6" x14ac:dyDescent="0.3">
      <c r="A1" s="69" t="s">
        <v>1012</v>
      </c>
      <c r="B1" s="31" t="s">
        <v>1147</v>
      </c>
      <c r="C1" s="23" t="s">
        <v>19</v>
      </c>
      <c r="D1" s="24" t="s">
        <v>3</v>
      </c>
      <c r="E1" s="78" t="s">
        <v>25</v>
      </c>
      <c r="F1" s="23" t="s">
        <v>27</v>
      </c>
      <c r="G1" s="22" t="s">
        <v>33</v>
      </c>
      <c r="H1" s="75" t="s">
        <v>1148</v>
      </c>
      <c r="I1" s="75" t="s">
        <v>1149</v>
      </c>
      <c r="J1" s="49" t="s">
        <v>36</v>
      </c>
      <c r="K1" s="25" t="s">
        <v>37</v>
      </c>
      <c r="L1" s="26" t="s">
        <v>38</v>
      </c>
      <c r="M1" s="27" t="s">
        <v>47</v>
      </c>
      <c r="N1" s="27" t="s">
        <v>48</v>
      </c>
      <c r="O1" s="27" t="s">
        <v>49</v>
      </c>
      <c r="P1" s="28" t="s">
        <v>50</v>
      </c>
    </row>
    <row r="2" spans="1:16" x14ac:dyDescent="0.3">
      <c r="E2" s="77"/>
    </row>
    <row r="7" spans="1:16" x14ac:dyDescent="0.3">
      <c r="H7" s="18"/>
      <c r="I7" s="18"/>
      <c r="J7" s="18"/>
      <c r="K7" s="18"/>
      <c r="L7" s="18"/>
      <c r="M7" s="18"/>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47AD8-7637-4181-89FE-124E83DE747E}">
  <sheetPr codeName="Compliance"/>
  <dimension ref="A1:AN4049"/>
  <sheetViews>
    <sheetView workbookViewId="0">
      <selection sqref="A1:A2"/>
    </sheetView>
  </sheetViews>
  <sheetFormatPr defaultColWidth="9.21875" defaultRowHeight="14.4" x14ac:dyDescent="0.3"/>
  <cols>
    <col min="1" max="1" width="9.21875" style="45"/>
    <col min="2" max="2" width="25" style="45" customWidth="1"/>
    <col min="3" max="3" width="35" style="45" bestFit="1" customWidth="1"/>
    <col min="4" max="4" width="30.77734375" style="45" bestFit="1" customWidth="1"/>
    <col min="5" max="5" width="11.77734375" style="45" bestFit="1" customWidth="1"/>
    <col min="6" max="6" width="41.44140625" style="45" customWidth="1"/>
    <col min="7" max="7" width="44.44140625" style="45" customWidth="1"/>
    <col min="8" max="9" width="18" style="45" bestFit="1" customWidth="1"/>
    <col min="10" max="13" width="13.21875" style="45" customWidth="1"/>
    <col min="14" max="14" width="14.77734375" style="45" customWidth="1"/>
    <col min="15" max="15" width="17.77734375" style="45" customWidth="1"/>
    <col min="16" max="16" width="14.77734375" style="61" customWidth="1"/>
    <col min="17" max="17" width="14.21875" style="57" customWidth="1"/>
    <col min="18" max="18" width="13.21875" style="62" bestFit="1" customWidth="1"/>
    <col min="19" max="33" width="23.21875" style="45" bestFit="1" customWidth="1"/>
    <col min="34" max="35" width="18" style="45" customWidth="1"/>
    <col min="36" max="36" width="22.77734375" style="45" customWidth="1"/>
    <col min="37" max="37" width="16.44140625" style="45" customWidth="1"/>
    <col min="38" max="38" width="28.44140625" style="45" customWidth="1"/>
    <col min="39" max="39" width="16.5546875" customWidth="1"/>
    <col min="40" max="40" width="16" customWidth="1"/>
  </cols>
  <sheetData>
    <row r="1" spans="1:40" s="33" customFormat="1" ht="33.75" customHeight="1" thickBot="1" x14ac:dyDescent="0.35">
      <c r="A1" s="117" t="s">
        <v>1012</v>
      </c>
      <c r="B1" s="131" t="s">
        <v>1133</v>
      </c>
      <c r="C1" s="117" t="s">
        <v>898</v>
      </c>
      <c r="D1" s="129" t="s">
        <v>0</v>
      </c>
      <c r="E1" s="117" t="s">
        <v>899</v>
      </c>
      <c r="F1" s="117" t="s">
        <v>23</v>
      </c>
      <c r="G1" s="117" t="s">
        <v>31</v>
      </c>
      <c r="H1" s="119" t="s">
        <v>900</v>
      </c>
      <c r="I1" s="120"/>
      <c r="J1" s="120"/>
      <c r="K1" s="121"/>
      <c r="L1" s="121"/>
      <c r="M1" s="121"/>
      <c r="N1" s="122"/>
      <c r="O1" s="123" t="s">
        <v>37</v>
      </c>
      <c r="P1" s="125" t="s">
        <v>901</v>
      </c>
      <c r="Q1" s="126"/>
      <c r="R1" s="127"/>
      <c r="S1" s="55" t="s">
        <v>902</v>
      </c>
      <c r="T1" s="55" t="s">
        <v>903</v>
      </c>
      <c r="U1" s="56" t="s">
        <v>904</v>
      </c>
      <c r="V1" s="55" t="s">
        <v>905</v>
      </c>
      <c r="W1" s="55" t="s">
        <v>906</v>
      </c>
      <c r="X1" s="55" t="s">
        <v>907</v>
      </c>
      <c r="Y1" s="55" t="s">
        <v>908</v>
      </c>
      <c r="Z1" s="55" t="s">
        <v>909</v>
      </c>
      <c r="AA1" s="55" t="s">
        <v>910</v>
      </c>
      <c r="AB1" s="55" t="s">
        <v>911</v>
      </c>
      <c r="AC1" s="55" t="s">
        <v>912</v>
      </c>
      <c r="AD1" s="55" t="s">
        <v>913</v>
      </c>
      <c r="AE1" s="55" t="s">
        <v>914</v>
      </c>
      <c r="AF1" s="55" t="s">
        <v>915</v>
      </c>
      <c r="AG1" s="55" t="s">
        <v>916</v>
      </c>
      <c r="AH1" s="110" t="s">
        <v>45</v>
      </c>
      <c r="AI1" s="110" t="s">
        <v>46</v>
      </c>
      <c r="AJ1" s="112" t="s">
        <v>917</v>
      </c>
      <c r="AK1" s="114" t="s">
        <v>918</v>
      </c>
      <c r="AL1" s="108" t="s">
        <v>919</v>
      </c>
      <c r="AM1" s="108" t="s">
        <v>920</v>
      </c>
      <c r="AN1" s="108" t="s">
        <v>921</v>
      </c>
    </row>
    <row r="2" spans="1:40" s="33" customFormat="1" ht="28.5" customHeight="1" thickBot="1" x14ac:dyDescent="0.35">
      <c r="A2" s="118"/>
      <c r="B2" s="132"/>
      <c r="C2" s="128"/>
      <c r="D2" s="130"/>
      <c r="E2" s="128"/>
      <c r="F2" s="128"/>
      <c r="G2" s="128"/>
      <c r="H2" s="34" t="s">
        <v>922</v>
      </c>
      <c r="I2" s="52" t="s">
        <v>923</v>
      </c>
      <c r="J2" s="52" t="s">
        <v>924</v>
      </c>
      <c r="K2" s="53" t="s">
        <v>925</v>
      </c>
      <c r="L2" s="34" t="s">
        <v>926</v>
      </c>
      <c r="M2" s="34" t="s">
        <v>967</v>
      </c>
      <c r="N2" s="34" t="s">
        <v>35</v>
      </c>
      <c r="O2" s="124"/>
      <c r="P2" s="60" t="s">
        <v>927</v>
      </c>
      <c r="Q2" s="54" t="s">
        <v>928</v>
      </c>
      <c r="R2" s="63" t="s">
        <v>929</v>
      </c>
      <c r="S2" s="35" t="s">
        <v>968</v>
      </c>
      <c r="T2" s="35" t="s">
        <v>968</v>
      </c>
      <c r="U2" s="35" t="s">
        <v>968</v>
      </c>
      <c r="V2" s="35" t="s">
        <v>968</v>
      </c>
      <c r="W2" s="35" t="s">
        <v>968</v>
      </c>
      <c r="X2" s="35" t="s">
        <v>968</v>
      </c>
      <c r="Y2" s="35" t="s">
        <v>968</v>
      </c>
      <c r="Z2" s="35" t="s">
        <v>968</v>
      </c>
      <c r="AA2" s="35" t="s">
        <v>968</v>
      </c>
      <c r="AB2" s="35" t="s">
        <v>968</v>
      </c>
      <c r="AC2" s="35" t="s">
        <v>968</v>
      </c>
      <c r="AD2" s="35" t="s">
        <v>968</v>
      </c>
      <c r="AE2" s="35" t="s">
        <v>968</v>
      </c>
      <c r="AF2" s="35" t="s">
        <v>968</v>
      </c>
      <c r="AG2" s="35" t="s">
        <v>968</v>
      </c>
      <c r="AH2" s="111"/>
      <c r="AI2" s="111"/>
      <c r="AJ2" s="113"/>
      <c r="AK2" s="115"/>
      <c r="AL2" s="116"/>
      <c r="AM2" s="109"/>
      <c r="AN2" s="109"/>
    </row>
    <row r="3" spans="1:40" s="41" customFormat="1" x14ac:dyDescent="0.3">
      <c r="A3" s="70">
        <v>1</v>
      </c>
      <c r="B3" s="76"/>
      <c r="C3" s="36" t="s">
        <v>930</v>
      </c>
      <c r="D3" s="36" t="s">
        <v>931</v>
      </c>
      <c r="E3" s="36" t="s">
        <v>932</v>
      </c>
      <c r="F3" s="36" t="s">
        <v>11</v>
      </c>
      <c r="G3" s="36" t="s">
        <v>934</v>
      </c>
      <c r="H3" s="37">
        <v>45323</v>
      </c>
      <c r="I3" s="36"/>
      <c r="J3" s="36">
        <f>I3-H3</f>
        <v>-45323</v>
      </c>
      <c r="K3" s="36" t="s">
        <v>66</v>
      </c>
      <c r="L3" s="38">
        <v>1.0416666666666666E-2</v>
      </c>
      <c r="M3" s="38"/>
      <c r="N3" s="36"/>
      <c r="O3" s="36" t="s">
        <v>53</v>
      </c>
      <c r="P3" s="59"/>
      <c r="Q3" s="36"/>
      <c r="R3" s="39"/>
      <c r="S3" s="36">
        <v>1</v>
      </c>
      <c r="T3" s="36">
        <v>0</v>
      </c>
      <c r="U3" s="36">
        <v>1</v>
      </c>
      <c r="V3" s="36">
        <v>0</v>
      </c>
      <c r="W3" s="36">
        <v>1</v>
      </c>
      <c r="X3" s="36">
        <v>1</v>
      </c>
      <c r="Y3" s="40">
        <v>1</v>
      </c>
      <c r="Z3" s="36">
        <v>1</v>
      </c>
      <c r="AA3" s="36">
        <v>0</v>
      </c>
      <c r="AB3" s="36">
        <v>0</v>
      </c>
      <c r="AC3" s="36">
        <v>0</v>
      </c>
      <c r="AD3" s="36">
        <v>0</v>
      </c>
      <c r="AE3" s="36">
        <v>0</v>
      </c>
      <c r="AF3" s="36">
        <v>1</v>
      </c>
      <c r="AG3" s="36"/>
      <c r="AH3" s="36"/>
      <c r="AI3" s="36" t="str">
        <f>IF(AH3&lt;=15,"Low",IF(AH3&gt;=17,"High","Midium"))</f>
        <v>Low</v>
      </c>
      <c r="AJ3" s="36"/>
      <c r="AK3" s="40"/>
      <c r="AL3" s="40"/>
      <c r="AM3" s="40"/>
      <c r="AN3" s="40"/>
    </row>
    <row r="4" spans="1:40" s="41" customFormat="1" x14ac:dyDescent="0.3">
      <c r="A4" s="70">
        <v>2</v>
      </c>
      <c r="B4" s="76"/>
      <c r="C4" s="36" t="s">
        <v>911</v>
      </c>
      <c r="D4" s="40" t="s">
        <v>936</v>
      </c>
      <c r="E4" s="40" t="s">
        <v>937</v>
      </c>
      <c r="F4" s="40" t="s">
        <v>938</v>
      </c>
      <c r="G4" s="44" t="s">
        <v>939</v>
      </c>
      <c r="H4" s="37">
        <v>45316</v>
      </c>
      <c r="I4" s="43">
        <v>45327</v>
      </c>
      <c r="J4" s="36">
        <f>I4-H4</f>
        <v>11</v>
      </c>
      <c r="K4" s="36" t="s">
        <v>66</v>
      </c>
      <c r="L4" s="38">
        <v>6.25E-2</v>
      </c>
      <c r="M4" s="38"/>
      <c r="N4" s="36"/>
      <c r="O4" s="36" t="s">
        <v>51</v>
      </c>
      <c r="P4" s="59"/>
      <c r="Q4" s="36"/>
      <c r="R4" s="39"/>
      <c r="S4" s="36">
        <v>1</v>
      </c>
      <c r="T4" s="36">
        <v>0</v>
      </c>
      <c r="U4" s="36">
        <v>0</v>
      </c>
      <c r="V4" s="36">
        <v>0</v>
      </c>
      <c r="W4" s="36">
        <v>0</v>
      </c>
      <c r="X4" s="36">
        <v>0</v>
      </c>
      <c r="Y4" s="40">
        <v>0</v>
      </c>
      <c r="Z4" s="36">
        <v>0</v>
      </c>
      <c r="AA4" s="36">
        <v>0</v>
      </c>
      <c r="AB4" s="36">
        <v>2</v>
      </c>
      <c r="AC4" s="36">
        <v>0</v>
      </c>
      <c r="AD4" s="36">
        <v>0</v>
      </c>
      <c r="AE4" s="36">
        <v>0</v>
      </c>
      <c r="AF4" s="36">
        <v>0</v>
      </c>
      <c r="AG4" s="36"/>
      <c r="AH4" s="36"/>
      <c r="AI4" s="36" t="str">
        <f t="shared" ref="AI4:AI5" si="0">IF(AH4&lt;=15,"Low",IF(AH4&gt;=17,"High","Midium"))</f>
        <v>Low</v>
      </c>
      <c r="AJ4" s="42" t="s">
        <v>935</v>
      </c>
      <c r="AK4" s="40" t="s">
        <v>65</v>
      </c>
      <c r="AL4" s="44"/>
      <c r="AM4" s="40"/>
      <c r="AN4" s="40"/>
    </row>
    <row r="5" spans="1:40" s="41" customFormat="1" ht="43.2" x14ac:dyDescent="0.3">
      <c r="A5" s="70">
        <v>3</v>
      </c>
      <c r="B5" s="76"/>
      <c r="C5" s="36" t="s">
        <v>910</v>
      </c>
      <c r="D5" s="40" t="s">
        <v>940</v>
      </c>
      <c r="E5" s="40" t="s">
        <v>937</v>
      </c>
      <c r="F5" s="40" t="s">
        <v>12</v>
      </c>
      <c r="G5" s="44" t="s">
        <v>941</v>
      </c>
      <c r="H5" s="37">
        <v>45323</v>
      </c>
      <c r="I5" s="43">
        <v>45329</v>
      </c>
      <c r="J5" s="36">
        <f>I5-H5</f>
        <v>6</v>
      </c>
      <c r="K5" s="36" t="s">
        <v>66</v>
      </c>
      <c r="L5" s="38">
        <v>4.1666666666666664E-2</v>
      </c>
      <c r="M5" s="38"/>
      <c r="N5" s="36"/>
      <c r="O5" s="36" t="s">
        <v>51</v>
      </c>
      <c r="P5" s="59"/>
      <c r="Q5" s="36"/>
      <c r="R5" s="39"/>
      <c r="S5" s="36">
        <v>1</v>
      </c>
      <c r="T5" s="36">
        <v>0</v>
      </c>
      <c r="U5" s="36">
        <v>0</v>
      </c>
      <c r="V5" s="36">
        <v>0</v>
      </c>
      <c r="W5" s="36">
        <v>0</v>
      </c>
      <c r="X5" s="36">
        <v>0</v>
      </c>
      <c r="Y5" s="40">
        <v>0</v>
      </c>
      <c r="Z5" s="36">
        <v>0</v>
      </c>
      <c r="AA5" s="36">
        <v>2</v>
      </c>
      <c r="AB5" s="36">
        <v>0</v>
      </c>
      <c r="AC5" s="36">
        <v>0</v>
      </c>
      <c r="AD5" s="36">
        <v>0</v>
      </c>
      <c r="AE5" s="36">
        <v>0</v>
      </c>
      <c r="AF5" s="36">
        <v>0</v>
      </c>
      <c r="AG5" s="36"/>
      <c r="AH5" s="36"/>
      <c r="AI5" s="36" t="str">
        <f t="shared" si="0"/>
        <v>Low</v>
      </c>
      <c r="AJ5" s="42" t="s">
        <v>942</v>
      </c>
      <c r="AK5" s="40" t="s">
        <v>66</v>
      </c>
      <c r="AL5" s="44" t="s">
        <v>943</v>
      </c>
      <c r="AM5" s="40" t="s">
        <v>66</v>
      </c>
      <c r="AN5" s="40" t="s">
        <v>66</v>
      </c>
    </row>
    <row r="6" spans="1:40" s="41" customFormat="1" x14ac:dyDescent="0.3">
      <c r="A6" s="70">
        <v>4</v>
      </c>
      <c r="B6" s="76"/>
      <c r="C6" s="36" t="s">
        <v>914</v>
      </c>
      <c r="D6" s="40" t="s">
        <v>944</v>
      </c>
      <c r="E6" s="40" t="s">
        <v>937</v>
      </c>
      <c r="F6" s="40" t="s">
        <v>933</v>
      </c>
      <c r="G6" s="40" t="s">
        <v>945</v>
      </c>
      <c r="H6" s="37">
        <v>45327</v>
      </c>
      <c r="I6" s="36"/>
      <c r="J6" s="36">
        <f t="shared" ref="J6:J12" si="1">I6-H6</f>
        <v>-45327</v>
      </c>
      <c r="K6" s="36" t="s">
        <v>66</v>
      </c>
      <c r="L6" s="38">
        <v>2.7777777777777776E-2</v>
      </c>
      <c r="M6" s="38"/>
      <c r="N6" s="36"/>
      <c r="O6" s="36" t="s">
        <v>53</v>
      </c>
      <c r="P6" s="59"/>
      <c r="Q6" s="36"/>
      <c r="R6" s="64"/>
      <c r="S6" s="36">
        <v>0</v>
      </c>
      <c r="T6" s="36">
        <v>0</v>
      </c>
      <c r="U6" s="36">
        <v>0</v>
      </c>
      <c r="V6" s="36">
        <v>0</v>
      </c>
      <c r="W6" s="36">
        <v>0</v>
      </c>
      <c r="X6" s="36">
        <v>0</v>
      </c>
      <c r="Y6" s="40">
        <v>0</v>
      </c>
      <c r="Z6" s="36">
        <v>0</v>
      </c>
      <c r="AA6" s="36">
        <v>0</v>
      </c>
      <c r="AB6" s="36">
        <v>0</v>
      </c>
      <c r="AC6" s="36">
        <v>0</v>
      </c>
      <c r="AD6" s="36">
        <v>0</v>
      </c>
      <c r="AE6" s="36">
        <v>1</v>
      </c>
      <c r="AF6" s="36">
        <v>0</v>
      </c>
      <c r="AG6" s="36"/>
      <c r="AH6" s="36"/>
      <c r="AI6" s="36"/>
      <c r="AJ6" s="36"/>
      <c r="AK6" s="40"/>
      <c r="AL6" s="40"/>
      <c r="AM6" s="40"/>
      <c r="AN6" s="40"/>
    </row>
    <row r="7" spans="1:40" s="41" customFormat="1" x14ac:dyDescent="0.3">
      <c r="A7" s="70">
        <v>5</v>
      </c>
      <c r="B7" s="76"/>
      <c r="C7" s="36" t="s">
        <v>903</v>
      </c>
      <c r="D7" s="40" t="s">
        <v>944</v>
      </c>
      <c r="E7" s="40" t="s">
        <v>937</v>
      </c>
      <c r="F7" s="40" t="s">
        <v>933</v>
      </c>
      <c r="G7" s="40" t="s">
        <v>945</v>
      </c>
      <c r="H7" s="37">
        <v>45327</v>
      </c>
      <c r="I7" s="36"/>
      <c r="J7" s="36">
        <f t="shared" si="1"/>
        <v>-45327</v>
      </c>
      <c r="K7" s="36" t="s">
        <v>66</v>
      </c>
      <c r="L7" s="38">
        <v>2.7777777777777776E-2</v>
      </c>
      <c r="M7" s="38"/>
      <c r="N7" s="36"/>
      <c r="O7" s="36" t="s">
        <v>53</v>
      </c>
      <c r="P7" s="59"/>
      <c r="Q7" s="36"/>
      <c r="R7" s="64"/>
      <c r="S7" s="36">
        <v>0</v>
      </c>
      <c r="T7" s="36">
        <v>1</v>
      </c>
      <c r="U7" s="36">
        <v>0</v>
      </c>
      <c r="V7" s="36">
        <v>0</v>
      </c>
      <c r="W7" s="36">
        <v>0</v>
      </c>
      <c r="X7" s="36">
        <v>0</v>
      </c>
      <c r="Y7" s="40">
        <v>0</v>
      </c>
      <c r="Z7" s="36">
        <v>0</v>
      </c>
      <c r="AA7" s="36">
        <v>0</v>
      </c>
      <c r="AB7" s="36">
        <v>0</v>
      </c>
      <c r="AC7" s="36">
        <v>0</v>
      </c>
      <c r="AD7" s="36">
        <v>0</v>
      </c>
      <c r="AE7" s="36">
        <v>0</v>
      </c>
      <c r="AF7" s="36">
        <v>0</v>
      </c>
      <c r="AG7" s="36"/>
      <c r="AH7" s="36"/>
      <c r="AI7" s="36"/>
      <c r="AJ7" s="36"/>
      <c r="AK7" s="40"/>
      <c r="AL7" s="40"/>
      <c r="AM7" s="40"/>
      <c r="AN7" s="40"/>
    </row>
    <row r="8" spans="1:40" s="41" customFormat="1" ht="43.2" x14ac:dyDescent="0.3">
      <c r="A8" s="70">
        <v>6</v>
      </c>
      <c r="B8" s="76"/>
      <c r="C8" s="36" t="s">
        <v>910</v>
      </c>
      <c r="D8" s="40" t="s">
        <v>931</v>
      </c>
      <c r="E8" s="40" t="s">
        <v>937</v>
      </c>
      <c r="F8" s="40" t="s">
        <v>938</v>
      </c>
      <c r="G8" s="44" t="s">
        <v>946</v>
      </c>
      <c r="H8" s="37">
        <v>45327</v>
      </c>
      <c r="I8" s="36"/>
      <c r="J8" s="36">
        <f t="shared" si="1"/>
        <v>-45327</v>
      </c>
      <c r="K8" s="36" t="s">
        <v>66</v>
      </c>
      <c r="L8" s="38">
        <v>8.3333333333333329E-2</v>
      </c>
      <c r="M8" s="38"/>
      <c r="N8" s="36"/>
      <c r="O8" s="36" t="s">
        <v>53</v>
      </c>
      <c r="P8" s="59"/>
      <c r="Q8" s="36"/>
      <c r="R8" s="64"/>
      <c r="S8" s="36">
        <v>0</v>
      </c>
      <c r="T8" s="36">
        <v>0</v>
      </c>
      <c r="U8" s="36">
        <v>0</v>
      </c>
      <c r="V8" s="36">
        <v>0</v>
      </c>
      <c r="W8" s="36">
        <v>0</v>
      </c>
      <c r="X8" s="36">
        <v>0</v>
      </c>
      <c r="Y8" s="40">
        <v>0</v>
      </c>
      <c r="Z8" s="36">
        <v>0</v>
      </c>
      <c r="AA8" s="36">
        <v>1</v>
      </c>
      <c r="AB8" s="36">
        <v>0</v>
      </c>
      <c r="AC8" s="36">
        <v>0</v>
      </c>
      <c r="AD8" s="36">
        <v>0</v>
      </c>
      <c r="AE8" s="36">
        <v>0</v>
      </c>
      <c r="AF8" s="36">
        <v>0</v>
      </c>
      <c r="AG8" s="36"/>
      <c r="AH8" s="36"/>
      <c r="AI8" s="36"/>
      <c r="AJ8" s="36"/>
      <c r="AK8" s="40"/>
      <c r="AL8" s="40"/>
      <c r="AM8" s="40"/>
      <c r="AN8" s="40"/>
    </row>
    <row r="9" spans="1:40" s="41" customFormat="1" ht="43.2" x14ac:dyDescent="0.3">
      <c r="A9" s="70">
        <v>7</v>
      </c>
      <c r="B9" s="76"/>
      <c r="C9" s="36" t="s">
        <v>910</v>
      </c>
      <c r="D9" s="40" t="s">
        <v>947</v>
      </c>
      <c r="E9" s="40" t="s">
        <v>937</v>
      </c>
      <c r="F9" s="40" t="s">
        <v>938</v>
      </c>
      <c r="G9" s="44" t="s">
        <v>948</v>
      </c>
      <c r="H9" s="37">
        <v>45329</v>
      </c>
      <c r="I9" s="36"/>
      <c r="J9" s="36">
        <f t="shared" si="1"/>
        <v>-45329</v>
      </c>
      <c r="K9" s="36" t="s">
        <v>66</v>
      </c>
      <c r="L9" s="38">
        <v>0.1111111111111111</v>
      </c>
      <c r="M9" s="38"/>
      <c r="N9" s="36"/>
      <c r="O9" s="36" t="s">
        <v>53</v>
      </c>
      <c r="P9" s="59"/>
      <c r="Q9" s="36"/>
      <c r="R9" s="64"/>
      <c r="S9" s="36">
        <v>0</v>
      </c>
      <c r="T9" s="36">
        <v>0</v>
      </c>
      <c r="U9" s="36">
        <v>0</v>
      </c>
      <c r="V9" s="36">
        <v>0</v>
      </c>
      <c r="W9" s="36">
        <v>0</v>
      </c>
      <c r="X9" s="36">
        <v>0</v>
      </c>
      <c r="Y9" s="40">
        <v>0</v>
      </c>
      <c r="Z9" s="36">
        <v>0</v>
      </c>
      <c r="AA9" s="36">
        <v>1</v>
      </c>
      <c r="AB9" s="36">
        <v>0</v>
      </c>
      <c r="AC9" s="36">
        <v>0</v>
      </c>
      <c r="AD9" s="36">
        <v>0</v>
      </c>
      <c r="AE9" s="36">
        <v>0</v>
      </c>
      <c r="AF9" s="36">
        <v>0</v>
      </c>
      <c r="AG9" s="36"/>
      <c r="AH9" s="36"/>
      <c r="AI9" s="36"/>
      <c r="AJ9" s="36"/>
      <c r="AK9" s="40"/>
      <c r="AL9" s="40"/>
      <c r="AM9" s="40"/>
      <c r="AN9" s="40"/>
    </row>
    <row r="10" spans="1:40" ht="43.2" x14ac:dyDescent="0.3">
      <c r="A10" s="70">
        <v>8</v>
      </c>
      <c r="B10" s="76"/>
      <c r="C10" s="36" t="s">
        <v>911</v>
      </c>
      <c r="D10" s="40" t="s">
        <v>949</v>
      </c>
      <c r="E10" s="40" t="s">
        <v>937</v>
      </c>
      <c r="F10" s="40" t="s">
        <v>938</v>
      </c>
      <c r="G10" s="44" t="s">
        <v>950</v>
      </c>
      <c r="H10" s="37">
        <v>45329</v>
      </c>
      <c r="I10" s="36"/>
      <c r="J10" s="36">
        <f t="shared" si="1"/>
        <v>-45329</v>
      </c>
      <c r="K10" s="36" t="s">
        <v>66</v>
      </c>
      <c r="L10" s="38">
        <v>4.1666666666666664E-2</v>
      </c>
      <c r="M10" s="38"/>
      <c r="N10" s="36"/>
      <c r="O10" s="36" t="s">
        <v>53</v>
      </c>
      <c r="P10" s="59"/>
      <c r="Q10" s="36"/>
      <c r="S10" s="36">
        <v>0</v>
      </c>
      <c r="T10" s="36">
        <v>0</v>
      </c>
      <c r="U10" s="36">
        <v>0</v>
      </c>
      <c r="V10" s="36">
        <v>0</v>
      </c>
      <c r="W10" s="36">
        <v>0</v>
      </c>
      <c r="X10" s="36">
        <v>0</v>
      </c>
      <c r="Y10" s="40">
        <v>0</v>
      </c>
      <c r="Z10" s="36">
        <v>0</v>
      </c>
      <c r="AA10" s="36">
        <v>0</v>
      </c>
      <c r="AB10" s="36">
        <v>1</v>
      </c>
      <c r="AC10" s="36">
        <v>0</v>
      </c>
      <c r="AD10" s="36">
        <v>0</v>
      </c>
      <c r="AE10" s="36">
        <v>0</v>
      </c>
      <c r="AF10" s="36">
        <v>0</v>
      </c>
      <c r="AG10" s="36"/>
      <c r="AH10" s="36"/>
      <c r="AI10" s="36"/>
      <c r="AJ10" s="36"/>
      <c r="AK10" s="40"/>
      <c r="AL10" s="40"/>
      <c r="AM10" s="40"/>
      <c r="AN10" s="40"/>
    </row>
    <row r="11" spans="1:40" ht="28.8" x14ac:dyDescent="0.3">
      <c r="A11" s="70">
        <v>9</v>
      </c>
      <c r="B11" s="76"/>
      <c r="C11" s="36" t="s">
        <v>907</v>
      </c>
      <c r="D11" s="40" t="s">
        <v>951</v>
      </c>
      <c r="E11" s="40" t="s">
        <v>937</v>
      </c>
      <c r="F11" s="40" t="s">
        <v>938</v>
      </c>
      <c r="G11" s="44" t="s">
        <v>952</v>
      </c>
      <c r="H11" s="37">
        <v>45329</v>
      </c>
      <c r="I11" s="43">
        <v>45330</v>
      </c>
      <c r="J11" s="36">
        <f t="shared" si="1"/>
        <v>1</v>
      </c>
      <c r="K11" s="36" t="s">
        <v>65</v>
      </c>
      <c r="L11" s="38">
        <v>0.10416666666666667</v>
      </c>
      <c r="M11" s="38"/>
      <c r="N11" s="36"/>
      <c r="O11" s="36" t="s">
        <v>51</v>
      </c>
      <c r="P11" s="59"/>
      <c r="Q11" s="36"/>
      <c r="S11" s="36">
        <v>0</v>
      </c>
      <c r="T11" s="36">
        <v>0</v>
      </c>
      <c r="U11" s="36">
        <v>0</v>
      </c>
      <c r="V11" s="36">
        <v>0</v>
      </c>
      <c r="W11" s="36">
        <v>0</v>
      </c>
      <c r="X11" s="36">
        <v>0</v>
      </c>
      <c r="Y11" s="40">
        <v>0</v>
      </c>
      <c r="Z11" s="36">
        <v>0</v>
      </c>
      <c r="AA11" s="36">
        <v>0</v>
      </c>
      <c r="AB11" s="36">
        <v>0</v>
      </c>
      <c r="AC11" s="36">
        <v>0</v>
      </c>
      <c r="AD11" s="36">
        <v>0</v>
      </c>
      <c r="AE11" s="36">
        <v>0</v>
      </c>
      <c r="AF11" s="36">
        <v>0</v>
      </c>
      <c r="AG11" s="36"/>
      <c r="AH11" s="36"/>
      <c r="AI11" s="36"/>
      <c r="AJ11" s="36"/>
      <c r="AK11" s="40"/>
      <c r="AL11" s="40"/>
      <c r="AM11" s="40"/>
      <c r="AN11" s="40"/>
    </row>
    <row r="12" spans="1:40" x14ac:dyDescent="0.3">
      <c r="A12" s="70">
        <v>10</v>
      </c>
      <c r="B12" s="76"/>
      <c r="C12" s="36" t="s">
        <v>953</v>
      </c>
      <c r="D12" s="40" t="s">
        <v>931</v>
      </c>
      <c r="E12" s="40" t="s">
        <v>937</v>
      </c>
      <c r="F12" s="40" t="s">
        <v>933</v>
      </c>
      <c r="G12" s="40" t="s">
        <v>954</v>
      </c>
      <c r="H12" s="37">
        <v>45330</v>
      </c>
      <c r="I12" s="43">
        <v>45330</v>
      </c>
      <c r="J12" s="36">
        <f t="shared" si="1"/>
        <v>0</v>
      </c>
      <c r="K12" s="36" t="s">
        <v>66</v>
      </c>
      <c r="L12" s="38">
        <v>2.0833333333333332E-2</v>
      </c>
      <c r="M12" s="38"/>
      <c r="N12" s="36"/>
      <c r="O12" s="36" t="s">
        <v>51</v>
      </c>
      <c r="P12" s="59"/>
      <c r="Q12" s="36"/>
      <c r="S12" s="36">
        <v>0</v>
      </c>
      <c r="T12" s="36">
        <v>0</v>
      </c>
      <c r="U12" s="36">
        <v>0</v>
      </c>
      <c r="V12" s="36">
        <v>0</v>
      </c>
      <c r="W12" s="36">
        <v>0</v>
      </c>
      <c r="X12" s="36">
        <v>0</v>
      </c>
      <c r="Y12" s="40">
        <v>0</v>
      </c>
      <c r="Z12" s="36">
        <v>0</v>
      </c>
      <c r="AA12" s="36">
        <v>0</v>
      </c>
      <c r="AB12" s="36">
        <v>0</v>
      </c>
      <c r="AC12" s="36">
        <v>0</v>
      </c>
      <c r="AD12" s="36">
        <v>0</v>
      </c>
      <c r="AE12" s="36">
        <v>0</v>
      </c>
      <c r="AF12" s="36">
        <v>0</v>
      </c>
      <c r="AG12" s="36"/>
      <c r="AH12" s="36"/>
      <c r="AI12" s="36"/>
      <c r="AJ12" s="36"/>
      <c r="AK12" s="40"/>
      <c r="AL12" s="40"/>
      <c r="AM12" s="40"/>
      <c r="AN12" s="40"/>
    </row>
    <row r="13" spans="1:40" ht="43.2" x14ac:dyDescent="0.3">
      <c r="A13" s="70">
        <v>11</v>
      </c>
      <c r="B13" s="76"/>
      <c r="C13" s="36" t="s">
        <v>906</v>
      </c>
      <c r="D13" s="40" t="s">
        <v>951</v>
      </c>
      <c r="E13" s="40" t="s">
        <v>89</v>
      </c>
      <c r="F13" s="40" t="s">
        <v>933</v>
      </c>
      <c r="G13" s="44" t="s">
        <v>955</v>
      </c>
      <c r="H13" s="37">
        <v>45330</v>
      </c>
      <c r="I13" s="36"/>
      <c r="J13" s="36"/>
      <c r="K13" s="36" t="s">
        <v>66</v>
      </c>
      <c r="L13" s="38">
        <v>1.0416666666666666E-2</v>
      </c>
      <c r="M13" s="38"/>
      <c r="N13" s="36"/>
      <c r="O13" s="36" t="s">
        <v>53</v>
      </c>
      <c r="P13" s="59"/>
      <c r="Q13" s="36"/>
      <c r="S13" s="36">
        <v>0</v>
      </c>
      <c r="T13" s="36">
        <v>0</v>
      </c>
      <c r="U13" s="36">
        <v>0</v>
      </c>
      <c r="V13" s="36">
        <v>0</v>
      </c>
      <c r="W13" s="36">
        <v>0</v>
      </c>
      <c r="X13" s="36">
        <v>0</v>
      </c>
      <c r="Y13" s="40">
        <v>0</v>
      </c>
      <c r="Z13" s="36">
        <v>0</v>
      </c>
      <c r="AA13" s="36">
        <v>0</v>
      </c>
      <c r="AB13" s="36">
        <v>0</v>
      </c>
      <c r="AC13" s="36">
        <v>0</v>
      </c>
      <c r="AD13" s="36">
        <v>0</v>
      </c>
      <c r="AE13" s="36">
        <v>0</v>
      </c>
      <c r="AF13" s="36">
        <v>0</v>
      </c>
      <c r="AG13" s="36"/>
      <c r="AH13" s="36"/>
      <c r="AI13" s="36"/>
      <c r="AJ13" s="36"/>
      <c r="AK13" s="40"/>
      <c r="AL13" s="40"/>
      <c r="AM13" s="40"/>
      <c r="AN13" s="40"/>
    </row>
    <row r="14" spans="1:40" x14ac:dyDescent="0.3">
      <c r="A14" s="70"/>
      <c r="B14" s="76"/>
      <c r="C14" s="36"/>
      <c r="D14" s="40"/>
      <c r="E14" s="40"/>
      <c r="F14" s="40"/>
      <c r="G14" s="40"/>
      <c r="H14" s="37"/>
      <c r="I14" s="36"/>
      <c r="J14" s="36"/>
      <c r="K14" s="36"/>
      <c r="L14" s="36"/>
      <c r="M14" s="36"/>
      <c r="N14" s="36"/>
      <c r="O14" s="40"/>
      <c r="P14" s="59"/>
      <c r="Q14" s="36"/>
      <c r="S14" s="36"/>
      <c r="T14" s="36"/>
      <c r="U14" s="36"/>
      <c r="V14" s="36"/>
      <c r="W14" s="36"/>
      <c r="X14" s="36"/>
      <c r="Y14" s="40"/>
      <c r="Z14" s="36"/>
      <c r="AA14" s="36"/>
      <c r="AB14" s="36"/>
      <c r="AC14" s="36"/>
      <c r="AD14" s="36"/>
      <c r="AE14" s="36"/>
      <c r="AF14" s="36"/>
      <c r="AG14" s="36"/>
      <c r="AH14" s="36"/>
      <c r="AI14" s="36"/>
      <c r="AJ14" s="36"/>
      <c r="AK14" s="40"/>
      <c r="AL14" s="40"/>
      <c r="AM14" s="40"/>
      <c r="AN14" s="40"/>
    </row>
    <row r="15" spans="1:40" x14ac:dyDescent="0.3">
      <c r="A15" s="70"/>
      <c r="B15" s="76"/>
      <c r="C15" s="36"/>
      <c r="D15" s="40"/>
      <c r="E15" s="40"/>
      <c r="F15" s="40"/>
      <c r="G15" s="40"/>
      <c r="H15" s="37"/>
      <c r="I15" s="36"/>
      <c r="J15" s="36"/>
      <c r="K15" s="36"/>
      <c r="L15" s="36"/>
      <c r="M15" s="36"/>
      <c r="N15" s="36"/>
      <c r="O15" s="40"/>
      <c r="P15" s="59"/>
      <c r="Q15" s="36"/>
      <c r="S15" s="36"/>
      <c r="T15" s="36"/>
      <c r="U15" s="36"/>
      <c r="V15" s="36"/>
      <c r="W15" s="36"/>
      <c r="X15" s="36"/>
      <c r="Y15" s="40"/>
      <c r="Z15" s="36"/>
      <c r="AA15" s="36"/>
      <c r="AB15" s="36"/>
      <c r="AC15" s="36"/>
      <c r="AD15" s="36"/>
      <c r="AE15" s="36"/>
      <c r="AF15" s="36"/>
      <c r="AG15" s="36"/>
      <c r="AH15" s="36"/>
      <c r="AI15" s="36"/>
      <c r="AJ15" s="36"/>
      <c r="AK15" s="40"/>
      <c r="AL15" s="40"/>
      <c r="AM15" s="40"/>
      <c r="AN15" s="40"/>
    </row>
    <row r="16" spans="1:40" x14ac:dyDescent="0.3">
      <c r="A16" s="70"/>
      <c r="B16" s="76"/>
      <c r="C16" s="36"/>
      <c r="D16" s="40"/>
      <c r="E16" s="40"/>
      <c r="F16" s="40"/>
      <c r="G16" s="40"/>
      <c r="H16" s="37"/>
      <c r="I16" s="36"/>
      <c r="J16" s="36"/>
      <c r="K16" s="36"/>
      <c r="L16" s="36"/>
      <c r="M16" s="36"/>
      <c r="N16" s="36"/>
      <c r="O16" s="40"/>
      <c r="P16" s="59"/>
      <c r="Q16" s="36"/>
      <c r="S16" s="36"/>
      <c r="T16" s="36"/>
      <c r="U16" s="36"/>
      <c r="V16" s="36"/>
      <c r="W16" s="36"/>
      <c r="X16" s="36"/>
      <c r="Y16" s="40"/>
      <c r="Z16" s="36"/>
      <c r="AA16" s="36"/>
      <c r="AB16" s="36"/>
      <c r="AC16" s="36"/>
      <c r="AD16" s="36"/>
      <c r="AE16" s="36"/>
      <c r="AF16" s="36"/>
      <c r="AG16" s="36"/>
      <c r="AH16" s="36"/>
      <c r="AI16" s="36"/>
      <c r="AJ16" s="36"/>
      <c r="AK16" s="40"/>
      <c r="AL16" s="40"/>
      <c r="AM16" s="40"/>
      <c r="AN16" s="40"/>
    </row>
    <row r="17" spans="1:40" x14ac:dyDescent="0.3">
      <c r="A17" s="70"/>
      <c r="B17" s="76"/>
      <c r="C17" s="36"/>
      <c r="D17" s="40"/>
      <c r="E17" s="40"/>
      <c r="F17" s="40"/>
      <c r="G17" s="40"/>
      <c r="H17" s="37"/>
      <c r="I17" s="36"/>
      <c r="J17" s="36"/>
      <c r="K17" s="36"/>
      <c r="L17" s="36"/>
      <c r="M17" s="36"/>
      <c r="N17" s="36"/>
      <c r="O17" s="40"/>
      <c r="P17" s="59"/>
      <c r="Q17" s="36"/>
      <c r="S17" s="36"/>
      <c r="T17" s="36"/>
      <c r="U17" s="36"/>
      <c r="V17" s="36"/>
      <c r="W17" s="36"/>
      <c r="X17" s="36"/>
      <c r="Y17" s="40"/>
      <c r="Z17" s="36"/>
      <c r="AA17" s="36"/>
      <c r="AB17" s="36"/>
      <c r="AC17" s="36"/>
      <c r="AD17" s="36"/>
      <c r="AE17" s="36"/>
      <c r="AF17" s="36"/>
      <c r="AG17" s="36"/>
      <c r="AH17" s="36"/>
      <c r="AI17" s="36"/>
      <c r="AJ17" s="36"/>
      <c r="AK17" s="40"/>
      <c r="AL17" s="40"/>
      <c r="AM17" s="40"/>
      <c r="AN17" s="40"/>
    </row>
    <row r="18" spans="1:40" x14ac:dyDescent="0.3">
      <c r="A18" s="70"/>
      <c r="B18" s="76"/>
      <c r="C18" s="36"/>
      <c r="D18" s="40"/>
      <c r="E18" s="40"/>
      <c r="F18" s="40"/>
      <c r="G18" s="40"/>
      <c r="H18" s="37"/>
      <c r="I18" s="36"/>
      <c r="J18" s="36"/>
      <c r="K18" s="36"/>
      <c r="L18" s="36"/>
      <c r="M18" s="36"/>
      <c r="N18" s="36"/>
      <c r="O18" s="40"/>
      <c r="P18" s="59"/>
      <c r="Q18" s="36"/>
      <c r="S18" s="36"/>
      <c r="T18" s="36"/>
      <c r="U18" s="36"/>
      <c r="V18" s="36"/>
      <c r="W18" s="36"/>
      <c r="X18" s="36"/>
      <c r="Y18" s="40"/>
      <c r="Z18" s="36"/>
      <c r="AA18" s="36"/>
      <c r="AB18" s="36"/>
      <c r="AC18" s="36"/>
      <c r="AD18" s="36"/>
      <c r="AE18" s="36"/>
      <c r="AF18" s="36"/>
      <c r="AG18" s="36"/>
      <c r="AH18" s="36"/>
      <c r="AI18" s="36"/>
      <c r="AJ18" s="36"/>
      <c r="AK18" s="40"/>
      <c r="AL18" s="40"/>
      <c r="AM18" s="40"/>
      <c r="AN18" s="40"/>
    </row>
    <row r="19" spans="1:40" x14ac:dyDescent="0.3">
      <c r="A19" s="70"/>
      <c r="B19" s="76"/>
      <c r="C19" s="36"/>
      <c r="D19" s="40"/>
      <c r="E19" s="40"/>
      <c r="F19" s="40"/>
      <c r="G19" s="40"/>
      <c r="H19" s="37"/>
      <c r="I19" s="36"/>
      <c r="J19" s="36"/>
      <c r="K19" s="36"/>
      <c r="L19" s="36"/>
      <c r="M19" s="36"/>
      <c r="N19" s="36"/>
      <c r="O19" s="40"/>
      <c r="P19" s="59"/>
      <c r="Q19" s="36"/>
      <c r="S19" s="36"/>
      <c r="T19" s="36"/>
      <c r="U19" s="36"/>
      <c r="V19" s="36"/>
      <c r="W19" s="36"/>
      <c r="X19" s="36"/>
      <c r="Y19" s="40"/>
      <c r="Z19" s="36"/>
      <c r="AA19" s="36"/>
      <c r="AB19" s="36"/>
      <c r="AC19" s="36"/>
      <c r="AD19" s="36"/>
      <c r="AE19" s="36"/>
      <c r="AF19" s="36"/>
      <c r="AG19" s="36"/>
      <c r="AH19" s="36"/>
      <c r="AI19" s="36"/>
      <c r="AJ19" s="36"/>
      <c r="AK19" s="40"/>
      <c r="AL19" s="40"/>
      <c r="AM19" s="40"/>
      <c r="AN19" s="40"/>
    </row>
    <row r="20" spans="1:40" x14ac:dyDescent="0.3">
      <c r="A20" s="70"/>
      <c r="B20" s="76"/>
      <c r="C20" s="36"/>
      <c r="D20" s="40"/>
      <c r="E20" s="40"/>
      <c r="F20" s="40"/>
      <c r="G20" s="40"/>
      <c r="H20" s="37"/>
      <c r="I20" s="36"/>
      <c r="J20" s="36"/>
      <c r="K20" s="36"/>
      <c r="L20" s="36"/>
      <c r="M20" s="36"/>
      <c r="N20" s="36"/>
      <c r="O20" s="40"/>
      <c r="P20" s="59"/>
      <c r="Q20" s="36"/>
      <c r="S20" s="36"/>
      <c r="T20" s="36"/>
      <c r="U20" s="36"/>
      <c r="V20" s="36"/>
      <c r="W20" s="36"/>
      <c r="X20" s="36"/>
      <c r="Y20" s="40"/>
      <c r="Z20" s="36"/>
      <c r="AA20" s="36"/>
      <c r="AB20" s="36"/>
      <c r="AC20" s="36"/>
      <c r="AD20" s="36"/>
      <c r="AE20" s="36"/>
      <c r="AF20" s="36"/>
      <c r="AG20" s="36"/>
      <c r="AH20" s="36"/>
      <c r="AI20" s="36"/>
      <c r="AJ20" s="36"/>
      <c r="AK20" s="40"/>
      <c r="AL20" s="40"/>
      <c r="AM20" s="40"/>
      <c r="AN20" s="40"/>
    </row>
    <row r="21" spans="1:40" x14ac:dyDescent="0.3">
      <c r="A21" s="70"/>
      <c r="B21" s="76"/>
      <c r="C21" s="36"/>
      <c r="D21" s="40"/>
      <c r="E21" s="40"/>
      <c r="F21" s="40"/>
      <c r="G21" s="40"/>
      <c r="H21" s="37"/>
      <c r="I21" s="36"/>
      <c r="J21" s="36"/>
      <c r="K21" s="36"/>
      <c r="L21" s="36"/>
      <c r="M21" s="36"/>
      <c r="N21" s="36"/>
      <c r="O21" s="40"/>
      <c r="P21" s="59"/>
      <c r="Q21" s="36"/>
      <c r="S21" s="36"/>
      <c r="T21" s="36"/>
      <c r="U21" s="36"/>
      <c r="V21" s="36"/>
      <c r="W21" s="36"/>
      <c r="X21" s="36"/>
      <c r="Y21" s="40"/>
      <c r="Z21" s="36"/>
      <c r="AA21" s="36"/>
      <c r="AB21" s="36"/>
      <c r="AC21" s="36"/>
      <c r="AD21" s="36"/>
      <c r="AE21" s="36"/>
      <c r="AF21" s="36"/>
      <c r="AG21" s="36"/>
      <c r="AH21" s="36"/>
      <c r="AI21" s="36"/>
      <c r="AJ21" s="36"/>
      <c r="AK21" s="40"/>
      <c r="AL21" s="40"/>
      <c r="AM21" s="40"/>
      <c r="AN21" s="40"/>
    </row>
    <row r="22" spans="1:40" x14ac:dyDescent="0.3">
      <c r="A22" s="70"/>
      <c r="B22" s="76"/>
      <c r="C22" s="36"/>
      <c r="D22" s="40"/>
      <c r="E22" s="40"/>
      <c r="F22" s="40"/>
      <c r="G22" s="40"/>
      <c r="H22" s="37"/>
      <c r="I22" s="36"/>
      <c r="J22" s="36"/>
      <c r="K22" s="36"/>
      <c r="L22" s="36"/>
      <c r="M22" s="36"/>
      <c r="N22" s="36"/>
      <c r="O22" s="40"/>
      <c r="P22" s="59"/>
      <c r="Q22" s="36"/>
      <c r="S22" s="36"/>
      <c r="T22" s="36"/>
      <c r="U22" s="36"/>
      <c r="V22" s="36"/>
      <c r="W22" s="36"/>
      <c r="X22" s="36"/>
      <c r="Y22" s="40"/>
      <c r="Z22" s="36"/>
      <c r="AA22" s="36"/>
      <c r="AB22" s="36"/>
      <c r="AC22" s="36"/>
      <c r="AD22" s="36"/>
      <c r="AE22" s="36"/>
      <c r="AF22" s="36"/>
      <c r="AG22" s="36"/>
      <c r="AH22" s="36"/>
      <c r="AI22" s="36"/>
      <c r="AJ22" s="36"/>
      <c r="AK22" s="40"/>
      <c r="AL22" s="40"/>
      <c r="AM22" s="40"/>
      <c r="AN22" s="40"/>
    </row>
    <row r="23" spans="1:40" x14ac:dyDescent="0.3">
      <c r="A23" s="70"/>
      <c r="B23" s="76"/>
      <c r="C23" s="36"/>
      <c r="D23" s="40"/>
      <c r="E23" s="40"/>
      <c r="F23" s="40"/>
      <c r="G23" s="40"/>
      <c r="H23" s="37"/>
      <c r="I23" s="36"/>
      <c r="J23" s="36"/>
      <c r="K23" s="36"/>
      <c r="L23" s="36"/>
      <c r="M23" s="36"/>
      <c r="N23" s="36"/>
      <c r="O23" s="40"/>
      <c r="P23" s="59"/>
      <c r="Q23" s="36"/>
      <c r="S23" s="36"/>
      <c r="T23" s="36"/>
      <c r="U23" s="36"/>
      <c r="V23" s="36"/>
      <c r="W23" s="36"/>
      <c r="X23" s="36"/>
      <c r="Y23" s="40"/>
      <c r="Z23" s="36"/>
      <c r="AA23" s="36"/>
      <c r="AB23" s="36"/>
      <c r="AC23" s="36"/>
      <c r="AD23" s="36"/>
      <c r="AE23" s="36"/>
      <c r="AF23" s="36"/>
      <c r="AG23" s="36"/>
      <c r="AH23" s="36"/>
      <c r="AI23" s="36"/>
      <c r="AJ23" s="36"/>
      <c r="AK23" s="40"/>
      <c r="AL23" s="40"/>
      <c r="AM23" s="40"/>
      <c r="AN23" s="40"/>
    </row>
    <row r="24" spans="1:40" x14ac:dyDescent="0.3">
      <c r="A24" s="70"/>
      <c r="B24" s="76"/>
      <c r="C24" s="36"/>
      <c r="D24" s="40"/>
      <c r="E24" s="40"/>
      <c r="F24" s="40"/>
      <c r="G24" s="40"/>
      <c r="H24" s="37"/>
      <c r="I24" s="36"/>
      <c r="J24" s="36"/>
      <c r="K24" s="36"/>
      <c r="L24" s="36"/>
      <c r="M24" s="36"/>
      <c r="N24" s="36"/>
      <c r="O24" s="40"/>
      <c r="P24" s="59"/>
      <c r="Q24" s="36"/>
      <c r="S24" s="36"/>
      <c r="T24" s="36"/>
      <c r="U24" s="36"/>
      <c r="V24" s="36"/>
      <c r="W24" s="36"/>
      <c r="X24" s="36"/>
      <c r="Y24" s="40"/>
      <c r="Z24" s="36"/>
      <c r="AA24" s="36"/>
      <c r="AB24" s="36"/>
      <c r="AC24" s="36"/>
      <c r="AD24" s="36"/>
      <c r="AE24" s="36"/>
      <c r="AF24" s="36"/>
      <c r="AG24" s="36"/>
      <c r="AH24" s="36"/>
      <c r="AI24" s="36"/>
      <c r="AJ24" s="36"/>
      <c r="AK24" s="40"/>
      <c r="AL24" s="40"/>
      <c r="AM24" s="40"/>
      <c r="AN24" s="40"/>
    </row>
    <row r="25" spans="1:40" x14ac:dyDescent="0.3">
      <c r="A25" s="70"/>
      <c r="B25" s="76"/>
      <c r="C25" s="36"/>
      <c r="D25" s="40"/>
      <c r="E25" s="40"/>
      <c r="F25" s="40"/>
      <c r="G25" s="40"/>
      <c r="H25" s="37"/>
      <c r="I25" s="36"/>
      <c r="J25" s="36"/>
      <c r="K25" s="36"/>
      <c r="L25" s="36"/>
      <c r="M25" s="36"/>
      <c r="N25" s="36"/>
      <c r="O25" s="40"/>
      <c r="P25" s="59"/>
      <c r="Q25" s="36"/>
      <c r="S25" s="36"/>
      <c r="T25" s="36"/>
      <c r="U25" s="36"/>
      <c r="V25" s="36"/>
      <c r="W25" s="36"/>
      <c r="X25" s="36"/>
      <c r="Y25" s="40"/>
      <c r="Z25" s="36"/>
      <c r="AA25" s="36"/>
      <c r="AB25" s="36"/>
      <c r="AC25" s="36"/>
      <c r="AD25" s="36"/>
      <c r="AE25" s="36"/>
      <c r="AF25" s="36"/>
      <c r="AG25" s="36"/>
      <c r="AH25" s="36"/>
      <c r="AI25" s="36"/>
      <c r="AJ25" s="36"/>
      <c r="AK25" s="40"/>
      <c r="AL25" s="40"/>
      <c r="AM25" s="40"/>
      <c r="AN25" s="40"/>
    </row>
    <row r="26" spans="1:40" x14ac:dyDescent="0.3">
      <c r="A26" s="70"/>
      <c r="B26" s="76"/>
      <c r="C26" s="36"/>
      <c r="D26" s="40"/>
      <c r="E26" s="40"/>
      <c r="F26" s="40"/>
      <c r="G26" s="40"/>
      <c r="H26" s="37"/>
      <c r="I26" s="36"/>
      <c r="J26" s="36"/>
      <c r="K26" s="36"/>
      <c r="L26" s="36"/>
      <c r="M26" s="36"/>
      <c r="N26" s="36"/>
      <c r="O26" s="40"/>
      <c r="P26" s="59"/>
      <c r="Q26" s="36"/>
      <c r="S26" s="36"/>
      <c r="T26" s="36"/>
      <c r="U26" s="36"/>
      <c r="V26" s="36"/>
      <c r="W26" s="36"/>
      <c r="X26" s="36"/>
      <c r="Y26" s="40"/>
      <c r="Z26" s="36"/>
      <c r="AA26" s="36"/>
      <c r="AB26" s="36"/>
      <c r="AC26" s="36"/>
      <c r="AD26" s="36"/>
      <c r="AE26" s="36"/>
      <c r="AF26" s="36"/>
      <c r="AG26" s="36"/>
      <c r="AH26" s="36"/>
      <c r="AI26" s="36"/>
      <c r="AJ26" s="36"/>
      <c r="AK26" s="40"/>
      <c r="AL26" s="40"/>
      <c r="AM26" s="40"/>
      <c r="AN26" s="40"/>
    </row>
    <row r="27" spans="1:40" x14ac:dyDescent="0.3">
      <c r="A27" s="70"/>
      <c r="B27" s="76"/>
      <c r="C27" s="36"/>
      <c r="D27" s="40"/>
      <c r="E27" s="40"/>
      <c r="F27" s="40"/>
      <c r="G27" s="40"/>
      <c r="H27" s="37"/>
      <c r="I27" s="36"/>
      <c r="J27" s="36"/>
      <c r="K27" s="36"/>
      <c r="L27" s="36"/>
      <c r="M27" s="36"/>
      <c r="N27" s="36"/>
      <c r="O27" s="40"/>
      <c r="P27" s="59"/>
      <c r="Q27" s="36"/>
      <c r="S27" s="36"/>
      <c r="T27" s="36"/>
      <c r="U27" s="36"/>
      <c r="V27" s="36"/>
      <c r="W27" s="36"/>
      <c r="X27" s="36"/>
      <c r="Y27" s="40"/>
      <c r="Z27" s="36"/>
      <c r="AA27" s="36"/>
      <c r="AB27" s="36"/>
      <c r="AC27" s="36"/>
      <c r="AD27" s="36"/>
      <c r="AE27" s="36"/>
      <c r="AF27" s="36"/>
      <c r="AG27" s="36"/>
      <c r="AH27" s="36"/>
      <c r="AI27" s="36"/>
      <c r="AJ27" s="36"/>
      <c r="AK27" s="40"/>
      <c r="AL27" s="40"/>
      <c r="AM27" s="40"/>
      <c r="AN27" s="40"/>
    </row>
    <row r="28" spans="1:40" x14ac:dyDescent="0.3">
      <c r="A28" s="70"/>
      <c r="B28" s="76"/>
      <c r="C28" s="36"/>
      <c r="D28" s="40"/>
      <c r="E28" s="40"/>
      <c r="F28" s="40"/>
      <c r="G28" s="40"/>
      <c r="H28" s="37"/>
      <c r="I28" s="36"/>
      <c r="J28" s="36"/>
      <c r="K28" s="36"/>
      <c r="L28" s="36"/>
      <c r="M28" s="36"/>
      <c r="N28" s="36"/>
      <c r="O28" s="40"/>
      <c r="P28" s="59"/>
      <c r="Q28" s="36"/>
      <c r="S28" s="36"/>
      <c r="T28" s="36"/>
      <c r="U28" s="36"/>
      <c r="V28" s="36"/>
      <c r="W28" s="36"/>
      <c r="X28" s="36"/>
      <c r="Y28" s="40"/>
      <c r="Z28" s="36"/>
      <c r="AA28" s="36"/>
      <c r="AB28" s="36"/>
      <c r="AC28" s="36"/>
      <c r="AD28" s="36"/>
      <c r="AE28" s="36"/>
      <c r="AF28" s="36"/>
      <c r="AG28" s="36"/>
      <c r="AH28" s="36"/>
      <c r="AI28" s="36"/>
      <c r="AJ28" s="36"/>
      <c r="AK28" s="40"/>
      <c r="AL28" s="40"/>
      <c r="AM28" s="40"/>
      <c r="AN28" s="40"/>
    </row>
    <row r="29" spans="1:40" x14ac:dyDescent="0.3">
      <c r="A29" s="70"/>
      <c r="B29" s="76"/>
      <c r="C29" s="36"/>
      <c r="D29" s="40"/>
      <c r="E29" s="40"/>
      <c r="F29" s="40"/>
      <c r="G29" s="40"/>
      <c r="H29" s="37"/>
      <c r="I29" s="36"/>
      <c r="J29" s="36"/>
      <c r="K29" s="36"/>
      <c r="L29" s="36"/>
      <c r="M29" s="36"/>
      <c r="N29" s="36"/>
      <c r="O29" s="40"/>
      <c r="P29" s="59"/>
      <c r="Q29" s="36"/>
      <c r="S29" s="36"/>
      <c r="T29" s="36"/>
      <c r="U29" s="36"/>
      <c r="V29" s="36"/>
      <c r="W29" s="36"/>
      <c r="X29" s="36"/>
      <c r="Y29" s="40"/>
      <c r="Z29" s="36"/>
      <c r="AA29" s="36"/>
      <c r="AB29" s="36"/>
      <c r="AC29" s="36"/>
      <c r="AD29" s="36"/>
      <c r="AE29" s="36"/>
      <c r="AF29" s="36"/>
      <c r="AG29" s="36"/>
      <c r="AH29" s="36"/>
      <c r="AI29" s="36"/>
      <c r="AJ29" s="36"/>
      <c r="AK29" s="40"/>
      <c r="AL29" s="40"/>
      <c r="AM29" s="40"/>
      <c r="AN29" s="40"/>
    </row>
    <row r="30" spans="1:40" x14ac:dyDescent="0.3">
      <c r="A30" s="70"/>
      <c r="B30" s="76"/>
      <c r="C30" s="36"/>
      <c r="D30" s="40"/>
      <c r="E30" s="40"/>
      <c r="F30" s="40"/>
      <c r="G30" s="40"/>
      <c r="H30" s="37"/>
      <c r="I30" s="36"/>
      <c r="J30" s="36"/>
      <c r="K30" s="36"/>
      <c r="L30" s="36"/>
      <c r="M30" s="36"/>
      <c r="N30" s="36"/>
      <c r="O30" s="40"/>
      <c r="P30" s="59"/>
      <c r="Q30" s="36"/>
      <c r="S30" s="36"/>
      <c r="T30" s="36"/>
      <c r="U30" s="36"/>
      <c r="V30" s="36"/>
      <c r="W30" s="36"/>
      <c r="X30" s="36"/>
      <c r="Y30" s="40"/>
      <c r="Z30" s="36"/>
      <c r="AA30" s="36"/>
      <c r="AB30" s="36"/>
      <c r="AC30" s="36"/>
      <c r="AD30" s="36"/>
      <c r="AE30" s="36"/>
      <c r="AF30" s="36"/>
      <c r="AG30" s="36"/>
      <c r="AH30" s="36"/>
      <c r="AI30" s="36"/>
      <c r="AJ30" s="36"/>
      <c r="AK30" s="40"/>
      <c r="AL30" s="40"/>
      <c r="AM30" s="40"/>
      <c r="AN30" s="40"/>
    </row>
    <row r="31" spans="1:40" x14ac:dyDescent="0.3">
      <c r="A31" s="70"/>
      <c r="B31" s="76"/>
      <c r="C31" s="36"/>
      <c r="D31" s="40"/>
      <c r="E31" s="40"/>
      <c r="F31" s="40"/>
      <c r="G31" s="40"/>
      <c r="H31" s="37"/>
      <c r="I31" s="36"/>
      <c r="J31" s="36"/>
      <c r="K31" s="36"/>
      <c r="L31" s="36"/>
      <c r="M31" s="36"/>
      <c r="N31" s="36"/>
      <c r="O31" s="40"/>
      <c r="P31" s="59"/>
      <c r="Q31" s="36"/>
      <c r="S31" s="36"/>
      <c r="T31" s="36"/>
      <c r="U31" s="36"/>
      <c r="V31" s="36"/>
      <c r="W31" s="36"/>
      <c r="X31" s="36"/>
      <c r="Y31" s="40"/>
      <c r="Z31" s="36"/>
      <c r="AA31" s="36"/>
      <c r="AB31" s="36"/>
      <c r="AC31" s="36"/>
      <c r="AD31" s="36"/>
      <c r="AE31" s="36"/>
      <c r="AF31" s="36"/>
      <c r="AG31" s="36"/>
      <c r="AH31" s="36"/>
      <c r="AI31" s="36"/>
      <c r="AJ31" s="36"/>
      <c r="AK31" s="40"/>
      <c r="AL31" s="40"/>
      <c r="AM31" s="40"/>
      <c r="AN31" s="40"/>
    </row>
    <row r="32" spans="1:40" x14ac:dyDescent="0.3">
      <c r="A32" s="70"/>
      <c r="B32" s="76"/>
      <c r="C32" s="36"/>
      <c r="D32" s="40"/>
      <c r="E32" s="40"/>
      <c r="F32" s="40"/>
      <c r="G32" s="40"/>
      <c r="H32" s="37"/>
      <c r="I32" s="36"/>
      <c r="J32" s="36"/>
      <c r="K32" s="36"/>
      <c r="L32" s="36"/>
      <c r="M32" s="36"/>
      <c r="N32" s="36"/>
      <c r="O32" s="40"/>
      <c r="P32" s="59"/>
      <c r="Q32" s="36"/>
      <c r="S32" s="36"/>
      <c r="T32" s="36"/>
      <c r="U32" s="36"/>
      <c r="V32" s="36"/>
      <c r="W32" s="36"/>
      <c r="X32" s="36"/>
      <c r="Y32" s="40"/>
      <c r="Z32" s="36"/>
      <c r="AA32" s="36"/>
      <c r="AB32" s="36"/>
      <c r="AC32" s="36"/>
      <c r="AD32" s="36"/>
      <c r="AE32" s="36"/>
      <c r="AF32" s="36"/>
      <c r="AG32" s="36"/>
      <c r="AH32" s="36"/>
      <c r="AI32" s="36"/>
      <c r="AJ32" s="36"/>
      <c r="AK32" s="40"/>
      <c r="AL32" s="40"/>
      <c r="AM32" s="40"/>
      <c r="AN32" s="40"/>
    </row>
    <row r="33" spans="1:40" x14ac:dyDescent="0.3">
      <c r="A33" s="70"/>
      <c r="B33" s="76"/>
      <c r="C33" s="36"/>
      <c r="D33" s="40"/>
      <c r="E33" s="40"/>
      <c r="F33" s="40"/>
      <c r="G33" s="40"/>
      <c r="H33" s="37"/>
      <c r="I33" s="36"/>
      <c r="J33" s="36"/>
      <c r="K33" s="36"/>
      <c r="L33" s="36"/>
      <c r="M33" s="36"/>
      <c r="N33" s="36"/>
      <c r="O33" s="40"/>
      <c r="P33" s="59"/>
      <c r="Q33" s="36"/>
      <c r="S33" s="36"/>
      <c r="T33" s="36"/>
      <c r="U33" s="36"/>
      <c r="V33" s="36"/>
      <c r="W33" s="36"/>
      <c r="X33" s="36"/>
      <c r="Y33" s="40"/>
      <c r="Z33" s="36"/>
      <c r="AA33" s="36"/>
      <c r="AB33" s="36"/>
      <c r="AC33" s="36"/>
      <c r="AD33" s="36"/>
      <c r="AE33" s="36"/>
      <c r="AF33" s="36"/>
      <c r="AG33" s="36"/>
      <c r="AH33" s="36"/>
      <c r="AI33" s="36"/>
      <c r="AJ33" s="36"/>
      <c r="AK33" s="40"/>
      <c r="AL33" s="40"/>
      <c r="AM33" s="40"/>
      <c r="AN33" s="40"/>
    </row>
    <row r="34" spans="1:40" x14ac:dyDescent="0.3">
      <c r="A34" s="70"/>
      <c r="B34" s="76"/>
      <c r="C34" s="36"/>
      <c r="D34" s="40"/>
      <c r="E34" s="40"/>
      <c r="F34" s="40"/>
      <c r="G34" s="40"/>
      <c r="H34" s="37"/>
      <c r="I34" s="36"/>
      <c r="J34" s="36"/>
      <c r="K34" s="36"/>
      <c r="L34" s="36"/>
      <c r="M34" s="36"/>
      <c r="N34" s="36"/>
      <c r="O34" s="40"/>
      <c r="P34" s="59"/>
      <c r="Q34" s="36"/>
      <c r="S34" s="36"/>
      <c r="T34" s="36"/>
      <c r="U34" s="36"/>
      <c r="V34" s="36"/>
      <c r="W34" s="36"/>
      <c r="X34" s="36"/>
      <c r="Y34" s="40"/>
      <c r="Z34" s="36"/>
      <c r="AA34" s="36"/>
      <c r="AB34" s="36"/>
      <c r="AC34" s="36"/>
      <c r="AD34" s="36"/>
      <c r="AE34" s="36"/>
      <c r="AF34" s="36"/>
      <c r="AG34" s="36"/>
      <c r="AH34" s="36"/>
      <c r="AI34" s="36"/>
      <c r="AJ34" s="36"/>
      <c r="AK34" s="40"/>
      <c r="AL34" s="40"/>
      <c r="AM34" s="40"/>
      <c r="AN34" s="40"/>
    </row>
    <row r="35" spans="1:40" x14ac:dyDescent="0.3">
      <c r="A35" s="70"/>
      <c r="B35" s="76"/>
      <c r="C35" s="36"/>
      <c r="D35" s="40"/>
      <c r="E35" s="40"/>
      <c r="F35" s="40"/>
      <c r="G35" s="40"/>
      <c r="H35" s="37"/>
      <c r="I35" s="36"/>
      <c r="J35" s="36"/>
      <c r="K35" s="36"/>
      <c r="L35" s="36"/>
      <c r="M35" s="36"/>
      <c r="N35" s="36"/>
      <c r="O35" s="40"/>
      <c r="P35" s="59"/>
      <c r="Q35" s="36"/>
      <c r="S35" s="36"/>
      <c r="T35" s="36"/>
      <c r="U35" s="36"/>
      <c r="V35" s="36"/>
      <c r="W35" s="36"/>
      <c r="X35" s="36"/>
      <c r="Y35" s="40"/>
      <c r="Z35" s="36"/>
      <c r="AA35" s="36"/>
      <c r="AB35" s="36"/>
      <c r="AC35" s="36"/>
      <c r="AD35" s="36"/>
      <c r="AE35" s="36"/>
      <c r="AF35" s="36"/>
      <c r="AG35" s="36"/>
      <c r="AH35" s="36"/>
      <c r="AI35" s="36"/>
      <c r="AJ35" s="36"/>
      <c r="AK35" s="40"/>
      <c r="AL35" s="40"/>
      <c r="AM35" s="40"/>
      <c r="AN35" s="40"/>
    </row>
    <row r="36" spans="1:40" x14ac:dyDescent="0.3">
      <c r="A36" s="70"/>
      <c r="B36" s="76"/>
      <c r="C36" s="36"/>
      <c r="D36" s="40"/>
      <c r="E36" s="40"/>
      <c r="F36" s="40"/>
      <c r="G36" s="40"/>
      <c r="H36" s="37"/>
      <c r="I36" s="36"/>
      <c r="J36" s="36"/>
      <c r="K36" s="36"/>
      <c r="L36" s="36"/>
      <c r="M36" s="36"/>
      <c r="N36" s="36"/>
      <c r="O36" s="40"/>
      <c r="P36" s="59"/>
      <c r="Q36" s="36"/>
      <c r="S36" s="36"/>
      <c r="T36" s="36"/>
      <c r="U36" s="36"/>
      <c r="V36" s="36"/>
      <c r="W36" s="36"/>
      <c r="X36" s="36"/>
      <c r="Y36" s="40"/>
      <c r="Z36" s="36"/>
      <c r="AA36" s="36"/>
      <c r="AB36" s="36"/>
      <c r="AC36" s="36"/>
      <c r="AD36" s="36"/>
      <c r="AE36" s="36"/>
      <c r="AF36" s="36"/>
      <c r="AG36" s="36"/>
      <c r="AH36" s="36"/>
      <c r="AI36" s="36"/>
      <c r="AJ36" s="36"/>
      <c r="AK36" s="40"/>
      <c r="AL36" s="40"/>
      <c r="AM36" s="40"/>
      <c r="AN36" s="40"/>
    </row>
    <row r="37" spans="1:40" x14ac:dyDescent="0.3">
      <c r="A37" s="70"/>
      <c r="B37" s="76"/>
      <c r="C37" s="36"/>
      <c r="D37" s="40"/>
      <c r="E37" s="40"/>
      <c r="F37" s="40"/>
      <c r="G37" s="40"/>
      <c r="H37" s="37"/>
      <c r="I37" s="36"/>
      <c r="J37" s="36"/>
      <c r="K37" s="36"/>
      <c r="L37" s="36"/>
      <c r="M37" s="36"/>
      <c r="N37" s="36"/>
      <c r="O37" s="40"/>
      <c r="P37" s="59"/>
      <c r="Q37" s="36"/>
      <c r="S37" s="36"/>
      <c r="T37" s="36"/>
      <c r="U37" s="36"/>
      <c r="V37" s="36"/>
      <c r="W37" s="36"/>
      <c r="X37" s="36"/>
      <c r="Y37" s="40"/>
      <c r="Z37" s="36"/>
      <c r="AA37" s="36"/>
      <c r="AB37" s="36"/>
      <c r="AC37" s="36"/>
      <c r="AD37" s="36"/>
      <c r="AE37" s="36"/>
      <c r="AF37" s="36"/>
      <c r="AG37" s="36"/>
      <c r="AH37" s="36"/>
      <c r="AI37" s="36"/>
      <c r="AJ37" s="36"/>
      <c r="AK37" s="40"/>
      <c r="AL37" s="40"/>
      <c r="AM37" s="40"/>
      <c r="AN37" s="40"/>
    </row>
    <row r="38" spans="1:40" x14ac:dyDescent="0.3">
      <c r="A38" s="70"/>
      <c r="B38" s="76"/>
      <c r="C38" s="36"/>
      <c r="D38" s="40"/>
      <c r="E38" s="40"/>
      <c r="F38" s="40"/>
      <c r="G38" s="40"/>
      <c r="H38" s="37"/>
      <c r="I38" s="36"/>
      <c r="J38" s="36"/>
      <c r="K38" s="36"/>
      <c r="L38" s="36"/>
      <c r="M38" s="36"/>
      <c r="N38" s="36"/>
      <c r="O38" s="40"/>
      <c r="P38" s="59"/>
      <c r="Q38" s="36"/>
      <c r="S38" s="36"/>
      <c r="T38" s="36"/>
      <c r="U38" s="36"/>
      <c r="V38" s="36"/>
      <c r="W38" s="36"/>
      <c r="X38" s="36"/>
      <c r="Y38" s="40"/>
      <c r="Z38" s="36"/>
      <c r="AA38" s="36"/>
      <c r="AB38" s="36"/>
      <c r="AC38" s="36"/>
      <c r="AD38" s="36"/>
      <c r="AE38" s="36"/>
      <c r="AF38" s="36"/>
      <c r="AG38" s="36"/>
      <c r="AH38" s="36"/>
      <c r="AI38" s="36"/>
      <c r="AJ38" s="36"/>
      <c r="AK38" s="40"/>
      <c r="AL38" s="40"/>
      <c r="AM38" s="40"/>
      <c r="AN38" s="40"/>
    </row>
    <row r="39" spans="1:40" x14ac:dyDescent="0.3">
      <c r="A39" s="70"/>
      <c r="B39" s="76"/>
      <c r="C39" s="36"/>
      <c r="D39" s="40"/>
      <c r="E39" s="40"/>
      <c r="F39" s="40"/>
      <c r="G39" s="40"/>
      <c r="H39" s="37"/>
      <c r="I39" s="36"/>
      <c r="J39" s="36"/>
      <c r="K39" s="36"/>
      <c r="L39" s="36"/>
      <c r="M39" s="36"/>
      <c r="N39" s="36"/>
      <c r="O39" s="40"/>
      <c r="P39" s="59"/>
      <c r="Q39" s="36"/>
      <c r="S39" s="36"/>
      <c r="T39" s="36"/>
      <c r="U39" s="36"/>
      <c r="V39" s="36"/>
      <c r="W39" s="36"/>
      <c r="X39" s="36"/>
      <c r="Y39" s="40"/>
      <c r="Z39" s="36"/>
      <c r="AA39" s="36"/>
      <c r="AB39" s="36"/>
      <c r="AC39" s="36"/>
      <c r="AD39" s="36"/>
      <c r="AE39" s="36"/>
      <c r="AF39" s="36"/>
      <c r="AG39" s="36"/>
      <c r="AH39" s="36"/>
      <c r="AI39" s="36"/>
      <c r="AJ39" s="36"/>
      <c r="AK39" s="40"/>
      <c r="AL39" s="40"/>
      <c r="AM39" s="40"/>
      <c r="AN39" s="40"/>
    </row>
    <row r="40" spans="1:40" x14ac:dyDescent="0.3">
      <c r="A40" s="70"/>
      <c r="B40" s="76"/>
      <c r="C40" s="36"/>
      <c r="D40" s="40"/>
      <c r="E40" s="40"/>
      <c r="F40" s="40"/>
      <c r="G40" s="40"/>
      <c r="H40" s="37"/>
      <c r="I40" s="36"/>
      <c r="J40" s="36"/>
      <c r="K40" s="36"/>
      <c r="L40" s="36"/>
      <c r="M40" s="36"/>
      <c r="N40" s="36"/>
      <c r="O40" s="40"/>
      <c r="P40" s="59"/>
      <c r="Q40" s="36"/>
      <c r="S40" s="36"/>
      <c r="T40" s="36"/>
      <c r="U40" s="36"/>
      <c r="V40" s="36"/>
      <c r="W40" s="36"/>
      <c r="X40" s="36"/>
      <c r="Y40" s="40"/>
      <c r="Z40" s="36"/>
      <c r="AA40" s="36"/>
      <c r="AB40" s="36"/>
      <c r="AC40" s="36"/>
      <c r="AD40" s="36"/>
      <c r="AE40" s="36"/>
      <c r="AF40" s="36"/>
      <c r="AG40" s="36"/>
      <c r="AH40" s="36"/>
      <c r="AI40" s="36"/>
      <c r="AJ40" s="36"/>
      <c r="AK40" s="40"/>
      <c r="AL40" s="40"/>
      <c r="AM40" s="40"/>
      <c r="AN40" s="40"/>
    </row>
    <row r="41" spans="1:40" x14ac:dyDescent="0.3">
      <c r="A41" s="70"/>
      <c r="B41" s="76"/>
      <c r="C41" s="36"/>
      <c r="D41" s="40"/>
      <c r="E41" s="40"/>
      <c r="F41" s="40"/>
      <c r="G41" s="40"/>
      <c r="H41" s="37"/>
      <c r="I41" s="36"/>
      <c r="J41" s="36"/>
      <c r="K41" s="36"/>
      <c r="L41" s="36"/>
      <c r="M41" s="36"/>
      <c r="N41" s="36"/>
      <c r="O41" s="40"/>
      <c r="P41" s="59"/>
      <c r="Q41" s="36"/>
      <c r="S41" s="36"/>
      <c r="T41" s="36"/>
      <c r="U41" s="36"/>
      <c r="V41" s="36"/>
      <c r="W41" s="36"/>
      <c r="X41" s="36"/>
      <c r="Y41" s="40"/>
      <c r="Z41" s="36"/>
      <c r="AA41" s="36"/>
      <c r="AB41" s="36"/>
      <c r="AC41" s="36"/>
      <c r="AD41" s="36"/>
      <c r="AE41" s="36"/>
      <c r="AF41" s="36"/>
      <c r="AG41" s="36"/>
      <c r="AH41" s="36"/>
      <c r="AI41" s="36"/>
      <c r="AJ41" s="36"/>
      <c r="AK41" s="40"/>
      <c r="AL41" s="40"/>
      <c r="AM41" s="40"/>
      <c r="AN41" s="40"/>
    </row>
    <row r="42" spans="1:40" x14ac:dyDescent="0.3">
      <c r="A42" s="70"/>
      <c r="B42" s="76"/>
      <c r="C42" s="36"/>
      <c r="D42" s="40"/>
      <c r="E42" s="40"/>
      <c r="F42" s="40"/>
      <c r="G42" s="40"/>
      <c r="H42" s="37"/>
      <c r="I42" s="36"/>
      <c r="J42" s="36"/>
      <c r="K42" s="36"/>
      <c r="L42" s="36"/>
      <c r="M42" s="36"/>
      <c r="N42" s="36"/>
      <c r="O42" s="40"/>
      <c r="P42" s="59"/>
      <c r="Q42" s="36"/>
      <c r="S42" s="36"/>
      <c r="T42" s="36"/>
      <c r="U42" s="36"/>
      <c r="V42" s="36"/>
      <c r="W42" s="36"/>
      <c r="X42" s="36"/>
      <c r="Y42" s="40"/>
      <c r="Z42" s="36"/>
      <c r="AA42" s="36"/>
      <c r="AB42" s="36"/>
      <c r="AC42" s="36"/>
      <c r="AD42" s="36"/>
      <c r="AE42" s="36"/>
      <c r="AF42" s="36"/>
      <c r="AG42" s="36"/>
      <c r="AH42" s="36"/>
      <c r="AI42" s="36"/>
      <c r="AJ42" s="36"/>
      <c r="AK42" s="40"/>
      <c r="AL42" s="40"/>
      <c r="AM42" s="40"/>
      <c r="AN42" s="40"/>
    </row>
    <row r="43" spans="1:40" x14ac:dyDescent="0.3">
      <c r="A43" s="70"/>
      <c r="B43" s="76"/>
      <c r="C43" s="36"/>
      <c r="D43" s="40"/>
      <c r="E43" s="40"/>
      <c r="F43" s="40"/>
      <c r="G43" s="40"/>
      <c r="H43" s="37"/>
      <c r="I43" s="36"/>
      <c r="J43" s="36"/>
      <c r="K43" s="36"/>
      <c r="L43" s="36"/>
      <c r="M43" s="36"/>
      <c r="N43" s="36"/>
      <c r="O43" s="40"/>
      <c r="P43" s="59"/>
      <c r="Q43" s="36"/>
      <c r="S43" s="36"/>
      <c r="T43" s="36"/>
      <c r="U43" s="36"/>
      <c r="V43" s="36"/>
      <c r="W43" s="36"/>
      <c r="X43" s="36"/>
      <c r="Y43" s="40"/>
      <c r="Z43" s="36"/>
      <c r="AA43" s="36"/>
      <c r="AB43" s="36"/>
      <c r="AC43" s="36"/>
      <c r="AD43" s="36"/>
      <c r="AE43" s="36"/>
      <c r="AF43" s="36"/>
      <c r="AG43" s="36"/>
      <c r="AH43" s="36"/>
      <c r="AI43" s="36"/>
      <c r="AJ43" s="36"/>
      <c r="AK43" s="40"/>
      <c r="AL43" s="40"/>
      <c r="AM43" s="40"/>
      <c r="AN43" s="40"/>
    </row>
    <row r="44" spans="1:40" x14ac:dyDescent="0.3">
      <c r="A44" s="70"/>
      <c r="B44" s="76"/>
      <c r="C44" s="36"/>
      <c r="D44" s="40"/>
      <c r="E44" s="40"/>
      <c r="F44" s="40"/>
      <c r="G44" s="40"/>
      <c r="H44" s="37"/>
      <c r="I44" s="36"/>
      <c r="J44" s="36"/>
      <c r="K44" s="36"/>
      <c r="L44" s="36"/>
      <c r="M44" s="36"/>
      <c r="N44" s="36"/>
      <c r="O44" s="40"/>
      <c r="P44" s="59"/>
      <c r="Q44" s="36"/>
      <c r="S44" s="36"/>
      <c r="T44" s="36"/>
      <c r="U44" s="36"/>
      <c r="V44" s="36"/>
      <c r="W44" s="36"/>
      <c r="X44" s="36"/>
      <c r="Y44" s="40"/>
      <c r="Z44" s="36"/>
      <c r="AA44" s="36"/>
      <c r="AB44" s="36"/>
      <c r="AC44" s="36"/>
      <c r="AD44" s="36"/>
      <c r="AE44" s="36"/>
      <c r="AF44" s="36"/>
      <c r="AG44" s="36"/>
      <c r="AH44" s="36"/>
      <c r="AI44" s="36"/>
      <c r="AJ44" s="36"/>
      <c r="AK44" s="40"/>
      <c r="AL44" s="40"/>
      <c r="AM44" s="40"/>
      <c r="AN44" s="40"/>
    </row>
    <row r="45" spans="1:40" x14ac:dyDescent="0.3">
      <c r="A45" s="70"/>
      <c r="B45" s="76"/>
      <c r="C45" s="36"/>
      <c r="D45" s="40"/>
      <c r="E45" s="40"/>
      <c r="F45" s="40"/>
      <c r="G45" s="40"/>
      <c r="H45" s="37"/>
      <c r="I45" s="36"/>
      <c r="J45" s="36"/>
      <c r="K45" s="36"/>
      <c r="L45" s="36"/>
      <c r="M45" s="36"/>
      <c r="N45" s="36"/>
      <c r="O45" s="40"/>
      <c r="P45" s="59"/>
      <c r="Q45" s="36"/>
      <c r="S45" s="36"/>
      <c r="T45" s="36"/>
      <c r="U45" s="36"/>
      <c r="V45" s="36"/>
      <c r="W45" s="36"/>
      <c r="X45" s="36"/>
      <c r="Y45" s="40"/>
      <c r="Z45" s="36"/>
      <c r="AA45" s="36"/>
      <c r="AB45" s="36"/>
      <c r="AC45" s="36"/>
      <c r="AD45" s="36"/>
      <c r="AE45" s="36"/>
      <c r="AF45" s="36"/>
      <c r="AG45" s="36"/>
      <c r="AH45" s="36"/>
      <c r="AI45" s="36"/>
      <c r="AJ45" s="36"/>
      <c r="AK45" s="40"/>
      <c r="AL45" s="40"/>
      <c r="AM45" s="40"/>
      <c r="AN45" s="40"/>
    </row>
    <row r="46" spans="1:40" x14ac:dyDescent="0.3">
      <c r="A46" s="70"/>
      <c r="B46" s="76"/>
      <c r="C46" s="36"/>
      <c r="D46" s="40"/>
      <c r="E46" s="40"/>
      <c r="F46" s="40"/>
      <c r="G46" s="40"/>
      <c r="H46" s="37"/>
      <c r="I46" s="36"/>
      <c r="J46" s="36"/>
      <c r="K46" s="36"/>
      <c r="L46" s="36"/>
      <c r="M46" s="36"/>
      <c r="N46" s="36"/>
      <c r="O46" s="40"/>
      <c r="P46" s="59"/>
      <c r="Q46" s="36"/>
      <c r="S46" s="36"/>
      <c r="T46" s="36"/>
      <c r="U46" s="36"/>
      <c r="V46" s="36"/>
      <c r="W46" s="36"/>
      <c r="X46" s="36"/>
      <c r="Y46" s="40"/>
      <c r="Z46" s="36"/>
      <c r="AA46" s="36"/>
      <c r="AB46" s="36"/>
      <c r="AC46" s="36"/>
      <c r="AD46" s="36"/>
      <c r="AE46" s="36"/>
      <c r="AF46" s="36"/>
      <c r="AG46" s="36"/>
      <c r="AH46" s="36"/>
      <c r="AI46" s="36"/>
      <c r="AJ46" s="36"/>
      <c r="AK46" s="40"/>
      <c r="AL46" s="40"/>
      <c r="AM46" s="40"/>
      <c r="AN46" s="40"/>
    </row>
    <row r="47" spans="1:40" x14ac:dyDescent="0.3">
      <c r="A47" s="70"/>
      <c r="B47" s="76"/>
      <c r="C47" s="36"/>
      <c r="D47" s="40"/>
      <c r="E47" s="40"/>
      <c r="F47" s="40"/>
      <c r="G47" s="40"/>
      <c r="H47" s="37"/>
      <c r="I47" s="36"/>
      <c r="J47" s="36"/>
      <c r="K47" s="36"/>
      <c r="L47" s="36"/>
      <c r="M47" s="36"/>
      <c r="N47" s="36"/>
      <c r="O47" s="40"/>
      <c r="P47" s="59"/>
      <c r="Q47" s="36"/>
      <c r="S47" s="36"/>
      <c r="T47" s="36"/>
      <c r="U47" s="36"/>
      <c r="V47" s="36"/>
      <c r="W47" s="36"/>
      <c r="X47" s="36"/>
      <c r="Y47" s="40"/>
      <c r="Z47" s="36"/>
      <c r="AA47" s="36"/>
      <c r="AB47" s="36"/>
      <c r="AC47" s="36"/>
      <c r="AD47" s="36"/>
      <c r="AE47" s="36"/>
      <c r="AF47" s="36"/>
      <c r="AG47" s="36"/>
      <c r="AH47" s="36"/>
      <c r="AI47" s="36"/>
      <c r="AJ47" s="36"/>
      <c r="AK47" s="40"/>
      <c r="AL47" s="40"/>
      <c r="AM47" s="40"/>
      <c r="AN47" s="40"/>
    </row>
    <row r="48" spans="1:40" x14ac:dyDescent="0.3">
      <c r="A48" s="70"/>
      <c r="B48" s="76"/>
      <c r="C48" s="36"/>
      <c r="D48" s="40"/>
      <c r="E48" s="40"/>
      <c r="F48" s="40"/>
      <c r="G48" s="40"/>
      <c r="H48" s="37"/>
      <c r="I48" s="36"/>
      <c r="J48" s="36"/>
      <c r="K48" s="36"/>
      <c r="L48" s="36"/>
      <c r="M48" s="36"/>
      <c r="N48" s="36"/>
      <c r="O48" s="40"/>
      <c r="P48" s="59"/>
      <c r="Q48" s="36"/>
      <c r="S48" s="36"/>
      <c r="T48" s="36"/>
      <c r="U48" s="36"/>
      <c r="V48" s="36"/>
      <c r="W48" s="36"/>
      <c r="X48" s="36"/>
      <c r="Y48" s="40"/>
      <c r="Z48" s="36"/>
      <c r="AA48" s="36"/>
      <c r="AB48" s="36"/>
      <c r="AC48" s="36"/>
      <c r="AD48" s="36"/>
      <c r="AE48" s="36"/>
      <c r="AF48" s="36"/>
      <c r="AG48" s="36"/>
      <c r="AH48" s="36"/>
      <c r="AI48" s="36"/>
      <c r="AJ48" s="36"/>
      <c r="AK48" s="40"/>
      <c r="AL48" s="40"/>
      <c r="AM48" s="40"/>
      <c r="AN48" s="40"/>
    </row>
    <row r="49" spans="1:40" x14ac:dyDescent="0.3">
      <c r="A49" s="70"/>
      <c r="B49" s="76"/>
      <c r="C49" s="36"/>
      <c r="D49" s="40"/>
      <c r="E49" s="40"/>
      <c r="F49" s="40"/>
      <c r="G49" s="40"/>
      <c r="H49" s="37"/>
      <c r="I49" s="36"/>
      <c r="J49" s="36"/>
      <c r="K49" s="36"/>
      <c r="L49" s="36"/>
      <c r="M49" s="36"/>
      <c r="N49" s="36"/>
      <c r="O49" s="40"/>
      <c r="P49" s="59"/>
      <c r="Q49" s="36"/>
      <c r="S49" s="36"/>
      <c r="T49" s="36"/>
      <c r="U49" s="36"/>
      <c r="V49" s="36"/>
      <c r="W49" s="36"/>
      <c r="X49" s="36"/>
      <c r="Y49" s="40"/>
      <c r="Z49" s="36"/>
      <c r="AA49" s="36"/>
      <c r="AB49" s="36"/>
      <c r="AC49" s="36"/>
      <c r="AD49" s="36"/>
      <c r="AE49" s="36"/>
      <c r="AF49" s="36"/>
      <c r="AG49" s="36"/>
      <c r="AH49" s="36"/>
      <c r="AI49" s="36"/>
      <c r="AJ49" s="36"/>
      <c r="AK49" s="40"/>
      <c r="AL49" s="40"/>
      <c r="AM49" s="40"/>
      <c r="AN49" s="40"/>
    </row>
    <row r="50" spans="1:40" x14ac:dyDescent="0.3">
      <c r="A50" s="70"/>
      <c r="B50" s="76"/>
      <c r="C50" s="36"/>
      <c r="D50" s="40"/>
      <c r="E50" s="40"/>
      <c r="F50" s="40"/>
      <c r="G50" s="40"/>
      <c r="H50" s="37"/>
      <c r="I50" s="36"/>
      <c r="J50" s="36"/>
      <c r="K50" s="36"/>
      <c r="L50" s="36"/>
      <c r="M50" s="36"/>
      <c r="N50" s="36"/>
      <c r="O50" s="40"/>
      <c r="P50" s="59"/>
      <c r="Q50" s="36"/>
      <c r="S50" s="36"/>
      <c r="T50" s="36"/>
      <c r="U50" s="36"/>
      <c r="V50" s="36"/>
      <c r="W50" s="36"/>
      <c r="X50" s="36"/>
      <c r="Y50" s="40"/>
      <c r="Z50" s="36"/>
      <c r="AA50" s="36"/>
      <c r="AB50" s="36"/>
      <c r="AC50" s="36"/>
      <c r="AD50" s="36"/>
      <c r="AE50" s="36"/>
      <c r="AF50" s="36"/>
      <c r="AG50" s="36"/>
      <c r="AH50" s="36"/>
      <c r="AI50" s="36"/>
      <c r="AJ50" s="36"/>
      <c r="AK50" s="40"/>
      <c r="AL50" s="40"/>
      <c r="AM50" s="40"/>
      <c r="AN50" s="40"/>
    </row>
    <row r="51" spans="1:40" x14ac:dyDescent="0.3">
      <c r="A51" s="70"/>
      <c r="B51" s="76"/>
      <c r="C51" s="36"/>
      <c r="D51" s="40"/>
      <c r="E51" s="40"/>
      <c r="F51" s="40"/>
      <c r="G51" s="40"/>
      <c r="H51" s="37"/>
      <c r="I51" s="36"/>
      <c r="J51" s="36"/>
      <c r="K51" s="36"/>
      <c r="L51" s="36"/>
      <c r="M51" s="36"/>
      <c r="N51" s="36"/>
      <c r="O51" s="40"/>
      <c r="P51" s="59"/>
      <c r="Q51" s="36"/>
      <c r="S51" s="36"/>
      <c r="T51" s="36"/>
      <c r="U51" s="36"/>
      <c r="V51" s="36"/>
      <c r="W51" s="36"/>
      <c r="X51" s="36"/>
      <c r="Y51" s="40"/>
      <c r="Z51" s="36"/>
      <c r="AA51" s="36"/>
      <c r="AB51" s="36"/>
      <c r="AC51" s="36"/>
      <c r="AD51" s="36"/>
      <c r="AE51" s="36"/>
      <c r="AF51" s="36"/>
      <c r="AG51" s="36"/>
      <c r="AH51" s="36"/>
      <c r="AI51" s="36"/>
      <c r="AJ51" s="36"/>
      <c r="AK51" s="40"/>
      <c r="AL51" s="40"/>
      <c r="AM51" s="40"/>
      <c r="AN51" s="40"/>
    </row>
    <row r="52" spans="1:40" x14ac:dyDescent="0.3">
      <c r="A52" s="70"/>
      <c r="B52" s="76"/>
      <c r="C52" s="36"/>
      <c r="D52" s="40"/>
      <c r="E52" s="40"/>
      <c r="F52" s="40"/>
      <c r="G52" s="40"/>
      <c r="H52" s="37"/>
      <c r="I52" s="36"/>
      <c r="J52" s="36"/>
      <c r="K52" s="36"/>
      <c r="L52" s="36"/>
      <c r="M52" s="36"/>
      <c r="N52" s="36"/>
      <c r="O52" s="40"/>
      <c r="P52" s="59"/>
      <c r="Q52" s="36"/>
      <c r="S52" s="36"/>
      <c r="T52" s="36"/>
      <c r="U52" s="36"/>
      <c r="V52" s="36"/>
      <c r="W52" s="36"/>
      <c r="X52" s="36"/>
      <c r="Y52" s="40"/>
      <c r="Z52" s="36"/>
      <c r="AA52" s="36"/>
      <c r="AB52" s="36"/>
      <c r="AC52" s="36"/>
      <c r="AD52" s="36"/>
      <c r="AE52" s="36"/>
      <c r="AF52" s="36"/>
      <c r="AG52" s="36"/>
      <c r="AH52" s="36"/>
      <c r="AI52" s="36"/>
      <c r="AJ52" s="36"/>
      <c r="AK52" s="40"/>
      <c r="AL52" s="40"/>
      <c r="AM52" s="40"/>
      <c r="AN52" s="40"/>
    </row>
    <row r="53" spans="1:40" x14ac:dyDescent="0.3">
      <c r="A53" s="70"/>
      <c r="B53" s="76"/>
      <c r="C53" s="36"/>
      <c r="D53" s="40"/>
      <c r="E53" s="40"/>
      <c r="F53" s="40"/>
      <c r="G53" s="40"/>
      <c r="H53" s="37"/>
      <c r="I53" s="36"/>
      <c r="J53" s="36"/>
      <c r="K53" s="36"/>
      <c r="L53" s="36"/>
      <c r="M53" s="36"/>
      <c r="N53" s="36"/>
      <c r="O53" s="40"/>
      <c r="P53" s="59"/>
      <c r="Q53" s="36"/>
      <c r="S53" s="36"/>
      <c r="T53" s="36"/>
      <c r="U53" s="36"/>
      <c r="V53" s="36"/>
      <c r="W53" s="36"/>
      <c r="X53" s="36"/>
      <c r="Y53" s="40"/>
      <c r="Z53" s="36"/>
      <c r="AA53" s="36"/>
      <c r="AB53" s="36"/>
      <c r="AC53" s="36"/>
      <c r="AD53" s="36"/>
      <c r="AE53" s="36"/>
      <c r="AF53" s="36"/>
      <c r="AG53" s="36"/>
      <c r="AH53" s="36"/>
      <c r="AI53" s="36"/>
      <c r="AJ53" s="36"/>
      <c r="AK53" s="40"/>
      <c r="AL53" s="40"/>
      <c r="AM53" s="40"/>
      <c r="AN53" s="40"/>
    </row>
    <row r="54" spans="1:40" x14ac:dyDescent="0.3">
      <c r="A54" s="70"/>
      <c r="B54" s="76"/>
      <c r="C54" s="36"/>
      <c r="D54" s="40"/>
      <c r="E54" s="40"/>
      <c r="F54" s="40"/>
      <c r="G54" s="40"/>
      <c r="H54" s="37"/>
      <c r="I54" s="36"/>
      <c r="J54" s="36"/>
      <c r="K54" s="36"/>
      <c r="L54" s="36"/>
      <c r="M54" s="36"/>
      <c r="N54" s="36"/>
      <c r="O54" s="40"/>
      <c r="P54" s="59"/>
      <c r="Q54" s="36"/>
      <c r="S54" s="36"/>
      <c r="T54" s="36"/>
      <c r="U54" s="36"/>
      <c r="V54" s="36"/>
      <c r="W54" s="36"/>
      <c r="X54" s="36"/>
      <c r="Y54" s="40"/>
      <c r="Z54" s="36"/>
      <c r="AA54" s="36"/>
      <c r="AB54" s="36"/>
      <c r="AC54" s="36"/>
      <c r="AD54" s="36"/>
      <c r="AE54" s="36"/>
      <c r="AF54" s="36"/>
      <c r="AG54" s="36"/>
      <c r="AH54" s="36"/>
      <c r="AI54" s="36"/>
      <c r="AJ54" s="36"/>
      <c r="AK54" s="40"/>
      <c r="AL54" s="40"/>
      <c r="AM54" s="40"/>
      <c r="AN54" s="40"/>
    </row>
    <row r="55" spans="1:40" x14ac:dyDescent="0.3">
      <c r="A55" s="70"/>
      <c r="B55" s="76"/>
      <c r="C55" s="36"/>
      <c r="D55" s="40"/>
      <c r="E55" s="40"/>
      <c r="F55" s="40"/>
      <c r="G55" s="40"/>
      <c r="H55" s="37"/>
      <c r="I55" s="36"/>
      <c r="J55" s="36"/>
      <c r="K55" s="36"/>
      <c r="L55" s="36"/>
      <c r="M55" s="36"/>
      <c r="N55" s="36"/>
      <c r="O55" s="40"/>
      <c r="P55" s="59"/>
      <c r="Q55" s="36"/>
      <c r="S55" s="36"/>
      <c r="T55" s="36"/>
      <c r="U55" s="36"/>
      <c r="V55" s="36"/>
      <c r="W55" s="36"/>
      <c r="X55" s="36"/>
      <c r="Y55" s="40"/>
      <c r="Z55" s="36"/>
      <c r="AA55" s="36"/>
      <c r="AB55" s="36"/>
      <c r="AC55" s="36"/>
      <c r="AD55" s="36"/>
      <c r="AE55" s="36"/>
      <c r="AF55" s="36"/>
      <c r="AG55" s="36"/>
      <c r="AH55" s="36"/>
      <c r="AI55" s="36"/>
      <c r="AJ55" s="36"/>
      <c r="AK55" s="40"/>
      <c r="AL55" s="40"/>
      <c r="AM55" s="40"/>
      <c r="AN55" s="40"/>
    </row>
    <row r="56" spans="1:40" x14ac:dyDescent="0.3">
      <c r="A56" s="70"/>
      <c r="B56" s="76"/>
      <c r="C56" s="36"/>
      <c r="D56" s="40"/>
      <c r="E56" s="40"/>
      <c r="F56" s="40"/>
      <c r="G56" s="40"/>
      <c r="H56" s="37"/>
      <c r="I56" s="36"/>
      <c r="J56" s="36"/>
      <c r="K56" s="36"/>
      <c r="L56" s="36"/>
      <c r="M56" s="36"/>
      <c r="N56" s="36"/>
      <c r="O56" s="40"/>
      <c r="P56" s="59"/>
      <c r="Q56" s="36"/>
      <c r="S56" s="36"/>
      <c r="T56" s="36"/>
      <c r="U56" s="36"/>
      <c r="V56" s="36"/>
      <c r="W56" s="36"/>
      <c r="X56" s="36"/>
      <c r="Y56" s="40"/>
      <c r="Z56" s="36"/>
      <c r="AA56" s="36"/>
      <c r="AB56" s="36"/>
      <c r="AC56" s="36"/>
      <c r="AD56" s="36"/>
      <c r="AE56" s="36"/>
      <c r="AF56" s="36"/>
      <c r="AG56" s="36"/>
      <c r="AH56" s="36"/>
      <c r="AI56" s="36"/>
      <c r="AJ56" s="36"/>
      <c r="AK56" s="40"/>
      <c r="AL56" s="40"/>
      <c r="AM56" s="40"/>
      <c r="AN56" s="40"/>
    </row>
    <row r="57" spans="1:40" x14ac:dyDescent="0.3">
      <c r="A57" s="70"/>
      <c r="B57" s="76"/>
      <c r="C57" s="36"/>
      <c r="D57" s="40"/>
      <c r="E57" s="40"/>
      <c r="F57" s="40"/>
      <c r="G57" s="40"/>
      <c r="H57" s="37"/>
      <c r="I57" s="36"/>
      <c r="J57" s="36"/>
      <c r="K57" s="36"/>
      <c r="L57" s="36"/>
      <c r="M57" s="36"/>
      <c r="N57" s="36"/>
      <c r="O57" s="40"/>
      <c r="P57" s="59"/>
      <c r="Q57" s="36"/>
      <c r="S57" s="36"/>
      <c r="T57" s="36"/>
      <c r="U57" s="36"/>
      <c r="V57" s="36"/>
      <c r="W57" s="36"/>
      <c r="X57" s="36"/>
      <c r="Y57" s="40"/>
      <c r="Z57" s="36"/>
      <c r="AA57" s="36"/>
      <c r="AB57" s="36"/>
      <c r="AC57" s="36"/>
      <c r="AD57" s="36"/>
      <c r="AE57" s="36"/>
      <c r="AF57" s="36"/>
      <c r="AG57" s="36"/>
      <c r="AH57" s="36"/>
      <c r="AI57" s="36"/>
      <c r="AJ57" s="36"/>
      <c r="AK57" s="40"/>
      <c r="AL57" s="40"/>
      <c r="AM57" s="40"/>
      <c r="AN57" s="40"/>
    </row>
    <row r="58" spans="1:40" x14ac:dyDescent="0.3">
      <c r="A58" s="70"/>
      <c r="B58" s="76"/>
      <c r="C58" s="36"/>
      <c r="D58" s="40"/>
      <c r="E58" s="40"/>
      <c r="F58" s="40"/>
      <c r="G58" s="40"/>
      <c r="H58" s="37"/>
      <c r="I58" s="36"/>
      <c r="J58" s="36"/>
      <c r="K58" s="36"/>
      <c r="L58" s="36"/>
      <c r="M58" s="36"/>
      <c r="N58" s="36"/>
      <c r="O58" s="40"/>
      <c r="P58" s="59"/>
      <c r="Q58" s="36"/>
      <c r="S58" s="36"/>
      <c r="T58" s="36"/>
      <c r="U58" s="36"/>
      <c r="V58" s="36"/>
      <c r="W58" s="36"/>
      <c r="X58" s="36"/>
      <c r="Y58" s="40"/>
      <c r="Z58" s="36"/>
      <c r="AA58" s="36"/>
      <c r="AB58" s="36"/>
      <c r="AC58" s="36"/>
      <c r="AD58" s="36"/>
      <c r="AE58" s="36"/>
      <c r="AF58" s="36"/>
      <c r="AG58" s="36"/>
      <c r="AH58" s="36"/>
      <c r="AI58" s="36"/>
      <c r="AJ58" s="36"/>
      <c r="AK58" s="40"/>
      <c r="AL58" s="40"/>
      <c r="AM58" s="40"/>
      <c r="AN58" s="40"/>
    </row>
    <row r="59" spans="1:40" x14ac:dyDescent="0.3">
      <c r="A59" s="70"/>
      <c r="B59" s="76"/>
      <c r="C59" s="36"/>
      <c r="D59" s="40"/>
      <c r="E59" s="40"/>
      <c r="F59" s="40"/>
      <c r="G59" s="40"/>
      <c r="H59" s="37"/>
      <c r="I59" s="36"/>
      <c r="J59" s="36"/>
      <c r="K59" s="36"/>
      <c r="L59" s="36"/>
      <c r="M59" s="36"/>
      <c r="N59" s="36"/>
      <c r="O59" s="40"/>
      <c r="P59" s="59"/>
      <c r="Q59" s="36"/>
      <c r="S59" s="36"/>
      <c r="T59" s="36"/>
      <c r="U59" s="36"/>
      <c r="V59" s="36"/>
      <c r="W59" s="36"/>
      <c r="X59" s="36"/>
      <c r="Y59" s="40"/>
      <c r="Z59" s="36"/>
      <c r="AA59" s="36"/>
      <c r="AB59" s="36"/>
      <c r="AC59" s="36"/>
      <c r="AD59" s="36"/>
      <c r="AE59" s="36"/>
      <c r="AF59" s="36"/>
      <c r="AG59" s="36"/>
      <c r="AH59" s="36"/>
      <c r="AI59" s="36"/>
      <c r="AJ59" s="36"/>
      <c r="AK59" s="40"/>
      <c r="AL59" s="40"/>
      <c r="AM59" s="40"/>
      <c r="AN59" s="40"/>
    </row>
    <row r="60" spans="1:40" x14ac:dyDescent="0.3">
      <c r="A60" s="70"/>
      <c r="B60" s="76"/>
      <c r="C60" s="36"/>
      <c r="D60" s="40"/>
      <c r="E60" s="40"/>
      <c r="F60" s="40"/>
      <c r="G60" s="40"/>
      <c r="H60" s="37"/>
      <c r="I60" s="36"/>
      <c r="J60" s="36"/>
      <c r="K60" s="36"/>
      <c r="L60" s="36"/>
      <c r="M60" s="36"/>
      <c r="N60" s="36"/>
      <c r="O60" s="40"/>
      <c r="P60" s="59"/>
      <c r="Q60" s="36"/>
      <c r="S60" s="36"/>
      <c r="T60" s="36"/>
      <c r="U60" s="36"/>
      <c r="V60" s="36"/>
      <c r="W60" s="36"/>
      <c r="X60" s="36"/>
      <c r="Y60" s="40"/>
      <c r="Z60" s="36"/>
      <c r="AA60" s="36"/>
      <c r="AB60" s="36"/>
      <c r="AC60" s="36"/>
      <c r="AD60" s="36"/>
      <c r="AE60" s="36"/>
      <c r="AF60" s="36"/>
      <c r="AG60" s="36"/>
      <c r="AH60" s="36"/>
      <c r="AI60" s="36"/>
      <c r="AJ60" s="36"/>
      <c r="AK60" s="40"/>
      <c r="AL60" s="40"/>
      <c r="AM60" s="40"/>
      <c r="AN60" s="40"/>
    </row>
    <row r="61" spans="1:40" x14ac:dyDescent="0.3">
      <c r="A61" s="70"/>
      <c r="B61" s="76"/>
      <c r="C61" s="36"/>
      <c r="D61" s="40"/>
      <c r="E61" s="40"/>
      <c r="F61" s="40"/>
      <c r="G61" s="40"/>
      <c r="H61" s="37"/>
      <c r="I61" s="36"/>
      <c r="J61" s="36"/>
      <c r="K61" s="36"/>
      <c r="L61" s="36"/>
      <c r="M61" s="36"/>
      <c r="N61" s="36"/>
      <c r="O61" s="40"/>
      <c r="P61" s="59"/>
      <c r="Q61" s="36"/>
      <c r="S61" s="36"/>
      <c r="T61" s="36"/>
      <c r="U61" s="36"/>
      <c r="V61" s="36"/>
      <c r="W61" s="36"/>
      <c r="X61" s="36"/>
      <c r="Y61" s="40"/>
      <c r="Z61" s="36"/>
      <c r="AA61" s="36"/>
      <c r="AB61" s="36"/>
      <c r="AC61" s="36"/>
      <c r="AD61" s="36"/>
      <c r="AE61" s="36"/>
      <c r="AF61" s="36"/>
      <c r="AG61" s="36"/>
      <c r="AH61" s="36"/>
      <c r="AI61" s="36"/>
      <c r="AJ61" s="36"/>
      <c r="AK61" s="40"/>
      <c r="AL61" s="40"/>
      <c r="AM61" s="40"/>
      <c r="AN61" s="40"/>
    </row>
    <row r="62" spans="1:40" x14ac:dyDescent="0.3">
      <c r="A62" s="70"/>
      <c r="B62" s="76"/>
      <c r="C62" s="36"/>
      <c r="D62" s="40"/>
      <c r="E62" s="40"/>
      <c r="F62" s="40"/>
      <c r="G62" s="40"/>
      <c r="H62" s="37"/>
      <c r="I62" s="36"/>
      <c r="J62" s="36"/>
      <c r="K62" s="36"/>
      <c r="L62" s="36"/>
      <c r="M62" s="36"/>
      <c r="N62" s="36"/>
      <c r="O62" s="40"/>
      <c r="P62" s="59"/>
      <c r="Q62" s="36"/>
      <c r="S62" s="36"/>
      <c r="T62" s="36"/>
      <c r="U62" s="36"/>
      <c r="V62" s="36"/>
      <c r="W62" s="36"/>
      <c r="X62" s="36"/>
      <c r="Y62" s="40"/>
      <c r="Z62" s="36"/>
      <c r="AA62" s="36"/>
      <c r="AB62" s="36"/>
      <c r="AC62" s="36"/>
      <c r="AD62" s="36"/>
      <c r="AE62" s="36"/>
      <c r="AF62" s="36"/>
      <c r="AG62" s="36"/>
      <c r="AH62" s="36"/>
      <c r="AI62" s="36"/>
      <c r="AJ62" s="36"/>
      <c r="AK62" s="40"/>
      <c r="AL62" s="40"/>
      <c r="AM62" s="40"/>
      <c r="AN62" s="40"/>
    </row>
    <row r="63" spans="1:40" x14ac:dyDescent="0.3">
      <c r="A63" s="70"/>
      <c r="B63" s="76"/>
      <c r="C63" s="36"/>
      <c r="D63" s="40"/>
      <c r="E63" s="40"/>
      <c r="F63" s="40"/>
      <c r="G63" s="40"/>
      <c r="H63" s="37"/>
      <c r="I63" s="36"/>
      <c r="J63" s="36"/>
      <c r="K63" s="36"/>
      <c r="L63" s="36"/>
      <c r="M63" s="36"/>
      <c r="N63" s="36"/>
      <c r="O63" s="40"/>
      <c r="P63" s="59"/>
      <c r="Q63" s="36"/>
      <c r="S63" s="36"/>
      <c r="T63" s="36"/>
      <c r="U63" s="36"/>
      <c r="V63" s="36"/>
      <c r="W63" s="36"/>
      <c r="X63" s="36"/>
      <c r="Y63" s="40"/>
      <c r="Z63" s="36"/>
      <c r="AA63" s="36"/>
      <c r="AB63" s="36"/>
      <c r="AC63" s="36"/>
      <c r="AD63" s="36"/>
      <c r="AE63" s="36"/>
      <c r="AF63" s="36"/>
      <c r="AG63" s="36"/>
      <c r="AH63" s="36"/>
      <c r="AI63" s="36"/>
      <c r="AJ63" s="36"/>
      <c r="AK63" s="40"/>
      <c r="AL63" s="40"/>
      <c r="AM63" s="40"/>
      <c r="AN63" s="40"/>
    </row>
    <row r="64" spans="1:40" x14ac:dyDescent="0.3">
      <c r="A64" s="70"/>
      <c r="B64" s="76"/>
      <c r="C64" s="36"/>
      <c r="D64" s="40"/>
      <c r="E64" s="40"/>
      <c r="F64" s="40"/>
      <c r="G64" s="40"/>
      <c r="H64" s="37"/>
      <c r="I64" s="36"/>
      <c r="J64" s="36"/>
      <c r="K64" s="36"/>
      <c r="L64" s="36"/>
      <c r="M64" s="36"/>
      <c r="N64" s="36"/>
      <c r="O64" s="40"/>
      <c r="P64" s="59"/>
      <c r="Q64" s="36"/>
      <c r="S64" s="36"/>
      <c r="T64" s="36"/>
      <c r="U64" s="36"/>
      <c r="V64" s="36"/>
      <c r="W64" s="36"/>
      <c r="X64" s="36"/>
      <c r="Y64" s="40"/>
      <c r="Z64" s="36"/>
      <c r="AA64" s="36"/>
      <c r="AB64" s="36"/>
      <c r="AC64" s="36"/>
      <c r="AD64" s="36"/>
      <c r="AE64" s="36"/>
      <c r="AF64" s="36"/>
      <c r="AG64" s="36"/>
      <c r="AH64" s="36"/>
      <c r="AI64" s="36"/>
      <c r="AJ64" s="36"/>
      <c r="AK64" s="40"/>
      <c r="AL64" s="40"/>
      <c r="AM64" s="40"/>
      <c r="AN64" s="40"/>
    </row>
    <row r="65" spans="1:40" x14ac:dyDescent="0.3">
      <c r="A65" s="70"/>
      <c r="B65" s="76"/>
      <c r="C65" s="36"/>
      <c r="D65" s="40"/>
      <c r="E65" s="40"/>
      <c r="F65" s="40"/>
      <c r="G65" s="40"/>
      <c r="H65" s="37"/>
      <c r="I65" s="36"/>
      <c r="J65" s="36"/>
      <c r="K65" s="36"/>
      <c r="L65" s="36"/>
      <c r="M65" s="36"/>
      <c r="N65" s="36"/>
      <c r="O65" s="40"/>
      <c r="P65" s="59"/>
      <c r="Q65" s="36"/>
      <c r="S65" s="36"/>
      <c r="T65" s="36"/>
      <c r="U65" s="36"/>
      <c r="V65" s="36"/>
      <c r="W65" s="36"/>
      <c r="X65" s="36"/>
      <c r="Y65" s="40"/>
      <c r="Z65" s="36"/>
      <c r="AA65" s="36"/>
      <c r="AB65" s="36"/>
      <c r="AC65" s="36"/>
      <c r="AD65" s="36"/>
      <c r="AE65" s="36"/>
      <c r="AF65" s="36"/>
      <c r="AG65" s="36"/>
      <c r="AH65" s="36"/>
      <c r="AI65" s="36"/>
      <c r="AJ65" s="36"/>
      <c r="AK65" s="40"/>
      <c r="AL65" s="40"/>
      <c r="AM65" s="40"/>
      <c r="AN65" s="40"/>
    </row>
    <row r="66" spans="1:40" x14ac:dyDescent="0.3">
      <c r="A66" s="70"/>
      <c r="B66" s="76"/>
      <c r="C66" s="36"/>
      <c r="D66" s="40"/>
      <c r="E66" s="40"/>
      <c r="F66" s="40"/>
      <c r="G66" s="40"/>
      <c r="H66" s="37"/>
      <c r="I66" s="36"/>
      <c r="J66" s="36"/>
      <c r="K66" s="36"/>
      <c r="L66" s="36"/>
      <c r="M66" s="36"/>
      <c r="N66" s="36"/>
      <c r="O66" s="40"/>
      <c r="P66" s="59"/>
      <c r="Q66" s="36"/>
      <c r="S66" s="36"/>
      <c r="T66" s="36"/>
      <c r="U66" s="36"/>
      <c r="V66" s="36"/>
      <c r="W66" s="36"/>
      <c r="X66" s="36"/>
      <c r="Y66" s="40"/>
      <c r="Z66" s="36"/>
      <c r="AA66" s="36"/>
      <c r="AB66" s="36"/>
      <c r="AC66" s="36"/>
      <c r="AD66" s="36"/>
      <c r="AE66" s="36"/>
      <c r="AF66" s="36"/>
      <c r="AG66" s="36"/>
      <c r="AH66" s="36"/>
      <c r="AI66" s="36"/>
      <c r="AJ66" s="36"/>
      <c r="AK66" s="40"/>
      <c r="AL66" s="40"/>
      <c r="AM66" s="40"/>
      <c r="AN66" s="40"/>
    </row>
    <row r="67" spans="1:40" x14ac:dyDescent="0.3">
      <c r="A67" s="70"/>
      <c r="B67" s="76"/>
      <c r="C67" s="36"/>
      <c r="D67" s="40"/>
      <c r="E67" s="40"/>
      <c r="F67" s="40"/>
      <c r="G67" s="40"/>
      <c r="H67" s="37"/>
      <c r="I67" s="36"/>
      <c r="J67" s="36"/>
      <c r="K67" s="36"/>
      <c r="L67" s="36"/>
      <c r="M67" s="36"/>
      <c r="N67" s="36"/>
      <c r="O67" s="40"/>
      <c r="P67" s="59"/>
      <c r="Q67" s="36"/>
      <c r="S67" s="36"/>
      <c r="T67" s="36"/>
      <c r="U67" s="36"/>
      <c r="V67" s="36"/>
      <c r="W67" s="36"/>
      <c r="X67" s="36"/>
      <c r="Y67" s="40"/>
      <c r="Z67" s="36"/>
      <c r="AA67" s="36"/>
      <c r="AB67" s="36"/>
      <c r="AC67" s="36"/>
      <c r="AD67" s="36"/>
      <c r="AE67" s="36"/>
      <c r="AF67" s="36"/>
      <c r="AG67" s="36"/>
      <c r="AH67" s="36"/>
      <c r="AI67" s="36"/>
      <c r="AJ67" s="36"/>
      <c r="AK67" s="40"/>
      <c r="AL67" s="40"/>
      <c r="AM67" s="40"/>
      <c r="AN67" s="40"/>
    </row>
    <row r="68" spans="1:40" x14ac:dyDescent="0.3">
      <c r="A68" s="70"/>
      <c r="B68" s="76"/>
      <c r="C68" s="36"/>
      <c r="D68" s="40"/>
      <c r="E68" s="40"/>
      <c r="F68" s="40"/>
      <c r="G68" s="40"/>
      <c r="H68" s="37"/>
      <c r="I68" s="36"/>
      <c r="J68" s="36"/>
      <c r="K68" s="36"/>
      <c r="L68" s="36"/>
      <c r="M68" s="36"/>
      <c r="N68" s="36"/>
      <c r="O68" s="40"/>
      <c r="P68" s="59"/>
      <c r="Q68" s="36"/>
      <c r="S68" s="36"/>
      <c r="T68" s="36"/>
      <c r="U68" s="36"/>
      <c r="V68" s="36"/>
      <c r="W68" s="36"/>
      <c r="X68" s="36"/>
      <c r="Y68" s="40"/>
      <c r="Z68" s="36"/>
      <c r="AA68" s="36"/>
      <c r="AB68" s="36"/>
      <c r="AC68" s="36"/>
      <c r="AD68" s="36"/>
      <c r="AE68" s="36"/>
      <c r="AF68" s="36"/>
      <c r="AG68" s="36"/>
      <c r="AH68" s="36"/>
      <c r="AI68" s="36"/>
      <c r="AJ68" s="36"/>
      <c r="AK68" s="40"/>
      <c r="AL68" s="40"/>
      <c r="AM68" s="40"/>
      <c r="AN68" s="40"/>
    </row>
    <row r="69" spans="1:40" x14ac:dyDescent="0.3">
      <c r="A69" s="70"/>
      <c r="B69" s="76"/>
      <c r="C69" s="36"/>
      <c r="D69" s="40"/>
      <c r="E69" s="40"/>
      <c r="F69" s="40"/>
      <c r="G69" s="40"/>
      <c r="H69" s="37"/>
      <c r="I69" s="36"/>
      <c r="J69" s="36"/>
      <c r="K69" s="36"/>
      <c r="L69" s="36"/>
      <c r="M69" s="36"/>
      <c r="N69" s="36"/>
      <c r="O69" s="40"/>
      <c r="P69" s="59"/>
      <c r="Q69" s="36"/>
      <c r="S69" s="36"/>
      <c r="T69" s="36"/>
      <c r="U69" s="36"/>
      <c r="V69" s="36"/>
      <c r="W69" s="36"/>
      <c r="X69" s="36"/>
      <c r="Y69" s="40"/>
      <c r="Z69" s="36"/>
      <c r="AA69" s="36"/>
      <c r="AB69" s="36"/>
      <c r="AC69" s="36"/>
      <c r="AD69" s="36"/>
      <c r="AE69" s="36"/>
      <c r="AF69" s="36"/>
      <c r="AG69" s="36"/>
      <c r="AH69" s="36"/>
      <c r="AI69" s="36"/>
      <c r="AJ69" s="36"/>
      <c r="AK69" s="40"/>
      <c r="AL69" s="40"/>
      <c r="AM69" s="40"/>
      <c r="AN69" s="40"/>
    </row>
    <row r="70" spans="1:40" x14ac:dyDescent="0.3">
      <c r="A70" s="70"/>
      <c r="B70" s="76"/>
      <c r="C70" s="36"/>
      <c r="D70" s="40"/>
      <c r="E70" s="40"/>
      <c r="F70" s="40"/>
      <c r="G70" s="40"/>
      <c r="H70" s="37"/>
      <c r="I70" s="36"/>
      <c r="J70" s="36"/>
      <c r="K70" s="36"/>
      <c r="L70" s="36"/>
      <c r="M70" s="36"/>
      <c r="N70" s="36"/>
      <c r="O70" s="40"/>
      <c r="P70" s="59"/>
      <c r="Q70" s="36"/>
      <c r="S70" s="36"/>
      <c r="T70" s="36"/>
      <c r="U70" s="36"/>
      <c r="V70" s="36"/>
      <c r="W70" s="36"/>
      <c r="X70" s="36"/>
      <c r="Y70" s="40"/>
      <c r="Z70" s="36"/>
      <c r="AA70" s="36"/>
      <c r="AB70" s="36"/>
      <c r="AC70" s="36"/>
      <c r="AD70" s="36"/>
      <c r="AE70" s="36"/>
      <c r="AF70" s="36"/>
      <c r="AG70" s="36"/>
      <c r="AH70" s="36"/>
      <c r="AI70" s="36"/>
      <c r="AJ70" s="36"/>
      <c r="AK70" s="40"/>
      <c r="AL70" s="40"/>
      <c r="AM70" s="40"/>
      <c r="AN70" s="40"/>
    </row>
    <row r="71" spans="1:40" x14ac:dyDescent="0.3">
      <c r="A71" s="70"/>
      <c r="B71" s="76"/>
      <c r="C71" s="36"/>
      <c r="D71" s="40"/>
      <c r="E71" s="40"/>
      <c r="F71" s="40"/>
      <c r="G71" s="40"/>
      <c r="H71" s="37"/>
      <c r="I71" s="36"/>
      <c r="J71" s="36"/>
      <c r="K71" s="36"/>
      <c r="L71" s="36"/>
      <c r="M71" s="36"/>
      <c r="N71" s="36"/>
      <c r="O71" s="40"/>
      <c r="P71" s="59"/>
      <c r="Q71" s="36"/>
      <c r="S71" s="36"/>
      <c r="T71" s="36"/>
      <c r="U71" s="36"/>
      <c r="V71" s="36"/>
      <c r="W71" s="36"/>
      <c r="X71" s="36"/>
      <c r="Y71" s="40"/>
      <c r="Z71" s="36"/>
      <c r="AA71" s="36"/>
      <c r="AB71" s="36"/>
      <c r="AC71" s="36"/>
      <c r="AD71" s="36"/>
      <c r="AE71" s="36"/>
      <c r="AF71" s="36"/>
      <c r="AG71" s="36"/>
      <c r="AH71" s="36"/>
      <c r="AI71" s="36"/>
      <c r="AJ71" s="36"/>
      <c r="AK71" s="40"/>
      <c r="AL71" s="40"/>
      <c r="AM71" s="40"/>
      <c r="AN71" s="40"/>
    </row>
    <row r="72" spans="1:40" x14ac:dyDescent="0.3">
      <c r="A72" s="70"/>
      <c r="B72" s="76"/>
      <c r="C72" s="36"/>
      <c r="D72" s="40"/>
      <c r="E72" s="40"/>
      <c r="F72" s="40"/>
      <c r="G72" s="40"/>
      <c r="H72" s="37"/>
      <c r="I72" s="36"/>
      <c r="J72" s="36"/>
      <c r="K72" s="36"/>
      <c r="L72" s="36"/>
      <c r="M72" s="36"/>
      <c r="N72" s="36"/>
      <c r="O72" s="40"/>
      <c r="P72" s="59"/>
      <c r="Q72" s="36"/>
      <c r="S72" s="36"/>
      <c r="T72" s="36"/>
      <c r="U72" s="36"/>
      <c r="V72" s="36"/>
      <c r="W72" s="36"/>
      <c r="X72" s="36"/>
      <c r="Y72" s="40"/>
      <c r="Z72" s="36"/>
      <c r="AA72" s="36"/>
      <c r="AB72" s="36"/>
      <c r="AC72" s="36"/>
      <c r="AD72" s="36"/>
      <c r="AE72" s="36"/>
      <c r="AF72" s="36"/>
      <c r="AG72" s="36"/>
      <c r="AH72" s="36"/>
      <c r="AI72" s="36"/>
      <c r="AJ72" s="36"/>
      <c r="AK72" s="40"/>
      <c r="AL72" s="40"/>
      <c r="AM72" s="40"/>
      <c r="AN72" s="40"/>
    </row>
    <row r="73" spans="1:40" x14ac:dyDescent="0.3">
      <c r="A73" s="70"/>
      <c r="B73" s="76"/>
      <c r="C73" s="36"/>
      <c r="D73" s="40"/>
      <c r="E73" s="40"/>
      <c r="F73" s="40"/>
      <c r="G73" s="40"/>
      <c r="H73" s="37"/>
      <c r="I73" s="36"/>
      <c r="J73" s="36"/>
      <c r="K73" s="36"/>
      <c r="L73" s="36"/>
      <c r="M73" s="36"/>
      <c r="N73" s="36"/>
      <c r="O73" s="40"/>
      <c r="P73" s="59"/>
      <c r="Q73" s="36"/>
      <c r="S73" s="36"/>
      <c r="T73" s="36"/>
      <c r="U73" s="36"/>
      <c r="V73" s="36"/>
      <c r="W73" s="36"/>
      <c r="X73" s="36"/>
      <c r="Y73" s="40"/>
      <c r="Z73" s="36"/>
      <c r="AA73" s="36"/>
      <c r="AB73" s="36"/>
      <c r="AC73" s="36"/>
      <c r="AD73" s="36"/>
      <c r="AE73" s="36"/>
      <c r="AF73" s="36"/>
      <c r="AG73" s="36"/>
      <c r="AH73" s="36"/>
      <c r="AI73" s="36"/>
      <c r="AJ73" s="36"/>
      <c r="AK73" s="40"/>
      <c r="AL73" s="40"/>
      <c r="AM73" s="40"/>
      <c r="AN73" s="40"/>
    </row>
    <row r="74" spans="1:40" x14ac:dyDescent="0.3">
      <c r="A74" s="70"/>
      <c r="B74" s="76"/>
      <c r="C74" s="36"/>
      <c r="D74" s="40"/>
      <c r="E74" s="40"/>
      <c r="F74" s="40"/>
      <c r="G74" s="40"/>
      <c r="H74" s="37"/>
      <c r="I74" s="36"/>
      <c r="J74" s="36"/>
      <c r="K74" s="36"/>
      <c r="L74" s="36"/>
      <c r="M74" s="36"/>
      <c r="N74" s="36"/>
      <c r="O74" s="40"/>
      <c r="P74" s="59"/>
      <c r="Q74" s="36"/>
      <c r="S74" s="36"/>
      <c r="T74" s="36"/>
      <c r="U74" s="36"/>
      <c r="V74" s="36"/>
      <c r="W74" s="36"/>
      <c r="X74" s="36"/>
      <c r="Y74" s="40"/>
      <c r="Z74" s="36"/>
      <c r="AA74" s="36"/>
      <c r="AB74" s="36"/>
      <c r="AC74" s="36"/>
      <c r="AD74" s="36"/>
      <c r="AE74" s="36"/>
      <c r="AF74" s="36"/>
      <c r="AG74" s="36"/>
      <c r="AH74" s="36"/>
      <c r="AI74" s="36"/>
      <c r="AJ74" s="36"/>
      <c r="AK74" s="40"/>
      <c r="AL74" s="40"/>
      <c r="AM74" s="40"/>
      <c r="AN74" s="40"/>
    </row>
    <row r="75" spans="1:40" x14ac:dyDescent="0.3">
      <c r="A75" s="70"/>
      <c r="B75" s="76"/>
      <c r="C75" s="36"/>
      <c r="D75" s="40"/>
      <c r="E75" s="40"/>
      <c r="F75" s="40"/>
      <c r="G75" s="40"/>
      <c r="H75" s="37"/>
      <c r="I75" s="36"/>
      <c r="J75" s="36"/>
      <c r="K75" s="36"/>
      <c r="L75" s="36"/>
      <c r="M75" s="36"/>
      <c r="N75" s="36"/>
      <c r="O75" s="40"/>
      <c r="P75" s="59"/>
      <c r="Q75" s="36"/>
      <c r="S75" s="36"/>
      <c r="T75" s="36"/>
      <c r="U75" s="36"/>
      <c r="V75" s="36"/>
      <c r="W75" s="36"/>
      <c r="X75" s="36"/>
      <c r="Y75" s="40"/>
      <c r="Z75" s="36"/>
      <c r="AA75" s="36"/>
      <c r="AB75" s="36"/>
      <c r="AC75" s="36"/>
      <c r="AD75" s="36"/>
      <c r="AE75" s="36"/>
      <c r="AF75" s="36"/>
      <c r="AG75" s="36"/>
      <c r="AH75" s="36"/>
      <c r="AI75" s="36"/>
      <c r="AJ75" s="36"/>
      <c r="AK75" s="40"/>
      <c r="AL75" s="40"/>
      <c r="AM75" s="40"/>
      <c r="AN75" s="40"/>
    </row>
    <row r="76" spans="1:40" x14ac:dyDescent="0.3">
      <c r="A76" s="70"/>
      <c r="B76" s="76"/>
      <c r="C76" s="36"/>
      <c r="D76" s="40"/>
      <c r="E76" s="40"/>
      <c r="F76" s="40"/>
      <c r="G76" s="40"/>
      <c r="H76" s="37"/>
      <c r="I76" s="36"/>
      <c r="J76" s="36"/>
      <c r="K76" s="36"/>
      <c r="L76" s="36"/>
      <c r="M76" s="36"/>
      <c r="N76" s="36"/>
      <c r="O76" s="40"/>
      <c r="P76" s="59"/>
      <c r="Q76" s="36"/>
      <c r="S76" s="36"/>
      <c r="T76" s="36"/>
      <c r="U76" s="36"/>
      <c r="V76" s="36"/>
      <c r="W76" s="36"/>
      <c r="X76" s="36"/>
      <c r="Y76" s="40"/>
      <c r="Z76" s="36"/>
      <c r="AA76" s="36"/>
      <c r="AB76" s="36"/>
      <c r="AC76" s="36"/>
      <c r="AD76" s="36"/>
      <c r="AE76" s="36"/>
      <c r="AF76" s="36"/>
      <c r="AG76" s="36"/>
      <c r="AH76" s="36"/>
      <c r="AI76" s="36"/>
      <c r="AJ76" s="36"/>
      <c r="AK76" s="40"/>
      <c r="AL76" s="40"/>
      <c r="AM76" s="40"/>
      <c r="AN76" s="40"/>
    </row>
    <row r="77" spans="1:40" x14ac:dyDescent="0.3">
      <c r="A77" s="70"/>
      <c r="B77" s="76"/>
      <c r="C77" s="36"/>
      <c r="D77" s="40"/>
      <c r="E77" s="40"/>
      <c r="F77" s="40"/>
      <c r="G77" s="40"/>
      <c r="H77" s="37"/>
      <c r="I77" s="36"/>
      <c r="J77" s="36"/>
      <c r="K77" s="36"/>
      <c r="L77" s="36"/>
      <c r="M77" s="36"/>
      <c r="N77" s="36"/>
      <c r="O77" s="40"/>
      <c r="P77" s="59"/>
      <c r="Q77" s="36"/>
      <c r="S77" s="36"/>
      <c r="T77" s="36"/>
      <c r="U77" s="36"/>
      <c r="V77" s="36"/>
      <c r="W77" s="36"/>
      <c r="X77" s="36"/>
      <c r="Y77" s="40"/>
      <c r="Z77" s="36"/>
      <c r="AA77" s="36"/>
      <c r="AB77" s="36"/>
      <c r="AC77" s="36"/>
      <c r="AD77" s="36"/>
      <c r="AE77" s="36"/>
      <c r="AF77" s="36"/>
      <c r="AG77" s="36"/>
      <c r="AH77" s="36"/>
      <c r="AI77" s="36"/>
      <c r="AJ77" s="36"/>
      <c r="AK77" s="40"/>
      <c r="AL77" s="40"/>
      <c r="AM77" s="40"/>
      <c r="AN77" s="40"/>
    </row>
    <row r="78" spans="1:40" x14ac:dyDescent="0.3">
      <c r="A78" s="70"/>
      <c r="B78" s="76"/>
      <c r="C78" s="36"/>
      <c r="D78" s="40"/>
      <c r="E78" s="40"/>
      <c r="F78" s="40"/>
      <c r="G78" s="40"/>
      <c r="H78" s="37"/>
      <c r="I78" s="36"/>
      <c r="J78" s="36"/>
      <c r="K78" s="36"/>
      <c r="L78" s="36"/>
      <c r="M78" s="36"/>
      <c r="N78" s="36"/>
      <c r="O78" s="40"/>
      <c r="P78" s="59"/>
      <c r="Q78" s="36"/>
      <c r="S78" s="36"/>
      <c r="T78" s="36"/>
      <c r="U78" s="36"/>
      <c r="V78" s="36"/>
      <c r="W78" s="36"/>
      <c r="X78" s="36"/>
      <c r="Y78" s="40"/>
      <c r="Z78" s="36"/>
      <c r="AA78" s="36"/>
      <c r="AB78" s="36"/>
      <c r="AC78" s="36"/>
      <c r="AD78" s="36"/>
      <c r="AE78" s="36"/>
      <c r="AF78" s="36"/>
      <c r="AG78" s="36"/>
      <c r="AH78" s="36"/>
      <c r="AI78" s="36"/>
      <c r="AJ78" s="36"/>
      <c r="AK78" s="40"/>
      <c r="AL78" s="40"/>
      <c r="AM78" s="40"/>
      <c r="AN78" s="40"/>
    </row>
    <row r="79" spans="1:40" x14ac:dyDescent="0.3">
      <c r="A79" s="70"/>
      <c r="B79" s="76"/>
      <c r="C79" s="36"/>
      <c r="D79" s="40"/>
      <c r="E79" s="40"/>
      <c r="F79" s="40"/>
      <c r="G79" s="40"/>
      <c r="H79" s="37"/>
      <c r="I79" s="36"/>
      <c r="J79" s="36"/>
      <c r="K79" s="36"/>
      <c r="L79" s="36"/>
      <c r="M79" s="36"/>
      <c r="N79" s="36"/>
      <c r="O79" s="40"/>
      <c r="P79" s="59"/>
      <c r="Q79" s="36"/>
      <c r="S79" s="36"/>
      <c r="T79" s="36"/>
      <c r="U79" s="36"/>
      <c r="V79" s="36"/>
      <c r="W79" s="36"/>
      <c r="X79" s="36"/>
      <c r="Y79" s="40"/>
      <c r="Z79" s="36"/>
      <c r="AA79" s="36"/>
      <c r="AB79" s="36"/>
      <c r="AC79" s="36"/>
      <c r="AD79" s="36"/>
      <c r="AE79" s="36"/>
      <c r="AF79" s="36"/>
      <c r="AG79" s="36"/>
      <c r="AH79" s="36"/>
      <c r="AI79" s="36"/>
      <c r="AJ79" s="36"/>
      <c r="AK79" s="40"/>
      <c r="AL79" s="40"/>
      <c r="AM79" s="40"/>
      <c r="AN79" s="40"/>
    </row>
    <row r="80" spans="1:40" x14ac:dyDescent="0.3">
      <c r="A80" s="70"/>
      <c r="B80" s="76"/>
      <c r="C80" s="36"/>
      <c r="D80" s="40"/>
      <c r="E80" s="40"/>
      <c r="F80" s="40"/>
      <c r="G80" s="40"/>
      <c r="H80" s="37"/>
      <c r="I80" s="36"/>
      <c r="J80" s="36"/>
      <c r="K80" s="36"/>
      <c r="L80" s="36"/>
      <c r="M80" s="36"/>
      <c r="N80" s="36"/>
      <c r="O80" s="40"/>
      <c r="P80" s="59"/>
      <c r="Q80" s="36"/>
      <c r="S80" s="36"/>
      <c r="T80" s="36"/>
      <c r="U80" s="36"/>
      <c r="V80" s="36"/>
      <c r="W80" s="36"/>
      <c r="X80" s="36"/>
      <c r="Y80" s="40"/>
      <c r="Z80" s="36"/>
      <c r="AA80" s="36"/>
      <c r="AB80" s="36"/>
      <c r="AC80" s="36"/>
      <c r="AD80" s="36"/>
      <c r="AE80" s="36"/>
      <c r="AF80" s="36"/>
      <c r="AG80" s="36"/>
      <c r="AH80" s="36"/>
      <c r="AI80" s="36"/>
      <c r="AJ80" s="36"/>
      <c r="AK80" s="40"/>
      <c r="AL80" s="40"/>
      <c r="AM80" s="40"/>
      <c r="AN80" s="40"/>
    </row>
    <row r="81" spans="1:40" x14ac:dyDescent="0.3">
      <c r="A81" s="70"/>
      <c r="B81" s="76"/>
      <c r="C81" s="36"/>
      <c r="D81" s="40"/>
      <c r="E81" s="40"/>
      <c r="F81" s="40"/>
      <c r="G81" s="40"/>
      <c r="H81" s="37"/>
      <c r="I81" s="36"/>
      <c r="J81" s="36"/>
      <c r="K81" s="36"/>
      <c r="L81" s="36"/>
      <c r="M81" s="36"/>
      <c r="N81" s="36"/>
      <c r="O81" s="40"/>
      <c r="P81" s="59"/>
      <c r="Q81" s="36"/>
      <c r="S81" s="36"/>
      <c r="T81" s="36"/>
      <c r="U81" s="36"/>
      <c r="V81" s="36"/>
      <c r="W81" s="36"/>
      <c r="X81" s="36"/>
      <c r="Y81" s="40"/>
      <c r="Z81" s="36"/>
      <c r="AA81" s="36"/>
      <c r="AB81" s="36"/>
      <c r="AC81" s="36"/>
      <c r="AD81" s="36"/>
      <c r="AE81" s="36"/>
      <c r="AF81" s="36"/>
      <c r="AG81" s="36"/>
      <c r="AH81" s="36"/>
      <c r="AI81" s="36"/>
      <c r="AJ81" s="36"/>
      <c r="AK81" s="40"/>
      <c r="AL81" s="40"/>
      <c r="AM81" s="40"/>
      <c r="AN81" s="40"/>
    </row>
    <row r="82" spans="1:40" x14ac:dyDescent="0.3">
      <c r="A82" s="70"/>
      <c r="B82" s="76"/>
      <c r="C82" s="36"/>
      <c r="D82" s="40"/>
      <c r="E82" s="40"/>
      <c r="F82" s="40"/>
      <c r="G82" s="40"/>
      <c r="H82" s="37"/>
      <c r="I82" s="36"/>
      <c r="J82" s="36"/>
      <c r="K82" s="36"/>
      <c r="L82" s="36"/>
      <c r="M82" s="36"/>
      <c r="N82" s="36"/>
      <c r="O82" s="40"/>
      <c r="P82" s="59"/>
      <c r="Q82" s="36"/>
      <c r="S82" s="36"/>
      <c r="T82" s="36"/>
      <c r="U82" s="36"/>
      <c r="V82" s="36"/>
      <c r="W82" s="36"/>
      <c r="X82" s="36"/>
      <c r="Y82" s="40"/>
      <c r="Z82" s="36"/>
      <c r="AA82" s="36"/>
      <c r="AB82" s="36"/>
      <c r="AC82" s="36"/>
      <c r="AD82" s="36"/>
      <c r="AE82" s="36"/>
      <c r="AF82" s="36"/>
      <c r="AG82" s="36"/>
      <c r="AH82" s="36"/>
      <c r="AI82" s="36"/>
      <c r="AJ82" s="36"/>
      <c r="AK82" s="40"/>
      <c r="AL82" s="40"/>
      <c r="AM82" s="40"/>
      <c r="AN82" s="40"/>
    </row>
    <row r="83" spans="1:40" x14ac:dyDescent="0.3">
      <c r="A83" s="70"/>
      <c r="B83" s="76"/>
      <c r="C83" s="36"/>
      <c r="D83" s="40"/>
      <c r="E83" s="40"/>
      <c r="F83" s="40"/>
      <c r="G83" s="40"/>
      <c r="H83" s="37"/>
      <c r="I83" s="36"/>
      <c r="J83" s="36"/>
      <c r="K83" s="36"/>
      <c r="L83" s="36"/>
      <c r="M83" s="36"/>
      <c r="N83" s="36"/>
      <c r="O83" s="40"/>
      <c r="P83" s="59"/>
      <c r="Q83" s="36"/>
      <c r="S83" s="36"/>
      <c r="T83" s="36"/>
      <c r="U83" s="36"/>
      <c r="V83" s="36"/>
      <c r="W83" s="36"/>
      <c r="X83" s="36"/>
      <c r="Y83" s="40"/>
      <c r="Z83" s="36"/>
      <c r="AA83" s="36"/>
      <c r="AB83" s="36"/>
      <c r="AC83" s="36"/>
      <c r="AD83" s="36"/>
      <c r="AE83" s="36"/>
      <c r="AF83" s="36"/>
      <c r="AG83" s="36"/>
      <c r="AH83" s="36"/>
      <c r="AI83" s="36"/>
      <c r="AJ83" s="36"/>
      <c r="AK83" s="40"/>
      <c r="AL83" s="40"/>
      <c r="AM83" s="40"/>
      <c r="AN83" s="40"/>
    </row>
    <row r="84" spans="1:40" x14ac:dyDescent="0.3">
      <c r="A84" s="70"/>
      <c r="B84" s="76"/>
      <c r="C84" s="36"/>
      <c r="D84" s="40"/>
      <c r="E84" s="40"/>
      <c r="F84" s="40"/>
      <c r="G84" s="40"/>
      <c r="H84" s="37"/>
      <c r="I84" s="36"/>
      <c r="J84" s="36"/>
      <c r="K84" s="36"/>
      <c r="L84" s="36"/>
      <c r="M84" s="36"/>
      <c r="N84" s="36"/>
      <c r="O84" s="40"/>
      <c r="P84" s="59"/>
      <c r="Q84" s="36"/>
      <c r="S84" s="36"/>
      <c r="T84" s="36"/>
      <c r="U84" s="36"/>
      <c r="V84" s="36"/>
      <c r="W84" s="36"/>
      <c r="X84" s="36"/>
      <c r="Y84" s="40"/>
      <c r="Z84" s="36"/>
      <c r="AA84" s="36"/>
      <c r="AB84" s="36"/>
      <c r="AC84" s="36"/>
      <c r="AD84" s="36"/>
      <c r="AE84" s="36"/>
      <c r="AF84" s="36"/>
      <c r="AG84" s="36"/>
      <c r="AH84" s="36"/>
      <c r="AI84" s="36"/>
      <c r="AJ84" s="36"/>
      <c r="AK84" s="40"/>
      <c r="AL84" s="40"/>
      <c r="AM84" s="40"/>
      <c r="AN84" s="40"/>
    </row>
    <row r="85" spans="1:40" x14ac:dyDescent="0.3">
      <c r="A85" s="70"/>
      <c r="B85" s="76"/>
      <c r="C85" s="36"/>
      <c r="D85" s="40"/>
      <c r="E85" s="40"/>
      <c r="F85" s="40"/>
      <c r="G85" s="40"/>
      <c r="H85" s="37"/>
      <c r="I85" s="36"/>
      <c r="J85" s="36"/>
      <c r="K85" s="36"/>
      <c r="L85" s="36"/>
      <c r="M85" s="36"/>
      <c r="N85" s="36"/>
      <c r="O85" s="40"/>
      <c r="P85" s="59"/>
      <c r="Q85" s="36"/>
      <c r="S85" s="36"/>
      <c r="T85" s="36"/>
      <c r="U85" s="36"/>
      <c r="V85" s="36"/>
      <c r="W85" s="36"/>
      <c r="X85" s="36"/>
      <c r="Y85" s="40"/>
      <c r="Z85" s="36"/>
      <c r="AA85" s="36"/>
      <c r="AB85" s="36"/>
      <c r="AC85" s="36"/>
      <c r="AD85" s="36"/>
      <c r="AE85" s="36"/>
      <c r="AF85" s="36"/>
      <c r="AG85" s="36"/>
      <c r="AH85" s="36"/>
      <c r="AI85" s="36"/>
      <c r="AJ85" s="36"/>
      <c r="AK85" s="40"/>
      <c r="AL85" s="40"/>
      <c r="AM85" s="40"/>
      <c r="AN85" s="40"/>
    </row>
    <row r="86" spans="1:40" x14ac:dyDescent="0.3">
      <c r="A86" s="70"/>
      <c r="B86" s="76"/>
      <c r="C86" s="36"/>
      <c r="D86" s="40"/>
      <c r="E86" s="40"/>
      <c r="F86" s="40"/>
      <c r="G86" s="40"/>
      <c r="H86" s="37"/>
      <c r="I86" s="36"/>
      <c r="J86" s="36"/>
      <c r="K86" s="36"/>
      <c r="L86" s="36"/>
      <c r="M86" s="36"/>
      <c r="N86" s="36"/>
      <c r="O86" s="40"/>
      <c r="P86" s="59"/>
      <c r="Q86" s="36"/>
      <c r="S86" s="36"/>
      <c r="T86" s="36"/>
      <c r="U86" s="36"/>
      <c r="V86" s="36"/>
      <c r="W86" s="36"/>
      <c r="X86" s="36"/>
      <c r="Y86" s="40"/>
      <c r="Z86" s="36"/>
      <c r="AA86" s="36"/>
      <c r="AB86" s="36"/>
      <c r="AC86" s="36"/>
      <c r="AD86" s="36"/>
      <c r="AE86" s="36"/>
      <c r="AF86" s="36"/>
      <c r="AG86" s="36"/>
      <c r="AH86" s="36"/>
      <c r="AI86" s="36"/>
      <c r="AJ86" s="36"/>
      <c r="AK86" s="40"/>
      <c r="AL86" s="40"/>
      <c r="AM86" s="40"/>
      <c r="AN86" s="40"/>
    </row>
    <row r="87" spans="1:40" x14ac:dyDescent="0.3">
      <c r="A87" s="70"/>
      <c r="B87" s="76"/>
      <c r="C87" s="36"/>
      <c r="D87" s="40"/>
      <c r="E87" s="40"/>
      <c r="F87" s="40"/>
      <c r="G87" s="40"/>
      <c r="H87" s="37"/>
      <c r="I87" s="36"/>
      <c r="J87" s="36"/>
      <c r="K87" s="36"/>
      <c r="L87" s="36"/>
      <c r="M87" s="36"/>
      <c r="N87" s="36"/>
      <c r="O87" s="40"/>
      <c r="P87" s="59"/>
      <c r="Q87" s="36"/>
      <c r="S87" s="36"/>
      <c r="T87" s="36"/>
      <c r="U87" s="36"/>
      <c r="V87" s="36"/>
      <c r="W87" s="36"/>
      <c r="X87" s="36"/>
      <c r="Y87" s="40"/>
      <c r="Z87" s="36"/>
      <c r="AA87" s="36"/>
      <c r="AB87" s="36"/>
      <c r="AC87" s="36"/>
      <c r="AD87" s="36"/>
      <c r="AE87" s="36"/>
      <c r="AF87" s="36"/>
      <c r="AG87" s="36"/>
      <c r="AH87" s="36"/>
      <c r="AI87" s="36"/>
      <c r="AJ87" s="36"/>
      <c r="AK87" s="40"/>
      <c r="AL87" s="40"/>
      <c r="AM87" s="40"/>
      <c r="AN87" s="40"/>
    </row>
    <row r="88" spans="1:40" x14ac:dyDescent="0.3">
      <c r="A88" s="70"/>
      <c r="B88" s="76"/>
      <c r="C88" s="36"/>
      <c r="D88" s="40"/>
      <c r="E88" s="40"/>
      <c r="F88" s="40"/>
      <c r="G88" s="40"/>
      <c r="H88" s="37"/>
      <c r="I88" s="36"/>
      <c r="J88" s="36"/>
      <c r="K88" s="36"/>
      <c r="L88" s="36"/>
      <c r="M88" s="36"/>
      <c r="N88" s="36"/>
      <c r="O88" s="40"/>
      <c r="P88" s="59"/>
      <c r="Q88" s="36"/>
      <c r="S88" s="36"/>
      <c r="T88" s="36"/>
      <c r="U88" s="36"/>
      <c r="V88" s="36"/>
      <c r="W88" s="36"/>
      <c r="X88" s="36"/>
      <c r="Y88" s="40"/>
      <c r="Z88" s="36"/>
      <c r="AA88" s="36"/>
      <c r="AB88" s="36"/>
      <c r="AC88" s="36"/>
      <c r="AD88" s="36"/>
      <c r="AE88" s="36"/>
      <c r="AF88" s="36"/>
      <c r="AG88" s="36"/>
      <c r="AH88" s="36"/>
      <c r="AI88" s="36"/>
      <c r="AJ88" s="36"/>
      <c r="AK88" s="40"/>
      <c r="AL88" s="40"/>
      <c r="AM88" s="40"/>
      <c r="AN88" s="40"/>
    </row>
    <row r="89" spans="1:40" x14ac:dyDescent="0.3">
      <c r="A89" s="70"/>
      <c r="B89" s="76"/>
      <c r="C89" s="36"/>
      <c r="D89" s="40"/>
      <c r="E89" s="40"/>
      <c r="F89" s="40"/>
      <c r="G89" s="40"/>
      <c r="H89" s="37"/>
      <c r="I89" s="36"/>
      <c r="J89" s="36"/>
      <c r="K89" s="36"/>
      <c r="L89" s="36"/>
      <c r="M89" s="36"/>
      <c r="N89" s="36"/>
      <c r="O89" s="40"/>
      <c r="P89" s="59"/>
      <c r="Q89" s="36"/>
      <c r="S89" s="36"/>
      <c r="T89" s="36"/>
      <c r="U89" s="36"/>
      <c r="V89" s="36"/>
      <c r="W89" s="36"/>
      <c r="X89" s="36"/>
      <c r="Y89" s="40"/>
      <c r="Z89" s="36"/>
      <c r="AA89" s="36"/>
      <c r="AB89" s="36"/>
      <c r="AC89" s="36"/>
      <c r="AD89" s="36"/>
      <c r="AE89" s="36"/>
      <c r="AF89" s="36"/>
      <c r="AG89" s="36"/>
      <c r="AH89" s="36"/>
      <c r="AI89" s="36"/>
      <c r="AJ89" s="36"/>
      <c r="AK89" s="40"/>
      <c r="AL89" s="40"/>
      <c r="AM89" s="40"/>
      <c r="AN89" s="40"/>
    </row>
    <row r="90" spans="1:40" x14ac:dyDescent="0.3">
      <c r="A90" s="70"/>
      <c r="B90" s="76"/>
      <c r="C90" s="36"/>
      <c r="D90" s="40"/>
      <c r="E90" s="40"/>
      <c r="F90" s="40"/>
      <c r="G90" s="40"/>
      <c r="H90" s="37"/>
      <c r="I90" s="36"/>
      <c r="J90" s="36"/>
      <c r="K90" s="36"/>
      <c r="L90" s="36"/>
      <c r="M90" s="36"/>
      <c r="N90" s="36"/>
      <c r="O90" s="40"/>
      <c r="P90" s="59"/>
      <c r="Q90" s="36"/>
      <c r="S90" s="36"/>
      <c r="T90" s="36"/>
      <c r="U90" s="36"/>
      <c r="V90" s="36"/>
      <c r="W90" s="36"/>
      <c r="X90" s="36"/>
      <c r="Y90" s="40"/>
      <c r="Z90" s="36"/>
      <c r="AA90" s="36"/>
      <c r="AB90" s="36"/>
      <c r="AC90" s="36"/>
      <c r="AD90" s="36"/>
      <c r="AE90" s="36"/>
      <c r="AF90" s="36"/>
      <c r="AG90" s="36"/>
      <c r="AH90" s="36"/>
      <c r="AI90" s="36"/>
      <c r="AJ90" s="36"/>
      <c r="AK90" s="40"/>
      <c r="AL90" s="40"/>
      <c r="AM90" s="40"/>
      <c r="AN90" s="40"/>
    </row>
    <row r="91" spans="1:40" x14ac:dyDescent="0.3">
      <c r="A91" s="70"/>
      <c r="B91" s="76"/>
      <c r="C91" s="36"/>
      <c r="D91" s="40"/>
      <c r="E91" s="40"/>
      <c r="F91" s="40"/>
      <c r="G91" s="40"/>
      <c r="H91" s="40"/>
      <c r="I91" s="36"/>
      <c r="J91" s="36"/>
      <c r="K91" s="36"/>
      <c r="L91" s="36"/>
      <c r="M91" s="36"/>
      <c r="N91" s="36"/>
      <c r="O91" s="40"/>
      <c r="P91" s="59"/>
      <c r="Q91" s="36"/>
      <c r="S91" s="36"/>
      <c r="T91" s="36"/>
      <c r="U91" s="36"/>
      <c r="V91" s="36"/>
      <c r="W91" s="36"/>
      <c r="X91" s="36"/>
      <c r="Y91" s="40"/>
      <c r="Z91" s="36"/>
      <c r="AA91" s="36"/>
      <c r="AB91" s="36"/>
      <c r="AC91" s="36"/>
      <c r="AD91" s="36"/>
      <c r="AE91" s="36"/>
      <c r="AF91" s="36"/>
      <c r="AG91" s="36"/>
      <c r="AH91" s="36"/>
      <c r="AI91" s="36"/>
      <c r="AJ91" s="36"/>
      <c r="AK91" s="40"/>
      <c r="AL91" s="40"/>
      <c r="AM91" s="40"/>
      <c r="AN91" s="40"/>
    </row>
    <row r="92" spans="1:40" x14ac:dyDescent="0.3">
      <c r="A92" s="70"/>
      <c r="B92" s="76"/>
      <c r="C92" s="36"/>
      <c r="D92" s="40"/>
      <c r="E92" s="40"/>
      <c r="F92" s="40"/>
      <c r="G92" s="40"/>
      <c r="H92" s="40"/>
      <c r="I92" s="36"/>
      <c r="J92" s="36"/>
      <c r="K92" s="36"/>
      <c r="L92" s="36"/>
      <c r="M92" s="36"/>
      <c r="N92" s="36"/>
      <c r="O92" s="40"/>
      <c r="P92" s="59"/>
      <c r="Q92" s="36"/>
      <c r="S92" s="36"/>
      <c r="T92" s="36"/>
      <c r="U92" s="36"/>
      <c r="V92" s="36"/>
      <c r="W92" s="36"/>
      <c r="X92" s="36"/>
      <c r="Y92" s="40"/>
      <c r="Z92" s="36"/>
      <c r="AA92" s="36"/>
      <c r="AB92" s="36"/>
      <c r="AC92" s="36"/>
      <c r="AD92" s="36"/>
      <c r="AE92" s="36"/>
      <c r="AF92" s="36"/>
      <c r="AG92" s="36"/>
      <c r="AH92" s="36"/>
      <c r="AI92" s="36"/>
      <c r="AJ92" s="36"/>
      <c r="AK92" s="40"/>
      <c r="AL92" s="40"/>
      <c r="AM92" s="40"/>
      <c r="AN92" s="40"/>
    </row>
    <row r="93" spans="1:40" x14ac:dyDescent="0.3">
      <c r="A93" s="70"/>
      <c r="B93" s="76"/>
      <c r="C93" s="36"/>
      <c r="D93" s="40"/>
      <c r="E93" s="40"/>
      <c r="F93" s="40"/>
      <c r="G93" s="40"/>
      <c r="H93" s="40"/>
      <c r="I93" s="36"/>
      <c r="J93" s="36"/>
      <c r="K93" s="36"/>
      <c r="L93" s="36"/>
      <c r="M93" s="36"/>
      <c r="N93" s="36"/>
      <c r="O93" s="40"/>
      <c r="P93" s="59"/>
      <c r="Q93" s="36"/>
      <c r="S93" s="36"/>
      <c r="T93" s="36"/>
      <c r="U93" s="36"/>
      <c r="V93" s="36"/>
      <c r="W93" s="36"/>
      <c r="X93" s="36"/>
      <c r="Y93" s="40"/>
      <c r="Z93" s="36"/>
      <c r="AA93" s="36"/>
      <c r="AB93" s="36"/>
      <c r="AC93" s="36"/>
      <c r="AD93" s="36"/>
      <c r="AE93" s="36"/>
      <c r="AF93" s="36"/>
      <c r="AG93" s="36"/>
      <c r="AH93" s="36"/>
      <c r="AI93" s="36"/>
      <c r="AJ93" s="36"/>
      <c r="AK93" s="40"/>
      <c r="AL93" s="40"/>
      <c r="AM93" s="40"/>
      <c r="AN93" s="40"/>
    </row>
    <row r="94" spans="1:40" x14ac:dyDescent="0.3">
      <c r="A94" s="70"/>
      <c r="B94" s="76"/>
      <c r="C94" s="36"/>
      <c r="D94" s="40"/>
      <c r="E94" s="40"/>
      <c r="F94" s="40"/>
      <c r="G94" s="40"/>
      <c r="H94" s="40"/>
      <c r="I94" s="36"/>
      <c r="J94" s="36"/>
      <c r="K94" s="36"/>
      <c r="L94" s="36"/>
      <c r="M94" s="36"/>
      <c r="N94" s="36"/>
      <c r="O94" s="40"/>
      <c r="P94" s="59"/>
      <c r="Q94" s="36"/>
      <c r="S94" s="36"/>
      <c r="T94" s="36"/>
      <c r="U94" s="36"/>
      <c r="V94" s="36"/>
      <c r="W94" s="36"/>
      <c r="X94" s="36"/>
      <c r="Y94" s="40"/>
      <c r="Z94" s="36"/>
      <c r="AA94" s="36"/>
      <c r="AB94" s="36"/>
      <c r="AC94" s="36"/>
      <c r="AD94" s="36"/>
      <c r="AE94" s="36"/>
      <c r="AF94" s="36"/>
      <c r="AG94" s="36"/>
      <c r="AH94" s="36"/>
      <c r="AI94" s="36"/>
      <c r="AJ94" s="36"/>
      <c r="AK94" s="40"/>
      <c r="AL94" s="40"/>
      <c r="AM94" s="40"/>
      <c r="AN94" s="40"/>
    </row>
    <row r="95" spans="1:40" x14ac:dyDescent="0.3">
      <c r="A95" s="70"/>
      <c r="B95" s="76"/>
      <c r="C95" s="36"/>
      <c r="D95" s="40"/>
      <c r="E95" s="40"/>
      <c r="F95" s="40"/>
      <c r="G95" s="40"/>
      <c r="H95" s="40"/>
      <c r="I95" s="36"/>
      <c r="J95" s="36"/>
      <c r="K95" s="36"/>
      <c r="L95" s="36"/>
      <c r="M95" s="36"/>
      <c r="N95" s="36"/>
      <c r="O95" s="40"/>
      <c r="P95" s="59"/>
      <c r="Q95" s="36"/>
      <c r="S95" s="36"/>
      <c r="T95" s="36"/>
      <c r="U95" s="36"/>
      <c r="V95" s="36"/>
      <c r="W95" s="36"/>
      <c r="X95" s="36"/>
      <c r="Y95" s="40"/>
      <c r="Z95" s="36"/>
      <c r="AA95" s="36"/>
      <c r="AB95" s="36"/>
      <c r="AC95" s="36"/>
      <c r="AD95" s="36"/>
      <c r="AE95" s="36"/>
      <c r="AF95" s="36"/>
      <c r="AG95" s="36"/>
      <c r="AH95" s="36"/>
      <c r="AI95" s="36"/>
      <c r="AJ95" s="36"/>
      <c r="AK95" s="40"/>
      <c r="AL95" s="40"/>
      <c r="AM95" s="40"/>
      <c r="AN95" s="40"/>
    </row>
    <row r="96" spans="1:40" x14ac:dyDescent="0.3">
      <c r="A96" s="70"/>
      <c r="B96" s="76"/>
      <c r="C96" s="36"/>
      <c r="D96" s="40"/>
      <c r="E96" s="40"/>
      <c r="F96" s="40"/>
      <c r="G96" s="40"/>
      <c r="H96" s="40"/>
      <c r="I96" s="36"/>
      <c r="J96" s="36"/>
      <c r="K96" s="36"/>
      <c r="L96" s="36"/>
      <c r="M96" s="36"/>
      <c r="N96" s="36"/>
      <c r="O96" s="40"/>
      <c r="P96" s="59"/>
      <c r="Q96" s="36"/>
      <c r="S96" s="36"/>
      <c r="T96" s="36"/>
      <c r="U96" s="36"/>
      <c r="V96" s="36"/>
      <c r="W96" s="36"/>
      <c r="X96" s="36"/>
      <c r="Y96" s="40"/>
      <c r="Z96" s="36"/>
      <c r="AA96" s="36"/>
      <c r="AB96" s="36"/>
      <c r="AC96" s="36"/>
      <c r="AD96" s="36"/>
      <c r="AE96" s="36"/>
      <c r="AF96" s="36"/>
      <c r="AG96" s="36"/>
      <c r="AH96" s="36"/>
      <c r="AI96" s="36"/>
      <c r="AJ96" s="36"/>
      <c r="AK96" s="40"/>
      <c r="AL96" s="40"/>
      <c r="AM96" s="40"/>
      <c r="AN96" s="40"/>
    </row>
    <row r="97" spans="1:40" x14ac:dyDescent="0.3">
      <c r="A97" s="70"/>
      <c r="B97" s="76"/>
      <c r="C97" s="36"/>
      <c r="D97" s="40"/>
      <c r="E97" s="40"/>
      <c r="F97" s="40"/>
      <c r="G97" s="40"/>
      <c r="H97" s="40"/>
      <c r="I97" s="36"/>
      <c r="J97" s="36"/>
      <c r="K97" s="36"/>
      <c r="L97" s="36"/>
      <c r="M97" s="36"/>
      <c r="N97" s="36"/>
      <c r="O97" s="40"/>
      <c r="P97" s="59"/>
      <c r="Q97" s="36"/>
      <c r="S97" s="36"/>
      <c r="T97" s="36"/>
      <c r="U97" s="36"/>
      <c r="V97" s="36"/>
      <c r="W97" s="36"/>
      <c r="X97" s="36"/>
      <c r="Y97" s="40"/>
      <c r="Z97" s="36"/>
      <c r="AA97" s="36"/>
      <c r="AB97" s="36"/>
      <c r="AC97" s="36"/>
      <c r="AD97" s="36"/>
      <c r="AE97" s="36"/>
      <c r="AF97" s="36"/>
      <c r="AG97" s="36"/>
      <c r="AH97" s="36"/>
      <c r="AI97" s="36"/>
      <c r="AJ97" s="36"/>
      <c r="AK97" s="40"/>
      <c r="AL97" s="40"/>
      <c r="AM97" s="40"/>
      <c r="AN97" s="40"/>
    </row>
    <row r="98" spans="1:40" x14ac:dyDescent="0.3">
      <c r="A98" s="70"/>
      <c r="B98" s="76"/>
      <c r="C98" s="36"/>
      <c r="D98" s="40"/>
      <c r="E98" s="40"/>
      <c r="F98" s="40"/>
      <c r="G98" s="40"/>
      <c r="H98" s="40"/>
      <c r="I98" s="36"/>
      <c r="J98" s="36"/>
      <c r="K98" s="36"/>
      <c r="L98" s="36"/>
      <c r="M98" s="36"/>
      <c r="N98" s="36"/>
      <c r="O98" s="40"/>
      <c r="P98" s="59"/>
      <c r="Q98" s="36"/>
      <c r="S98" s="36"/>
      <c r="T98" s="36"/>
      <c r="U98" s="36"/>
      <c r="V98" s="36"/>
      <c r="W98" s="36"/>
      <c r="X98" s="36"/>
      <c r="Y98" s="40"/>
      <c r="Z98" s="36"/>
      <c r="AA98" s="36"/>
      <c r="AB98" s="36"/>
      <c r="AC98" s="36"/>
      <c r="AD98" s="36"/>
      <c r="AE98" s="36"/>
      <c r="AF98" s="36"/>
      <c r="AG98" s="36"/>
      <c r="AH98" s="36"/>
      <c r="AI98" s="36"/>
      <c r="AJ98" s="36"/>
      <c r="AK98" s="40"/>
      <c r="AL98" s="40"/>
      <c r="AM98" s="40"/>
      <c r="AN98" s="40"/>
    </row>
    <row r="99" spans="1:40" x14ac:dyDescent="0.3">
      <c r="A99" s="70"/>
      <c r="B99" s="76"/>
      <c r="C99" s="36"/>
      <c r="D99" s="40"/>
      <c r="E99" s="40"/>
      <c r="F99" s="40"/>
      <c r="G99" s="40"/>
      <c r="H99" s="40"/>
      <c r="I99" s="36"/>
      <c r="J99" s="36"/>
      <c r="K99" s="36"/>
      <c r="L99" s="36"/>
      <c r="M99" s="36"/>
      <c r="N99" s="36"/>
      <c r="O99" s="40"/>
      <c r="P99" s="59"/>
      <c r="Q99" s="36"/>
      <c r="S99" s="36"/>
      <c r="T99" s="36"/>
      <c r="U99" s="36"/>
      <c r="V99" s="36"/>
      <c r="W99" s="36"/>
      <c r="X99" s="36"/>
      <c r="Y99" s="40"/>
      <c r="Z99" s="36"/>
      <c r="AA99" s="36"/>
      <c r="AB99" s="36"/>
      <c r="AC99" s="36"/>
      <c r="AD99" s="36"/>
      <c r="AE99" s="36"/>
      <c r="AF99" s="36"/>
      <c r="AG99" s="36"/>
      <c r="AH99" s="36"/>
      <c r="AI99" s="36"/>
      <c r="AJ99" s="36"/>
      <c r="AK99" s="40"/>
      <c r="AL99" s="40"/>
      <c r="AM99" s="40"/>
      <c r="AN99" s="40"/>
    </row>
    <row r="100" spans="1:40" x14ac:dyDescent="0.3">
      <c r="A100" s="70"/>
      <c r="B100" s="76"/>
      <c r="C100" s="36"/>
      <c r="D100" s="40"/>
      <c r="E100" s="40"/>
      <c r="F100" s="40"/>
      <c r="G100" s="40"/>
      <c r="H100" s="40"/>
      <c r="I100" s="36"/>
      <c r="J100" s="36"/>
      <c r="K100" s="36"/>
      <c r="L100" s="36"/>
      <c r="M100" s="36"/>
      <c r="N100" s="36"/>
      <c r="O100" s="40"/>
      <c r="P100" s="59"/>
      <c r="Q100" s="36"/>
      <c r="S100" s="36"/>
      <c r="T100" s="36"/>
      <c r="U100" s="36"/>
      <c r="V100" s="36"/>
      <c r="W100" s="36"/>
      <c r="X100" s="36"/>
      <c r="Y100" s="40"/>
      <c r="Z100" s="36"/>
      <c r="AA100" s="36"/>
      <c r="AB100" s="36"/>
      <c r="AC100" s="36"/>
      <c r="AD100" s="36"/>
      <c r="AE100" s="36"/>
      <c r="AF100" s="36"/>
      <c r="AG100" s="36"/>
      <c r="AH100" s="36"/>
      <c r="AI100" s="36"/>
      <c r="AJ100" s="36"/>
      <c r="AK100" s="40"/>
      <c r="AL100" s="40"/>
      <c r="AM100" s="40"/>
      <c r="AN100" s="40"/>
    </row>
    <row r="101" spans="1:40" x14ac:dyDescent="0.3">
      <c r="A101" s="70"/>
      <c r="B101" s="76"/>
      <c r="C101" s="36"/>
      <c r="D101" s="40"/>
      <c r="E101" s="40"/>
      <c r="F101" s="40"/>
      <c r="G101" s="40"/>
      <c r="H101" s="40"/>
      <c r="I101" s="36"/>
      <c r="J101" s="36"/>
      <c r="K101" s="36"/>
      <c r="L101" s="36"/>
      <c r="M101" s="36"/>
      <c r="N101" s="36"/>
      <c r="O101" s="40"/>
      <c r="P101" s="59"/>
      <c r="Q101" s="36"/>
      <c r="S101" s="36"/>
      <c r="T101" s="36"/>
      <c r="U101" s="36"/>
      <c r="V101" s="36"/>
      <c r="W101" s="36"/>
      <c r="X101" s="36"/>
      <c r="Y101" s="40"/>
      <c r="Z101" s="36"/>
      <c r="AA101" s="36"/>
      <c r="AB101" s="36"/>
      <c r="AC101" s="36"/>
      <c r="AD101" s="36"/>
      <c r="AE101" s="36"/>
      <c r="AF101" s="36"/>
      <c r="AG101" s="36"/>
      <c r="AH101" s="36"/>
      <c r="AI101" s="36"/>
      <c r="AJ101" s="36"/>
      <c r="AK101" s="40"/>
      <c r="AL101" s="40"/>
      <c r="AM101" s="40"/>
      <c r="AN101" s="40"/>
    </row>
    <row r="102" spans="1:40" x14ac:dyDescent="0.3">
      <c r="A102" s="70"/>
      <c r="B102" s="76"/>
      <c r="C102" s="36"/>
      <c r="D102" s="40"/>
      <c r="E102" s="40"/>
      <c r="F102" s="40"/>
      <c r="G102" s="40"/>
      <c r="H102" s="40"/>
      <c r="I102" s="36"/>
      <c r="J102" s="36"/>
      <c r="K102" s="36"/>
      <c r="L102" s="36"/>
      <c r="M102" s="36"/>
      <c r="N102" s="36"/>
      <c r="O102" s="40"/>
      <c r="P102" s="59"/>
      <c r="Q102" s="36"/>
      <c r="S102" s="36"/>
      <c r="T102" s="36"/>
      <c r="U102" s="36"/>
      <c r="V102" s="36"/>
      <c r="W102" s="36"/>
      <c r="X102" s="36"/>
      <c r="Y102" s="40"/>
      <c r="Z102" s="36"/>
      <c r="AA102" s="36"/>
      <c r="AB102" s="36"/>
      <c r="AC102" s="36"/>
      <c r="AD102" s="36"/>
      <c r="AE102" s="36"/>
      <c r="AF102" s="36"/>
      <c r="AG102" s="36"/>
      <c r="AH102" s="36"/>
      <c r="AI102" s="36"/>
      <c r="AJ102" s="36"/>
      <c r="AK102" s="40"/>
      <c r="AL102" s="40"/>
      <c r="AM102" s="40"/>
      <c r="AN102" s="40"/>
    </row>
    <row r="103" spans="1:40" x14ac:dyDescent="0.3">
      <c r="A103" s="70"/>
      <c r="B103" s="76"/>
      <c r="C103" s="36"/>
      <c r="D103" s="40"/>
      <c r="E103" s="40"/>
      <c r="F103" s="40"/>
      <c r="G103" s="40"/>
      <c r="H103" s="40"/>
      <c r="I103" s="36"/>
      <c r="J103" s="36"/>
      <c r="K103" s="36"/>
      <c r="L103" s="36"/>
      <c r="M103" s="36"/>
      <c r="N103" s="36"/>
      <c r="O103" s="40"/>
      <c r="P103" s="59"/>
      <c r="Q103" s="36"/>
      <c r="S103" s="36"/>
      <c r="T103" s="36"/>
      <c r="U103" s="36"/>
      <c r="V103" s="36"/>
      <c r="W103" s="36"/>
      <c r="X103" s="36"/>
      <c r="Y103" s="40"/>
      <c r="Z103" s="36"/>
      <c r="AA103" s="36"/>
      <c r="AB103" s="36"/>
      <c r="AC103" s="36"/>
      <c r="AD103" s="36"/>
      <c r="AE103" s="36"/>
      <c r="AF103" s="36"/>
      <c r="AG103" s="36"/>
      <c r="AH103" s="36"/>
      <c r="AI103" s="36"/>
      <c r="AJ103" s="36"/>
      <c r="AK103" s="40"/>
      <c r="AL103" s="40"/>
      <c r="AM103" s="40"/>
      <c r="AN103" s="40"/>
    </row>
    <row r="104" spans="1:40" x14ac:dyDescent="0.3">
      <c r="A104" s="70"/>
      <c r="B104" s="76"/>
      <c r="C104" s="36"/>
      <c r="D104" s="40"/>
      <c r="E104" s="40"/>
      <c r="F104" s="40"/>
      <c r="G104" s="40"/>
      <c r="H104" s="40"/>
      <c r="I104" s="36"/>
      <c r="J104" s="36"/>
      <c r="K104" s="36"/>
      <c r="L104" s="36"/>
      <c r="M104" s="36"/>
      <c r="N104" s="36"/>
      <c r="O104" s="40"/>
      <c r="P104" s="59"/>
      <c r="Q104" s="36"/>
      <c r="S104" s="36"/>
      <c r="T104" s="36"/>
      <c r="U104" s="36"/>
      <c r="V104" s="36"/>
      <c r="W104" s="36"/>
      <c r="X104" s="36"/>
      <c r="Y104" s="40"/>
      <c r="Z104" s="36"/>
      <c r="AA104" s="36"/>
      <c r="AB104" s="36"/>
      <c r="AC104" s="36"/>
      <c r="AD104" s="36"/>
      <c r="AE104" s="36"/>
      <c r="AF104" s="36"/>
      <c r="AG104" s="36"/>
      <c r="AH104" s="36"/>
      <c r="AI104" s="36"/>
      <c r="AJ104" s="36"/>
      <c r="AK104" s="40"/>
      <c r="AL104" s="40"/>
      <c r="AM104" s="40"/>
      <c r="AN104" s="40"/>
    </row>
    <row r="105" spans="1:40" x14ac:dyDescent="0.3">
      <c r="A105" s="70"/>
      <c r="B105" s="76"/>
      <c r="C105" s="36"/>
      <c r="D105" s="40"/>
      <c r="E105" s="40"/>
      <c r="F105" s="40"/>
      <c r="G105" s="40"/>
      <c r="H105" s="40"/>
      <c r="I105" s="36"/>
      <c r="J105" s="36"/>
      <c r="K105" s="36"/>
      <c r="L105" s="36"/>
      <c r="M105" s="36"/>
      <c r="N105" s="36"/>
      <c r="O105" s="40"/>
      <c r="P105" s="59"/>
      <c r="Q105" s="36"/>
      <c r="S105" s="36"/>
      <c r="T105" s="36"/>
      <c r="U105" s="36"/>
      <c r="V105" s="36"/>
      <c r="W105" s="36"/>
      <c r="X105" s="36"/>
      <c r="Y105" s="40"/>
      <c r="Z105" s="36"/>
      <c r="AA105" s="36"/>
      <c r="AB105" s="36"/>
      <c r="AC105" s="36"/>
      <c r="AD105" s="36"/>
      <c r="AE105" s="36"/>
      <c r="AF105" s="36"/>
      <c r="AG105" s="36"/>
      <c r="AH105" s="36"/>
      <c r="AI105" s="36"/>
      <c r="AJ105" s="36"/>
      <c r="AK105" s="40"/>
      <c r="AL105" s="40"/>
      <c r="AM105" s="40"/>
      <c r="AN105" s="40"/>
    </row>
    <row r="106" spans="1:40" x14ac:dyDescent="0.3">
      <c r="A106" s="70"/>
      <c r="B106" s="76"/>
      <c r="C106" s="36"/>
      <c r="D106" s="40"/>
      <c r="E106" s="40"/>
      <c r="F106" s="40"/>
      <c r="G106" s="40"/>
      <c r="H106" s="40"/>
      <c r="I106" s="36"/>
      <c r="J106" s="36"/>
      <c r="K106" s="36"/>
      <c r="L106" s="36"/>
      <c r="M106" s="36"/>
      <c r="N106" s="36"/>
      <c r="O106" s="40"/>
      <c r="P106" s="59"/>
      <c r="Q106" s="36"/>
      <c r="S106" s="36"/>
      <c r="T106" s="36"/>
      <c r="U106" s="36"/>
      <c r="V106" s="36"/>
      <c r="W106" s="36"/>
      <c r="X106" s="36"/>
      <c r="Y106" s="40"/>
      <c r="Z106" s="36"/>
      <c r="AA106" s="36"/>
      <c r="AB106" s="36"/>
      <c r="AC106" s="36"/>
      <c r="AD106" s="36"/>
      <c r="AE106" s="36"/>
      <c r="AF106" s="36"/>
      <c r="AG106" s="36"/>
      <c r="AH106" s="36"/>
      <c r="AI106" s="36"/>
      <c r="AJ106" s="36"/>
      <c r="AK106" s="40"/>
      <c r="AL106" s="40"/>
      <c r="AM106" s="40"/>
      <c r="AN106" s="40"/>
    </row>
    <row r="107" spans="1:40" x14ac:dyDescent="0.3">
      <c r="A107" s="70"/>
      <c r="B107" s="76"/>
      <c r="C107" s="36"/>
      <c r="D107" s="40"/>
      <c r="E107" s="40"/>
      <c r="F107" s="40"/>
      <c r="G107" s="40"/>
      <c r="H107" s="40"/>
      <c r="I107" s="36"/>
      <c r="J107" s="36"/>
      <c r="K107" s="36"/>
      <c r="L107" s="36"/>
      <c r="M107" s="36"/>
      <c r="N107" s="36"/>
      <c r="O107" s="40"/>
      <c r="P107" s="59"/>
      <c r="Q107" s="36"/>
      <c r="S107" s="36"/>
      <c r="T107" s="36"/>
      <c r="U107" s="36"/>
      <c r="V107" s="36"/>
      <c r="W107" s="36"/>
      <c r="X107" s="36"/>
      <c r="Y107" s="40"/>
      <c r="Z107" s="36"/>
      <c r="AA107" s="36"/>
      <c r="AB107" s="36"/>
      <c r="AC107" s="36"/>
      <c r="AD107" s="36"/>
      <c r="AE107" s="36"/>
      <c r="AF107" s="36"/>
      <c r="AG107" s="36"/>
      <c r="AH107" s="36"/>
      <c r="AI107" s="36"/>
      <c r="AJ107" s="36"/>
      <c r="AK107" s="40"/>
      <c r="AL107" s="40"/>
      <c r="AM107" s="40"/>
      <c r="AN107" s="40"/>
    </row>
    <row r="108" spans="1:40" x14ac:dyDescent="0.3">
      <c r="A108" s="70"/>
      <c r="B108" s="76"/>
      <c r="C108" s="36"/>
      <c r="D108" s="40"/>
      <c r="E108" s="40"/>
      <c r="F108" s="40"/>
      <c r="G108" s="40"/>
      <c r="H108" s="40"/>
      <c r="I108" s="36"/>
      <c r="J108" s="36"/>
      <c r="K108" s="36"/>
      <c r="L108" s="36"/>
      <c r="M108" s="36"/>
      <c r="N108" s="36"/>
      <c r="O108" s="40"/>
      <c r="P108" s="59"/>
      <c r="Q108" s="36"/>
      <c r="S108" s="36"/>
      <c r="T108" s="36"/>
      <c r="U108" s="36"/>
      <c r="V108" s="36"/>
      <c r="W108" s="36"/>
      <c r="X108" s="36"/>
      <c r="Y108" s="40"/>
      <c r="Z108" s="36"/>
      <c r="AA108" s="36"/>
      <c r="AB108" s="36"/>
      <c r="AC108" s="36"/>
      <c r="AD108" s="36"/>
      <c r="AE108" s="36"/>
      <c r="AF108" s="36"/>
      <c r="AG108" s="36"/>
      <c r="AH108" s="36"/>
      <c r="AI108" s="36"/>
      <c r="AJ108" s="36"/>
      <c r="AK108" s="40"/>
      <c r="AL108" s="40"/>
      <c r="AM108" s="40"/>
      <c r="AN108" s="40"/>
    </row>
    <row r="109" spans="1:40" x14ac:dyDescent="0.3">
      <c r="A109" s="70"/>
      <c r="B109" s="76"/>
      <c r="C109" s="36"/>
      <c r="D109" s="40"/>
      <c r="E109" s="40"/>
      <c r="F109" s="40"/>
      <c r="G109" s="40"/>
      <c r="H109" s="40"/>
      <c r="I109" s="36"/>
      <c r="J109" s="36"/>
      <c r="K109" s="36"/>
      <c r="L109" s="36"/>
      <c r="M109" s="36"/>
      <c r="N109" s="36"/>
      <c r="O109" s="40"/>
      <c r="P109" s="59"/>
      <c r="Q109" s="36"/>
      <c r="S109" s="36"/>
      <c r="T109" s="36"/>
      <c r="U109" s="36"/>
      <c r="V109" s="36"/>
      <c r="W109" s="36"/>
      <c r="X109" s="36"/>
      <c r="Y109" s="40"/>
      <c r="Z109" s="36"/>
      <c r="AA109" s="36"/>
      <c r="AB109" s="36"/>
      <c r="AC109" s="36"/>
      <c r="AD109" s="36"/>
      <c r="AE109" s="36"/>
      <c r="AF109" s="36"/>
      <c r="AG109" s="36"/>
      <c r="AH109" s="36"/>
      <c r="AI109" s="36"/>
      <c r="AJ109" s="36"/>
      <c r="AK109" s="40"/>
      <c r="AL109" s="40"/>
      <c r="AM109" s="40"/>
      <c r="AN109" s="40"/>
    </row>
    <row r="110" spans="1:40" x14ac:dyDescent="0.3">
      <c r="A110" s="70"/>
      <c r="B110" s="76"/>
      <c r="C110" s="36"/>
      <c r="D110" s="40"/>
      <c r="E110" s="40"/>
      <c r="F110" s="40"/>
      <c r="G110" s="40"/>
      <c r="H110" s="40"/>
      <c r="I110" s="36"/>
      <c r="J110" s="36"/>
      <c r="K110" s="36"/>
      <c r="L110" s="36"/>
      <c r="M110" s="36"/>
      <c r="N110" s="36"/>
      <c r="O110" s="40"/>
      <c r="P110" s="59"/>
      <c r="Q110" s="36"/>
      <c r="S110" s="36"/>
      <c r="T110" s="36"/>
      <c r="U110" s="36"/>
      <c r="V110" s="36"/>
      <c r="W110" s="36"/>
      <c r="X110" s="36"/>
      <c r="Y110" s="40"/>
      <c r="Z110" s="36"/>
      <c r="AA110" s="36"/>
      <c r="AB110" s="36"/>
      <c r="AC110" s="36"/>
      <c r="AD110" s="36"/>
      <c r="AE110" s="36"/>
      <c r="AF110" s="36"/>
      <c r="AG110" s="36"/>
      <c r="AH110" s="36"/>
      <c r="AI110" s="36"/>
      <c r="AJ110" s="36"/>
      <c r="AK110" s="40"/>
      <c r="AL110" s="40"/>
      <c r="AM110" s="40"/>
      <c r="AN110" s="40"/>
    </row>
    <row r="111" spans="1:40" x14ac:dyDescent="0.3">
      <c r="A111" s="70"/>
      <c r="B111" s="76"/>
      <c r="C111" s="36"/>
      <c r="D111" s="40"/>
      <c r="E111" s="40"/>
      <c r="F111" s="40"/>
      <c r="G111" s="40"/>
      <c r="H111" s="40"/>
      <c r="I111" s="36"/>
      <c r="J111" s="36"/>
      <c r="K111" s="36"/>
      <c r="L111" s="36"/>
      <c r="M111" s="36"/>
      <c r="N111" s="36"/>
      <c r="O111" s="40"/>
      <c r="P111" s="59"/>
      <c r="Q111" s="36"/>
      <c r="S111" s="36"/>
      <c r="T111" s="36"/>
      <c r="U111" s="36"/>
      <c r="V111" s="36"/>
      <c r="W111" s="36"/>
      <c r="X111" s="36"/>
      <c r="Y111" s="40"/>
      <c r="Z111" s="36"/>
      <c r="AA111" s="36"/>
      <c r="AB111" s="36"/>
      <c r="AC111" s="36"/>
      <c r="AD111" s="36"/>
      <c r="AE111" s="36"/>
      <c r="AF111" s="36"/>
      <c r="AG111" s="36"/>
      <c r="AH111" s="36"/>
      <c r="AI111" s="36"/>
      <c r="AJ111" s="36"/>
      <c r="AK111" s="40"/>
      <c r="AL111" s="40"/>
      <c r="AM111" s="40"/>
      <c r="AN111" s="40"/>
    </row>
    <row r="112" spans="1:40" x14ac:dyDescent="0.3">
      <c r="A112" s="70"/>
      <c r="B112" s="76"/>
      <c r="C112" s="36"/>
      <c r="D112" s="40"/>
      <c r="E112" s="40"/>
      <c r="F112" s="40"/>
      <c r="G112" s="40"/>
      <c r="H112" s="40"/>
      <c r="I112" s="36"/>
      <c r="J112" s="36"/>
      <c r="K112" s="36"/>
      <c r="L112" s="36"/>
      <c r="M112" s="36"/>
      <c r="N112" s="36"/>
      <c r="O112" s="40"/>
      <c r="P112" s="59"/>
      <c r="Q112" s="36"/>
      <c r="S112" s="36"/>
      <c r="T112" s="36"/>
      <c r="U112" s="36"/>
      <c r="V112" s="36"/>
      <c r="W112" s="36"/>
      <c r="X112" s="36"/>
      <c r="Y112" s="40"/>
      <c r="Z112" s="36"/>
      <c r="AA112" s="36"/>
      <c r="AB112" s="36"/>
      <c r="AC112" s="36"/>
      <c r="AD112" s="36"/>
      <c r="AE112" s="36"/>
      <c r="AF112" s="36"/>
      <c r="AG112" s="36"/>
      <c r="AH112" s="36"/>
      <c r="AI112" s="36"/>
      <c r="AJ112" s="36"/>
      <c r="AK112" s="40"/>
      <c r="AL112" s="40"/>
      <c r="AM112" s="40"/>
      <c r="AN112" s="40"/>
    </row>
    <row r="113" spans="1:40" x14ac:dyDescent="0.3">
      <c r="A113" s="70"/>
      <c r="B113" s="76"/>
      <c r="C113" s="36"/>
      <c r="D113" s="40"/>
      <c r="E113" s="40"/>
      <c r="F113" s="40"/>
      <c r="G113" s="40"/>
      <c r="H113" s="40"/>
      <c r="I113" s="36"/>
      <c r="J113" s="36"/>
      <c r="K113" s="36"/>
      <c r="L113" s="36"/>
      <c r="M113" s="36"/>
      <c r="N113" s="36"/>
      <c r="O113" s="40"/>
      <c r="P113" s="59"/>
      <c r="Q113" s="36"/>
      <c r="S113" s="36"/>
      <c r="T113" s="36"/>
      <c r="U113" s="36"/>
      <c r="V113" s="36"/>
      <c r="W113" s="36"/>
      <c r="X113" s="36"/>
      <c r="Y113" s="40"/>
      <c r="Z113" s="36"/>
      <c r="AA113" s="36"/>
      <c r="AB113" s="36"/>
      <c r="AC113" s="36"/>
      <c r="AD113" s="36"/>
      <c r="AE113" s="36"/>
      <c r="AF113" s="36"/>
      <c r="AG113" s="36"/>
      <c r="AH113" s="36"/>
      <c r="AI113" s="36"/>
      <c r="AJ113" s="36"/>
      <c r="AK113" s="40"/>
      <c r="AL113" s="40"/>
      <c r="AM113" s="40"/>
      <c r="AN113" s="40"/>
    </row>
    <row r="114" spans="1:40" x14ac:dyDescent="0.3">
      <c r="A114" s="70"/>
      <c r="B114" s="76"/>
      <c r="C114" s="36"/>
      <c r="D114" s="40"/>
      <c r="E114" s="40"/>
      <c r="F114" s="40"/>
      <c r="G114" s="40"/>
      <c r="H114" s="40"/>
      <c r="I114" s="36"/>
      <c r="J114" s="36"/>
      <c r="K114" s="36"/>
      <c r="L114" s="36"/>
      <c r="M114" s="36"/>
      <c r="N114" s="36"/>
      <c r="O114" s="40"/>
      <c r="P114" s="59"/>
      <c r="Q114" s="36"/>
      <c r="S114" s="36"/>
      <c r="T114" s="36"/>
      <c r="U114" s="36"/>
      <c r="V114" s="36"/>
      <c r="W114" s="36"/>
      <c r="X114" s="36"/>
      <c r="Y114" s="40"/>
      <c r="Z114" s="36"/>
      <c r="AA114" s="36"/>
      <c r="AB114" s="36"/>
      <c r="AC114" s="36"/>
      <c r="AD114" s="36"/>
      <c r="AE114" s="36"/>
      <c r="AF114" s="36"/>
      <c r="AG114" s="36"/>
      <c r="AH114" s="36"/>
      <c r="AI114" s="36"/>
      <c r="AJ114" s="36"/>
      <c r="AK114" s="40"/>
      <c r="AL114" s="40"/>
      <c r="AM114" s="40"/>
      <c r="AN114" s="40"/>
    </row>
    <row r="115" spans="1:40" x14ac:dyDescent="0.3">
      <c r="A115" s="70"/>
      <c r="B115" s="76"/>
      <c r="C115" s="36"/>
      <c r="D115" s="40"/>
      <c r="E115" s="40"/>
      <c r="F115" s="40"/>
      <c r="G115" s="40"/>
      <c r="H115" s="40"/>
      <c r="I115" s="36"/>
      <c r="J115" s="36"/>
      <c r="K115" s="36"/>
      <c r="L115" s="36"/>
      <c r="M115" s="36"/>
      <c r="N115" s="36"/>
      <c r="O115" s="40"/>
      <c r="P115" s="59"/>
      <c r="Q115" s="36"/>
      <c r="S115" s="36"/>
      <c r="T115" s="36"/>
      <c r="U115" s="36"/>
      <c r="V115" s="36"/>
      <c r="W115" s="36"/>
      <c r="X115" s="36"/>
      <c r="Y115" s="40"/>
      <c r="Z115" s="36"/>
      <c r="AA115" s="36"/>
      <c r="AB115" s="36"/>
      <c r="AC115" s="36"/>
      <c r="AD115" s="36"/>
      <c r="AE115" s="36"/>
      <c r="AF115" s="36"/>
      <c r="AG115" s="36"/>
      <c r="AH115" s="36"/>
      <c r="AI115" s="36"/>
      <c r="AJ115" s="36"/>
      <c r="AK115" s="40"/>
      <c r="AL115" s="40"/>
      <c r="AM115" s="40"/>
      <c r="AN115" s="40"/>
    </row>
    <row r="116" spans="1:40" x14ac:dyDescent="0.3">
      <c r="A116" s="70"/>
      <c r="B116" s="76"/>
      <c r="C116" s="36"/>
      <c r="D116" s="40"/>
      <c r="E116" s="40"/>
      <c r="F116" s="40"/>
      <c r="G116" s="40"/>
      <c r="H116" s="40"/>
      <c r="I116" s="36"/>
      <c r="J116" s="36"/>
      <c r="K116" s="36"/>
      <c r="L116" s="36"/>
      <c r="M116" s="36"/>
      <c r="N116" s="36"/>
      <c r="O116" s="40"/>
      <c r="P116" s="59"/>
      <c r="Q116" s="36"/>
      <c r="S116" s="36"/>
      <c r="T116" s="36"/>
      <c r="U116" s="36"/>
      <c r="V116" s="36"/>
      <c r="W116" s="36"/>
      <c r="X116" s="36"/>
      <c r="Y116" s="40"/>
      <c r="Z116" s="36"/>
      <c r="AA116" s="36"/>
      <c r="AB116" s="36"/>
      <c r="AC116" s="36"/>
      <c r="AD116" s="36"/>
      <c r="AE116" s="36"/>
      <c r="AF116" s="36"/>
      <c r="AG116" s="36"/>
      <c r="AH116" s="36"/>
      <c r="AI116" s="36"/>
      <c r="AJ116" s="36"/>
      <c r="AK116" s="40"/>
      <c r="AL116" s="40"/>
      <c r="AM116" s="40"/>
      <c r="AN116" s="40"/>
    </row>
    <row r="117" spans="1:40" x14ac:dyDescent="0.3">
      <c r="A117" s="70"/>
      <c r="B117" s="76"/>
      <c r="C117" s="36"/>
      <c r="D117" s="40"/>
      <c r="E117" s="40"/>
      <c r="F117" s="40"/>
      <c r="G117" s="40"/>
      <c r="H117" s="40"/>
      <c r="I117" s="36"/>
      <c r="J117" s="36"/>
      <c r="K117" s="36"/>
      <c r="L117" s="36"/>
      <c r="M117" s="36"/>
      <c r="N117" s="36"/>
      <c r="O117" s="40"/>
      <c r="P117" s="59"/>
      <c r="Q117" s="36"/>
      <c r="S117" s="36"/>
      <c r="T117" s="36"/>
      <c r="U117" s="36"/>
      <c r="V117" s="36"/>
      <c r="W117" s="36"/>
      <c r="X117" s="36"/>
      <c r="Y117" s="40"/>
      <c r="Z117" s="36"/>
      <c r="AA117" s="36"/>
      <c r="AB117" s="36"/>
      <c r="AC117" s="36"/>
      <c r="AD117" s="36"/>
      <c r="AE117" s="36"/>
      <c r="AF117" s="36"/>
      <c r="AG117" s="36"/>
      <c r="AH117" s="36"/>
      <c r="AI117" s="36"/>
      <c r="AJ117" s="36"/>
      <c r="AK117" s="40"/>
      <c r="AL117" s="40"/>
      <c r="AM117" s="40"/>
      <c r="AN117" s="40"/>
    </row>
    <row r="118" spans="1:40" x14ac:dyDescent="0.3">
      <c r="A118" s="70"/>
      <c r="B118" s="76"/>
      <c r="C118" s="36"/>
      <c r="D118" s="40"/>
      <c r="E118" s="40"/>
      <c r="F118" s="40"/>
      <c r="G118" s="40"/>
      <c r="H118" s="40"/>
      <c r="I118" s="36"/>
      <c r="J118" s="36"/>
      <c r="K118" s="36"/>
      <c r="L118" s="36"/>
      <c r="M118" s="36"/>
      <c r="N118" s="36"/>
      <c r="O118" s="40"/>
      <c r="P118" s="59"/>
      <c r="Q118" s="36"/>
      <c r="S118" s="36"/>
      <c r="T118" s="36"/>
      <c r="U118" s="36"/>
      <c r="V118" s="36"/>
      <c r="W118" s="36"/>
      <c r="X118" s="36"/>
      <c r="Y118" s="40"/>
      <c r="Z118" s="36"/>
      <c r="AA118" s="36"/>
      <c r="AB118" s="36"/>
      <c r="AC118" s="36"/>
      <c r="AD118" s="36"/>
      <c r="AE118" s="36"/>
      <c r="AF118" s="36"/>
      <c r="AG118" s="36"/>
      <c r="AH118" s="36"/>
      <c r="AI118" s="36"/>
      <c r="AJ118" s="36"/>
      <c r="AK118" s="40"/>
      <c r="AL118" s="40"/>
      <c r="AM118" s="40"/>
      <c r="AN118" s="40"/>
    </row>
    <row r="119" spans="1:40" x14ac:dyDescent="0.3">
      <c r="A119" s="70"/>
      <c r="B119" s="76"/>
      <c r="C119" s="36"/>
      <c r="D119" s="40"/>
      <c r="E119" s="40"/>
      <c r="F119" s="40"/>
      <c r="G119" s="40"/>
      <c r="H119" s="40"/>
      <c r="I119" s="36"/>
      <c r="J119" s="36"/>
      <c r="K119" s="36"/>
      <c r="L119" s="36"/>
      <c r="M119" s="36"/>
      <c r="N119" s="36"/>
      <c r="O119" s="40"/>
      <c r="P119" s="59"/>
      <c r="Q119" s="36"/>
      <c r="S119" s="36"/>
      <c r="T119" s="36"/>
      <c r="U119" s="36"/>
      <c r="V119" s="36"/>
      <c r="W119" s="36"/>
      <c r="X119" s="36"/>
      <c r="Y119" s="40"/>
      <c r="Z119" s="36"/>
      <c r="AA119" s="36"/>
      <c r="AB119" s="36"/>
      <c r="AC119" s="36"/>
      <c r="AD119" s="36"/>
      <c r="AE119" s="36"/>
      <c r="AF119" s="36"/>
      <c r="AG119" s="36"/>
      <c r="AH119" s="36"/>
      <c r="AI119" s="36"/>
      <c r="AJ119" s="36"/>
      <c r="AK119" s="40"/>
      <c r="AL119" s="40"/>
      <c r="AM119" s="40"/>
      <c r="AN119" s="40"/>
    </row>
    <row r="120" spans="1:40" x14ac:dyDescent="0.3">
      <c r="A120" s="70"/>
      <c r="B120" s="76"/>
      <c r="C120" s="36"/>
      <c r="D120" s="40"/>
      <c r="E120" s="40"/>
      <c r="F120" s="40"/>
      <c r="G120" s="40"/>
      <c r="H120" s="40"/>
      <c r="I120" s="36"/>
      <c r="J120" s="36"/>
      <c r="K120" s="36"/>
      <c r="L120" s="36"/>
      <c r="M120" s="36"/>
      <c r="N120" s="36"/>
      <c r="O120" s="40"/>
      <c r="P120" s="59"/>
      <c r="Q120" s="36"/>
      <c r="S120" s="36"/>
      <c r="T120" s="36"/>
      <c r="U120" s="36"/>
      <c r="V120" s="36"/>
      <c r="W120" s="36"/>
      <c r="X120" s="36"/>
      <c r="Y120" s="40"/>
      <c r="Z120" s="36"/>
      <c r="AA120" s="36"/>
      <c r="AB120" s="36"/>
      <c r="AC120" s="36"/>
      <c r="AD120" s="36"/>
      <c r="AE120" s="36"/>
      <c r="AF120" s="36"/>
      <c r="AG120" s="36"/>
      <c r="AH120" s="36"/>
      <c r="AI120" s="36"/>
      <c r="AJ120" s="36"/>
      <c r="AK120" s="40"/>
      <c r="AL120" s="40"/>
      <c r="AM120" s="40"/>
      <c r="AN120" s="40"/>
    </row>
    <row r="121" spans="1:40" x14ac:dyDescent="0.3">
      <c r="A121" s="70"/>
      <c r="B121" s="76"/>
      <c r="C121" s="36"/>
      <c r="D121" s="40"/>
      <c r="E121" s="40"/>
      <c r="F121" s="40"/>
      <c r="G121" s="40"/>
      <c r="H121" s="40"/>
      <c r="I121" s="36"/>
      <c r="J121" s="36"/>
      <c r="K121" s="36"/>
      <c r="L121" s="36"/>
      <c r="M121" s="36"/>
      <c r="N121" s="36"/>
      <c r="O121" s="40"/>
      <c r="P121" s="59"/>
      <c r="Q121" s="36"/>
      <c r="S121" s="36"/>
      <c r="T121" s="36"/>
      <c r="U121" s="36"/>
      <c r="V121" s="36"/>
      <c r="W121" s="36"/>
      <c r="X121" s="36"/>
      <c r="Y121" s="40"/>
      <c r="Z121" s="36"/>
      <c r="AA121" s="36"/>
      <c r="AB121" s="36"/>
      <c r="AC121" s="36"/>
      <c r="AD121" s="36"/>
      <c r="AE121" s="36"/>
      <c r="AF121" s="36"/>
      <c r="AG121" s="36"/>
      <c r="AH121" s="36"/>
      <c r="AI121" s="36"/>
      <c r="AJ121" s="36"/>
      <c r="AK121" s="40"/>
      <c r="AL121" s="40"/>
      <c r="AM121" s="40"/>
      <c r="AN121" s="40"/>
    </row>
    <row r="122" spans="1:40" x14ac:dyDescent="0.3">
      <c r="A122" s="70"/>
      <c r="B122" s="76"/>
      <c r="C122" s="36"/>
      <c r="D122" s="40"/>
      <c r="E122" s="40"/>
      <c r="F122" s="40"/>
      <c r="G122" s="40"/>
      <c r="H122" s="40"/>
      <c r="I122" s="36"/>
      <c r="J122" s="36"/>
      <c r="K122" s="36"/>
      <c r="L122" s="36"/>
      <c r="M122" s="36"/>
      <c r="N122" s="36"/>
      <c r="O122" s="40"/>
      <c r="P122" s="59"/>
      <c r="Q122" s="36"/>
      <c r="S122" s="36"/>
      <c r="T122" s="36"/>
      <c r="U122" s="36"/>
      <c r="V122" s="36"/>
      <c r="W122" s="36"/>
      <c r="X122" s="36"/>
      <c r="Y122" s="40"/>
      <c r="Z122" s="36"/>
      <c r="AA122" s="36"/>
      <c r="AB122" s="36"/>
      <c r="AC122" s="36"/>
      <c r="AD122" s="36"/>
      <c r="AE122" s="36"/>
      <c r="AF122" s="36"/>
      <c r="AG122" s="36"/>
      <c r="AH122" s="36"/>
      <c r="AI122" s="36"/>
      <c r="AJ122" s="36"/>
      <c r="AK122" s="40"/>
      <c r="AL122" s="40"/>
      <c r="AM122" s="40"/>
      <c r="AN122" s="40"/>
    </row>
    <row r="123" spans="1:40" x14ac:dyDescent="0.3">
      <c r="A123" s="70"/>
      <c r="B123" s="76"/>
      <c r="C123" s="36"/>
      <c r="D123" s="40"/>
      <c r="E123" s="40"/>
      <c r="F123" s="40"/>
      <c r="G123" s="40"/>
      <c r="H123" s="40"/>
      <c r="I123" s="36"/>
      <c r="J123" s="36"/>
      <c r="K123" s="36"/>
      <c r="L123" s="36"/>
      <c r="M123" s="36"/>
      <c r="N123" s="36"/>
      <c r="O123" s="40"/>
      <c r="P123" s="59"/>
      <c r="Q123" s="36"/>
      <c r="S123" s="36"/>
      <c r="T123" s="36"/>
      <c r="U123" s="36"/>
      <c r="V123" s="36"/>
      <c r="W123" s="36"/>
      <c r="X123" s="36"/>
      <c r="Y123" s="40"/>
      <c r="Z123" s="36"/>
      <c r="AA123" s="36"/>
      <c r="AB123" s="36"/>
      <c r="AC123" s="36"/>
      <c r="AD123" s="36"/>
      <c r="AE123" s="36"/>
      <c r="AF123" s="36"/>
      <c r="AG123" s="36"/>
      <c r="AH123" s="36"/>
      <c r="AI123" s="36"/>
      <c r="AJ123" s="36"/>
      <c r="AK123" s="40"/>
      <c r="AL123" s="40"/>
      <c r="AM123" s="40"/>
      <c r="AN123" s="40"/>
    </row>
    <row r="124" spans="1:40" x14ac:dyDescent="0.3">
      <c r="A124" s="70"/>
      <c r="B124" s="76"/>
      <c r="C124" s="36"/>
      <c r="D124" s="40"/>
      <c r="E124" s="40"/>
      <c r="F124" s="40"/>
      <c r="G124" s="40"/>
      <c r="H124" s="40"/>
      <c r="I124" s="36"/>
      <c r="J124" s="36"/>
      <c r="K124" s="36"/>
      <c r="L124" s="36"/>
      <c r="M124" s="36"/>
      <c r="N124" s="36"/>
      <c r="O124" s="40"/>
      <c r="P124" s="59"/>
      <c r="Q124" s="36"/>
      <c r="S124" s="36"/>
      <c r="T124" s="36"/>
      <c r="U124" s="36"/>
      <c r="V124" s="36"/>
      <c r="W124" s="36"/>
      <c r="X124" s="36"/>
      <c r="Y124" s="40"/>
      <c r="Z124" s="36"/>
      <c r="AA124" s="36"/>
      <c r="AB124" s="36"/>
      <c r="AC124" s="36"/>
      <c r="AD124" s="36"/>
      <c r="AE124" s="36"/>
      <c r="AF124" s="36"/>
      <c r="AG124" s="36"/>
      <c r="AH124" s="36"/>
      <c r="AI124" s="36"/>
      <c r="AJ124" s="36"/>
      <c r="AK124" s="40"/>
      <c r="AL124" s="40"/>
      <c r="AM124" s="40"/>
      <c r="AN124" s="40"/>
    </row>
    <row r="125" spans="1:40" x14ac:dyDescent="0.3">
      <c r="A125" s="70"/>
      <c r="B125" s="76"/>
      <c r="C125" s="36"/>
      <c r="D125" s="40"/>
      <c r="E125" s="40"/>
      <c r="F125" s="40"/>
      <c r="G125" s="40"/>
      <c r="H125" s="40"/>
      <c r="I125" s="36"/>
      <c r="J125" s="36"/>
      <c r="K125" s="36"/>
      <c r="L125" s="36"/>
      <c r="M125" s="36"/>
      <c r="N125" s="36"/>
      <c r="O125" s="40"/>
      <c r="P125" s="59"/>
      <c r="Q125" s="36"/>
      <c r="S125" s="36"/>
      <c r="T125" s="36"/>
      <c r="U125" s="36"/>
      <c r="V125" s="36"/>
      <c r="W125" s="36"/>
      <c r="X125" s="36"/>
      <c r="Y125" s="40"/>
      <c r="Z125" s="36"/>
      <c r="AA125" s="36"/>
      <c r="AB125" s="36"/>
      <c r="AC125" s="36"/>
      <c r="AD125" s="36"/>
      <c r="AE125" s="36"/>
      <c r="AF125" s="36"/>
      <c r="AG125" s="36"/>
      <c r="AH125" s="36"/>
      <c r="AI125" s="36"/>
      <c r="AJ125" s="36"/>
      <c r="AK125" s="40"/>
      <c r="AL125" s="40"/>
      <c r="AM125" s="40"/>
      <c r="AN125" s="40"/>
    </row>
    <row r="126" spans="1:40" x14ac:dyDescent="0.3">
      <c r="A126" s="70"/>
      <c r="B126" s="76"/>
      <c r="C126" s="36"/>
      <c r="D126" s="40"/>
      <c r="E126" s="40"/>
      <c r="F126" s="40"/>
      <c r="G126" s="40"/>
      <c r="H126" s="40"/>
      <c r="I126" s="36"/>
      <c r="J126" s="36"/>
      <c r="K126" s="36"/>
      <c r="L126" s="36"/>
      <c r="M126" s="36"/>
      <c r="N126" s="36"/>
      <c r="O126" s="40"/>
      <c r="P126" s="59"/>
      <c r="Q126" s="36"/>
      <c r="S126" s="36"/>
      <c r="T126" s="36"/>
      <c r="U126" s="36"/>
      <c r="V126" s="36"/>
      <c r="W126" s="36"/>
      <c r="X126" s="36"/>
      <c r="Y126" s="40"/>
      <c r="Z126" s="36"/>
      <c r="AA126" s="36"/>
      <c r="AB126" s="36"/>
      <c r="AC126" s="36"/>
      <c r="AD126" s="36"/>
      <c r="AE126" s="36"/>
      <c r="AF126" s="36"/>
      <c r="AG126" s="36"/>
      <c r="AH126" s="36"/>
      <c r="AI126" s="36"/>
      <c r="AJ126" s="36"/>
      <c r="AK126" s="40"/>
      <c r="AL126" s="40"/>
      <c r="AM126" s="40"/>
      <c r="AN126" s="40"/>
    </row>
    <row r="127" spans="1:40" x14ac:dyDescent="0.3">
      <c r="A127" s="70"/>
      <c r="B127" s="76"/>
      <c r="C127" s="36"/>
      <c r="D127" s="40"/>
      <c r="E127" s="40"/>
      <c r="F127" s="40"/>
      <c r="G127" s="40"/>
      <c r="H127" s="40"/>
      <c r="I127" s="36"/>
      <c r="J127" s="36"/>
      <c r="K127" s="36"/>
      <c r="L127" s="36"/>
      <c r="M127" s="36"/>
      <c r="N127" s="36"/>
      <c r="O127" s="40"/>
      <c r="P127" s="59"/>
      <c r="Q127" s="36"/>
      <c r="S127" s="36"/>
      <c r="T127" s="36"/>
      <c r="U127" s="36"/>
      <c r="V127" s="36"/>
      <c r="W127" s="36"/>
      <c r="X127" s="36"/>
      <c r="Y127" s="40"/>
      <c r="Z127" s="36"/>
      <c r="AA127" s="36"/>
      <c r="AB127" s="36"/>
      <c r="AC127" s="36"/>
      <c r="AD127" s="36"/>
      <c r="AE127" s="36"/>
      <c r="AF127" s="36"/>
      <c r="AG127" s="36"/>
      <c r="AH127" s="36"/>
      <c r="AI127" s="36"/>
      <c r="AJ127" s="36"/>
      <c r="AK127" s="40"/>
      <c r="AL127" s="40"/>
      <c r="AM127" s="40"/>
      <c r="AN127" s="40"/>
    </row>
    <row r="128" spans="1:40" x14ac:dyDescent="0.3">
      <c r="A128" s="70"/>
      <c r="B128" s="76"/>
      <c r="C128" s="36"/>
      <c r="D128" s="40"/>
      <c r="E128" s="40"/>
      <c r="F128" s="40"/>
      <c r="G128" s="40"/>
      <c r="H128" s="40"/>
      <c r="I128" s="36"/>
      <c r="J128" s="36"/>
      <c r="K128" s="36"/>
      <c r="L128" s="36"/>
      <c r="M128" s="36"/>
      <c r="N128" s="36"/>
      <c r="O128" s="40"/>
      <c r="P128" s="59"/>
      <c r="Q128" s="36"/>
      <c r="S128" s="36"/>
      <c r="T128" s="36"/>
      <c r="U128" s="36"/>
      <c r="V128" s="36"/>
      <c r="W128" s="36"/>
      <c r="X128" s="36"/>
      <c r="Y128" s="40"/>
      <c r="Z128" s="36"/>
      <c r="AA128" s="36"/>
      <c r="AB128" s="36"/>
      <c r="AC128" s="36"/>
      <c r="AD128" s="36"/>
      <c r="AE128" s="36"/>
      <c r="AF128" s="36"/>
      <c r="AG128" s="36"/>
      <c r="AH128" s="36"/>
      <c r="AI128" s="36"/>
      <c r="AJ128" s="36"/>
      <c r="AK128" s="40"/>
      <c r="AL128" s="40"/>
      <c r="AM128" s="40"/>
      <c r="AN128" s="40"/>
    </row>
    <row r="129" spans="1:40" x14ac:dyDescent="0.3">
      <c r="A129" s="70"/>
      <c r="B129" s="76"/>
      <c r="C129" s="36"/>
      <c r="D129" s="40"/>
      <c r="E129" s="40"/>
      <c r="F129" s="40"/>
      <c r="G129" s="40"/>
      <c r="H129" s="40"/>
      <c r="I129" s="36"/>
      <c r="J129" s="36"/>
      <c r="K129" s="36"/>
      <c r="L129" s="36"/>
      <c r="M129" s="36"/>
      <c r="N129" s="36"/>
      <c r="P129" s="59"/>
      <c r="Q129" s="36"/>
      <c r="S129" s="36"/>
      <c r="T129" s="36"/>
      <c r="U129" s="36"/>
      <c r="V129" s="36"/>
      <c r="W129" s="36"/>
      <c r="X129" s="36"/>
      <c r="Y129" s="40"/>
      <c r="Z129" s="36"/>
      <c r="AA129" s="36"/>
      <c r="AB129" s="36"/>
      <c r="AC129" s="36"/>
      <c r="AD129" s="36"/>
      <c r="AE129" s="36"/>
      <c r="AF129" s="36"/>
      <c r="AG129" s="36"/>
      <c r="AH129" s="36"/>
      <c r="AI129" s="36"/>
      <c r="AJ129" s="36"/>
      <c r="AK129" s="40"/>
      <c r="AL129" s="40"/>
      <c r="AM129" s="40"/>
      <c r="AN129" s="40"/>
    </row>
    <row r="130" spans="1:40" x14ac:dyDescent="0.3">
      <c r="A130" s="70"/>
      <c r="B130" s="76"/>
      <c r="C130" s="36"/>
      <c r="D130" s="40"/>
      <c r="E130" s="40"/>
      <c r="F130" s="40"/>
      <c r="G130" s="40"/>
      <c r="H130" s="40"/>
      <c r="I130" s="36"/>
      <c r="J130" s="36"/>
      <c r="K130" s="36"/>
      <c r="L130" s="36"/>
      <c r="M130" s="36"/>
      <c r="N130" s="36"/>
      <c r="P130" s="59"/>
      <c r="Q130" s="36"/>
      <c r="S130" s="36"/>
      <c r="T130" s="36"/>
      <c r="U130" s="36"/>
      <c r="V130" s="36"/>
      <c r="W130" s="36"/>
      <c r="X130" s="36"/>
      <c r="Y130" s="40"/>
      <c r="Z130" s="36"/>
      <c r="AA130" s="36"/>
      <c r="AB130" s="36"/>
      <c r="AC130" s="36"/>
      <c r="AD130" s="36"/>
      <c r="AE130" s="36"/>
      <c r="AF130" s="36"/>
      <c r="AG130" s="36"/>
      <c r="AH130" s="36"/>
      <c r="AI130" s="36"/>
      <c r="AJ130" s="36"/>
      <c r="AK130" s="40"/>
      <c r="AL130" s="40"/>
      <c r="AM130" s="40"/>
      <c r="AN130" s="40"/>
    </row>
    <row r="131" spans="1:40" x14ac:dyDescent="0.3">
      <c r="A131" s="70"/>
      <c r="B131" s="76"/>
      <c r="C131" s="36"/>
      <c r="D131" s="40"/>
      <c r="E131" s="40"/>
      <c r="F131" s="40"/>
      <c r="G131" s="40"/>
      <c r="H131" s="40"/>
      <c r="I131" s="36"/>
      <c r="J131" s="36"/>
      <c r="K131" s="36"/>
      <c r="L131" s="36"/>
      <c r="M131" s="36"/>
      <c r="N131" s="36"/>
      <c r="P131" s="59"/>
      <c r="Q131" s="36"/>
      <c r="S131" s="36"/>
      <c r="T131" s="36"/>
      <c r="U131" s="36"/>
      <c r="V131" s="36"/>
      <c r="W131" s="36"/>
      <c r="X131" s="36"/>
      <c r="Y131" s="40"/>
      <c r="Z131" s="36"/>
      <c r="AA131" s="36"/>
      <c r="AB131" s="36"/>
      <c r="AC131" s="36"/>
      <c r="AD131" s="36"/>
      <c r="AE131" s="36"/>
      <c r="AF131" s="36"/>
      <c r="AG131" s="36"/>
      <c r="AH131" s="36"/>
      <c r="AI131" s="36"/>
      <c r="AJ131" s="36"/>
      <c r="AK131" s="40"/>
      <c r="AL131" s="40"/>
      <c r="AM131" s="40"/>
      <c r="AN131" s="40"/>
    </row>
    <row r="132" spans="1:40" x14ac:dyDescent="0.3">
      <c r="A132" s="70"/>
      <c r="B132" s="76"/>
      <c r="C132" s="36"/>
      <c r="D132" s="40"/>
      <c r="E132" s="40"/>
      <c r="F132" s="40"/>
      <c r="G132" s="40"/>
      <c r="H132" s="40"/>
      <c r="I132" s="36"/>
      <c r="J132" s="36"/>
      <c r="K132" s="36"/>
      <c r="L132" s="36"/>
      <c r="M132" s="36"/>
      <c r="N132" s="36"/>
      <c r="P132" s="59"/>
      <c r="Q132" s="36"/>
      <c r="S132" s="36"/>
      <c r="T132" s="36"/>
      <c r="U132" s="36"/>
      <c r="V132" s="36"/>
      <c r="W132" s="36"/>
      <c r="X132" s="36"/>
      <c r="Y132" s="40"/>
      <c r="Z132" s="36"/>
      <c r="AA132" s="36"/>
      <c r="AB132" s="36"/>
      <c r="AC132" s="36"/>
      <c r="AD132" s="36"/>
      <c r="AE132" s="36"/>
      <c r="AF132" s="36"/>
      <c r="AG132" s="36"/>
      <c r="AH132" s="36"/>
      <c r="AI132" s="36"/>
      <c r="AJ132" s="36"/>
      <c r="AK132" s="40"/>
      <c r="AL132" s="40"/>
      <c r="AM132" s="40"/>
      <c r="AN132" s="40"/>
    </row>
    <row r="133" spans="1:40" x14ac:dyDescent="0.3">
      <c r="A133" s="70"/>
      <c r="B133" s="76"/>
      <c r="C133" s="36"/>
      <c r="D133" s="40"/>
      <c r="E133" s="40"/>
      <c r="F133" s="40"/>
      <c r="G133" s="40"/>
      <c r="H133" s="40"/>
      <c r="I133" s="36"/>
      <c r="J133" s="36"/>
      <c r="K133" s="36"/>
      <c r="L133" s="36"/>
      <c r="M133" s="36"/>
      <c r="N133" s="36"/>
      <c r="P133" s="59"/>
      <c r="Q133" s="36"/>
      <c r="S133" s="36"/>
      <c r="T133" s="36"/>
      <c r="U133" s="36"/>
      <c r="V133" s="36"/>
      <c r="W133" s="36"/>
      <c r="X133" s="36"/>
      <c r="Y133" s="40"/>
      <c r="Z133" s="36"/>
      <c r="AA133" s="36"/>
      <c r="AB133" s="36"/>
      <c r="AC133" s="36"/>
      <c r="AD133" s="36"/>
      <c r="AE133" s="36"/>
      <c r="AF133" s="36"/>
      <c r="AG133" s="36"/>
      <c r="AH133" s="36"/>
      <c r="AI133" s="36"/>
      <c r="AJ133" s="36"/>
      <c r="AK133" s="40"/>
      <c r="AL133" s="40"/>
      <c r="AM133" s="40"/>
      <c r="AN133" s="40"/>
    </row>
    <row r="134" spans="1:40" x14ac:dyDescent="0.3">
      <c r="A134" s="70"/>
      <c r="B134" s="76"/>
      <c r="C134" s="36"/>
      <c r="D134" s="40"/>
      <c r="E134" s="40"/>
      <c r="F134" s="40"/>
      <c r="G134" s="40"/>
      <c r="H134" s="40"/>
      <c r="I134" s="36"/>
      <c r="J134" s="36"/>
      <c r="K134" s="36"/>
      <c r="L134" s="36"/>
      <c r="M134" s="36"/>
      <c r="N134" s="36"/>
      <c r="P134" s="59"/>
      <c r="Q134" s="36"/>
      <c r="S134" s="36"/>
      <c r="T134" s="36"/>
      <c r="U134" s="36"/>
      <c r="V134" s="36"/>
      <c r="W134" s="36"/>
      <c r="X134" s="36"/>
      <c r="Y134" s="40"/>
      <c r="Z134" s="36"/>
      <c r="AA134" s="36"/>
      <c r="AB134" s="36"/>
      <c r="AD134" s="36"/>
      <c r="AE134" s="36"/>
      <c r="AF134" s="36"/>
      <c r="AG134" s="36"/>
      <c r="AH134" s="36"/>
      <c r="AI134" s="36"/>
      <c r="AJ134" s="36"/>
      <c r="AK134" s="40"/>
      <c r="AL134" s="40"/>
      <c r="AM134" s="40"/>
      <c r="AN134" s="40"/>
    </row>
    <row r="135" spans="1:40" x14ac:dyDescent="0.3">
      <c r="A135" s="70"/>
      <c r="B135" s="76"/>
      <c r="C135" s="36"/>
      <c r="D135" s="40"/>
      <c r="E135" s="40"/>
      <c r="F135" s="40"/>
      <c r="G135" s="40"/>
      <c r="H135" s="40"/>
      <c r="I135" s="36"/>
      <c r="J135" s="36"/>
      <c r="K135" s="36"/>
      <c r="L135" s="36"/>
      <c r="M135" s="36"/>
      <c r="N135" s="36"/>
      <c r="P135" s="59"/>
      <c r="Q135" s="36"/>
      <c r="S135" s="36"/>
      <c r="T135" s="36"/>
      <c r="U135" s="36"/>
      <c r="V135" s="36"/>
      <c r="W135" s="36"/>
      <c r="X135" s="36"/>
      <c r="Y135" s="40"/>
      <c r="Z135" s="36"/>
      <c r="AA135" s="36"/>
      <c r="AB135" s="36"/>
      <c r="AD135" s="36"/>
      <c r="AE135" s="36"/>
      <c r="AF135" s="36"/>
      <c r="AG135" s="36"/>
      <c r="AH135" s="36"/>
      <c r="AI135" s="36"/>
      <c r="AJ135" s="36"/>
      <c r="AK135" s="40"/>
      <c r="AL135" s="40"/>
      <c r="AM135" s="40"/>
      <c r="AN135" s="40"/>
    </row>
    <row r="136" spans="1:40" x14ac:dyDescent="0.3">
      <c r="A136" s="70"/>
      <c r="B136" s="76"/>
      <c r="C136" s="36"/>
      <c r="D136" s="40"/>
      <c r="E136" s="40"/>
      <c r="F136" s="40"/>
      <c r="G136" s="40"/>
      <c r="H136" s="40"/>
      <c r="I136" s="36"/>
      <c r="J136" s="36"/>
      <c r="K136" s="36"/>
      <c r="L136" s="36"/>
      <c r="M136" s="36"/>
      <c r="N136" s="36"/>
      <c r="P136" s="59"/>
      <c r="Q136" s="36"/>
      <c r="S136" s="36"/>
      <c r="T136" s="36"/>
      <c r="U136" s="36"/>
      <c r="V136" s="36"/>
      <c r="W136" s="36"/>
      <c r="X136" s="36"/>
      <c r="Y136" s="40"/>
      <c r="Z136" s="36"/>
      <c r="AA136" s="36"/>
      <c r="AB136" s="36"/>
      <c r="AD136" s="36"/>
      <c r="AE136" s="36"/>
      <c r="AF136" s="36"/>
      <c r="AG136" s="36"/>
      <c r="AH136" s="36"/>
      <c r="AI136" s="36"/>
      <c r="AJ136" s="36"/>
      <c r="AK136" s="40"/>
      <c r="AL136" s="40"/>
      <c r="AM136" s="40"/>
      <c r="AN136" s="40"/>
    </row>
    <row r="137" spans="1:40" x14ac:dyDescent="0.3">
      <c r="A137" s="70"/>
      <c r="B137" s="76"/>
      <c r="C137" s="36"/>
      <c r="D137" s="40"/>
      <c r="E137" s="40"/>
      <c r="F137" s="40"/>
      <c r="G137" s="40"/>
      <c r="H137" s="40"/>
      <c r="I137" s="36"/>
      <c r="J137" s="36"/>
      <c r="K137" s="36"/>
      <c r="L137" s="36"/>
      <c r="M137" s="36"/>
      <c r="N137" s="36"/>
      <c r="P137" s="59"/>
      <c r="Q137" s="36"/>
      <c r="S137" s="36"/>
      <c r="T137" s="36"/>
      <c r="U137" s="36"/>
      <c r="V137" s="36"/>
      <c r="W137" s="36"/>
      <c r="X137" s="36"/>
      <c r="Y137" s="40"/>
      <c r="Z137" s="36"/>
      <c r="AA137" s="36"/>
      <c r="AB137" s="36"/>
      <c r="AD137" s="36"/>
      <c r="AE137" s="36"/>
      <c r="AF137" s="36"/>
      <c r="AG137" s="36"/>
      <c r="AH137" s="36"/>
      <c r="AI137" s="36"/>
      <c r="AJ137" s="36"/>
      <c r="AK137" s="40"/>
      <c r="AL137" s="40"/>
      <c r="AM137" s="40"/>
      <c r="AN137" s="40"/>
    </row>
    <row r="138" spans="1:40" x14ac:dyDescent="0.3">
      <c r="A138" s="70"/>
      <c r="B138" s="76"/>
      <c r="C138" s="36"/>
      <c r="D138" s="40"/>
      <c r="E138" s="40"/>
      <c r="F138" s="40"/>
      <c r="G138" s="40"/>
      <c r="H138" s="40"/>
      <c r="I138" s="36"/>
      <c r="J138" s="36"/>
      <c r="K138" s="36"/>
      <c r="L138" s="36"/>
      <c r="M138" s="36"/>
      <c r="N138" s="36"/>
      <c r="P138" s="59"/>
      <c r="Q138" s="36"/>
      <c r="S138" s="36"/>
      <c r="T138" s="36"/>
      <c r="U138" s="36"/>
      <c r="V138" s="36"/>
      <c r="W138" s="36"/>
      <c r="X138" s="36"/>
      <c r="Y138" s="40"/>
      <c r="Z138" s="36"/>
      <c r="AA138" s="36"/>
      <c r="AB138" s="36"/>
      <c r="AD138" s="36"/>
      <c r="AE138" s="36"/>
      <c r="AF138" s="36"/>
      <c r="AG138" s="36"/>
      <c r="AH138" s="36"/>
      <c r="AI138" s="36"/>
      <c r="AJ138" s="36"/>
      <c r="AK138" s="40"/>
      <c r="AL138" s="40"/>
      <c r="AM138" s="40"/>
      <c r="AN138" s="40"/>
    </row>
    <row r="139" spans="1:40" x14ac:dyDescent="0.3">
      <c r="A139" s="70"/>
      <c r="B139" s="76"/>
      <c r="C139" s="36"/>
      <c r="D139" s="40"/>
      <c r="E139" s="40"/>
      <c r="F139" s="40"/>
      <c r="G139" s="40"/>
      <c r="H139" s="40"/>
      <c r="I139" s="36"/>
      <c r="J139" s="36"/>
      <c r="K139" s="36"/>
      <c r="L139" s="36"/>
      <c r="M139" s="36"/>
      <c r="N139" s="36"/>
      <c r="P139" s="59"/>
      <c r="Q139" s="36"/>
      <c r="S139" s="36"/>
      <c r="T139" s="36"/>
      <c r="U139" s="36"/>
      <c r="V139" s="36"/>
      <c r="W139" s="36"/>
      <c r="X139" s="36"/>
      <c r="Y139" s="40"/>
      <c r="Z139" s="36"/>
      <c r="AA139" s="36"/>
      <c r="AB139" s="36"/>
      <c r="AD139" s="36"/>
      <c r="AE139" s="36"/>
      <c r="AF139" s="36"/>
      <c r="AG139" s="36"/>
      <c r="AH139" s="36"/>
      <c r="AI139" s="36"/>
      <c r="AJ139" s="36"/>
      <c r="AK139" s="40"/>
      <c r="AL139" s="40"/>
      <c r="AM139" s="40"/>
      <c r="AN139" s="40"/>
    </row>
    <row r="140" spans="1:40" x14ac:dyDescent="0.3">
      <c r="A140" s="70"/>
      <c r="B140" s="76"/>
      <c r="C140" s="36"/>
      <c r="D140" s="40"/>
      <c r="E140" s="40"/>
      <c r="F140" s="40"/>
      <c r="G140" s="40"/>
      <c r="H140" s="40"/>
      <c r="I140" s="36"/>
      <c r="J140" s="36"/>
      <c r="K140" s="36"/>
      <c r="L140" s="36"/>
      <c r="M140" s="36"/>
      <c r="N140" s="36"/>
      <c r="P140" s="59"/>
      <c r="Q140" s="36"/>
      <c r="S140" s="36"/>
      <c r="T140" s="36"/>
      <c r="U140" s="36"/>
      <c r="V140" s="36"/>
      <c r="W140" s="36"/>
      <c r="X140" s="36"/>
      <c r="Y140" s="40"/>
      <c r="Z140" s="36"/>
      <c r="AA140" s="36"/>
      <c r="AB140" s="36"/>
      <c r="AD140" s="36"/>
      <c r="AE140" s="36"/>
      <c r="AF140" s="36"/>
      <c r="AG140" s="36"/>
      <c r="AH140" s="36"/>
      <c r="AI140" s="36"/>
      <c r="AJ140" s="36"/>
      <c r="AK140" s="40"/>
      <c r="AL140" s="40"/>
      <c r="AM140" s="40"/>
      <c r="AN140" s="40"/>
    </row>
    <row r="141" spans="1:40" x14ac:dyDescent="0.3">
      <c r="A141" s="70"/>
      <c r="B141" s="76"/>
      <c r="C141" s="36"/>
      <c r="D141" s="40"/>
      <c r="E141" s="40"/>
      <c r="F141" s="40"/>
      <c r="G141" s="40"/>
      <c r="H141" s="40"/>
      <c r="I141" s="36"/>
      <c r="J141" s="36"/>
      <c r="K141" s="36"/>
      <c r="L141" s="36"/>
      <c r="M141" s="36"/>
      <c r="N141" s="36"/>
      <c r="P141" s="59"/>
      <c r="Q141" s="36"/>
      <c r="S141" s="36"/>
      <c r="T141" s="36"/>
      <c r="U141" s="36"/>
      <c r="V141" s="36"/>
      <c r="W141" s="36"/>
      <c r="X141" s="36"/>
      <c r="Y141" s="40"/>
      <c r="Z141" s="36"/>
      <c r="AA141" s="36"/>
      <c r="AB141" s="36"/>
      <c r="AD141" s="36"/>
      <c r="AE141" s="36"/>
      <c r="AF141" s="36"/>
      <c r="AG141" s="36"/>
      <c r="AH141" s="36"/>
      <c r="AI141" s="36"/>
      <c r="AJ141" s="36"/>
      <c r="AK141" s="40"/>
      <c r="AL141" s="40"/>
      <c r="AM141" s="40"/>
      <c r="AN141" s="40"/>
    </row>
    <row r="142" spans="1:40" x14ac:dyDescent="0.3">
      <c r="A142" s="70"/>
      <c r="B142" s="76"/>
      <c r="C142" s="36"/>
      <c r="D142" s="40"/>
      <c r="E142" s="40"/>
      <c r="F142" s="40"/>
      <c r="G142" s="40"/>
      <c r="H142" s="40"/>
      <c r="I142" s="36"/>
      <c r="J142" s="36"/>
      <c r="K142" s="36"/>
      <c r="L142" s="36"/>
      <c r="M142" s="36"/>
      <c r="N142" s="36"/>
      <c r="P142" s="59"/>
      <c r="Q142" s="36"/>
      <c r="S142" s="36"/>
      <c r="T142" s="36"/>
      <c r="U142" s="36"/>
      <c r="V142" s="36"/>
      <c r="W142" s="36"/>
      <c r="X142" s="36"/>
      <c r="Y142" s="40"/>
      <c r="Z142" s="36"/>
      <c r="AA142" s="36"/>
      <c r="AB142" s="36"/>
      <c r="AD142" s="36"/>
      <c r="AE142" s="36"/>
      <c r="AF142" s="36"/>
      <c r="AG142" s="36"/>
      <c r="AH142" s="36"/>
      <c r="AI142" s="36"/>
      <c r="AJ142" s="36"/>
      <c r="AK142" s="40"/>
      <c r="AL142" s="40"/>
      <c r="AM142" s="40"/>
      <c r="AN142" s="40"/>
    </row>
    <row r="143" spans="1:40" x14ac:dyDescent="0.3">
      <c r="A143" s="70"/>
      <c r="B143" s="76"/>
      <c r="C143" s="36"/>
      <c r="D143" s="40"/>
      <c r="E143" s="40"/>
      <c r="F143" s="40"/>
      <c r="G143" s="40"/>
      <c r="H143" s="40"/>
      <c r="I143" s="36"/>
      <c r="J143" s="36"/>
      <c r="K143" s="36"/>
      <c r="L143" s="36"/>
      <c r="M143" s="36"/>
      <c r="N143" s="36"/>
      <c r="P143" s="59"/>
      <c r="Q143" s="36"/>
      <c r="S143" s="36"/>
      <c r="T143" s="36"/>
      <c r="U143" s="36"/>
      <c r="V143" s="36"/>
      <c r="W143" s="36"/>
      <c r="X143" s="36"/>
      <c r="Y143" s="40"/>
      <c r="Z143" s="36"/>
      <c r="AA143" s="36"/>
      <c r="AB143" s="36"/>
      <c r="AD143" s="36"/>
      <c r="AE143" s="36"/>
      <c r="AF143" s="36"/>
      <c r="AG143" s="36"/>
      <c r="AH143" s="36"/>
      <c r="AI143" s="36"/>
      <c r="AJ143" s="36"/>
      <c r="AK143" s="40"/>
      <c r="AL143" s="40"/>
      <c r="AM143" s="40"/>
      <c r="AN143" s="40"/>
    </row>
    <row r="144" spans="1:40" x14ac:dyDescent="0.3">
      <c r="A144" s="70"/>
      <c r="B144" s="76"/>
      <c r="C144" s="36"/>
      <c r="D144" s="40"/>
      <c r="E144" s="40"/>
      <c r="F144" s="40"/>
      <c r="G144" s="40"/>
      <c r="H144" s="40"/>
      <c r="I144" s="36"/>
      <c r="J144" s="36"/>
      <c r="K144" s="36"/>
      <c r="L144" s="36"/>
      <c r="M144" s="36"/>
      <c r="N144" s="36"/>
      <c r="P144" s="59"/>
      <c r="Q144" s="36"/>
      <c r="S144" s="36"/>
      <c r="T144" s="36"/>
      <c r="U144" s="36"/>
      <c r="V144" s="36"/>
      <c r="W144" s="36"/>
      <c r="X144" s="36"/>
      <c r="Y144" s="40"/>
      <c r="Z144" s="36"/>
      <c r="AA144" s="36"/>
      <c r="AB144" s="36"/>
      <c r="AD144" s="36"/>
      <c r="AE144" s="36"/>
      <c r="AF144" s="36"/>
      <c r="AG144" s="36"/>
      <c r="AH144" s="36"/>
      <c r="AI144" s="36"/>
      <c r="AJ144" s="36"/>
      <c r="AK144" s="40"/>
      <c r="AL144" s="40"/>
      <c r="AM144" s="40"/>
      <c r="AN144" s="40"/>
    </row>
    <row r="145" spans="1:40" x14ac:dyDescent="0.3">
      <c r="A145" s="70"/>
      <c r="B145" s="76"/>
      <c r="C145" s="36"/>
      <c r="D145" s="40"/>
      <c r="E145" s="40"/>
      <c r="F145" s="40"/>
      <c r="G145" s="40"/>
      <c r="H145" s="40"/>
      <c r="I145" s="36"/>
      <c r="J145" s="36"/>
      <c r="K145" s="36"/>
      <c r="L145" s="36"/>
      <c r="M145" s="36"/>
      <c r="N145" s="36"/>
      <c r="P145" s="59"/>
      <c r="Q145" s="36"/>
      <c r="S145" s="36"/>
      <c r="T145" s="36"/>
      <c r="U145" s="36"/>
      <c r="V145" s="36"/>
      <c r="W145" s="36"/>
      <c r="X145" s="36"/>
      <c r="Y145" s="40"/>
      <c r="Z145" s="36"/>
      <c r="AA145" s="36"/>
      <c r="AB145" s="36"/>
      <c r="AD145" s="36"/>
      <c r="AE145" s="36"/>
      <c r="AF145" s="36"/>
      <c r="AG145" s="36"/>
      <c r="AH145" s="36"/>
      <c r="AI145" s="36"/>
      <c r="AJ145" s="36"/>
      <c r="AL145" s="40"/>
      <c r="AM145" s="40"/>
      <c r="AN145" s="40"/>
    </row>
    <row r="146" spans="1:40" x14ac:dyDescent="0.3">
      <c r="A146" s="70"/>
      <c r="B146" s="76"/>
      <c r="C146" s="36"/>
      <c r="D146" s="40"/>
      <c r="E146" s="40"/>
      <c r="F146" s="40"/>
      <c r="G146" s="40"/>
      <c r="H146" s="40"/>
      <c r="I146" s="36"/>
      <c r="J146" s="36"/>
      <c r="K146" s="36"/>
      <c r="L146" s="36"/>
      <c r="M146" s="36"/>
      <c r="N146" s="36"/>
      <c r="P146" s="59"/>
      <c r="Q146" s="36"/>
      <c r="S146" s="36"/>
      <c r="T146" s="36"/>
      <c r="U146" s="36"/>
      <c r="V146" s="36"/>
      <c r="W146" s="36"/>
      <c r="X146" s="36"/>
      <c r="Y146" s="40"/>
      <c r="Z146" s="36"/>
      <c r="AA146" s="36"/>
      <c r="AB146" s="36"/>
      <c r="AD146" s="36"/>
      <c r="AE146" s="36"/>
      <c r="AF146" s="36"/>
      <c r="AG146" s="36"/>
      <c r="AH146" s="36"/>
      <c r="AI146" s="36"/>
      <c r="AJ146" s="36"/>
      <c r="AL146" s="40"/>
      <c r="AM146" s="40"/>
      <c r="AN146" s="40"/>
    </row>
    <row r="147" spans="1:40" x14ac:dyDescent="0.3">
      <c r="A147" s="70"/>
      <c r="B147" s="76"/>
      <c r="C147" s="36"/>
      <c r="D147" s="40"/>
      <c r="E147" s="40"/>
      <c r="F147" s="40"/>
      <c r="G147" s="40"/>
      <c r="H147" s="40"/>
      <c r="I147" s="36"/>
      <c r="J147" s="36"/>
      <c r="K147" s="36"/>
      <c r="L147" s="36"/>
      <c r="M147" s="36"/>
      <c r="N147" s="36"/>
      <c r="P147" s="59"/>
      <c r="Q147" s="36"/>
      <c r="S147" s="36"/>
      <c r="T147" s="36"/>
      <c r="U147" s="36"/>
      <c r="V147" s="36"/>
      <c r="W147" s="36"/>
      <c r="X147" s="36"/>
      <c r="Y147" s="40"/>
      <c r="Z147" s="36"/>
      <c r="AA147" s="36"/>
      <c r="AB147" s="36"/>
      <c r="AD147" s="36"/>
      <c r="AE147" s="36"/>
      <c r="AF147" s="36"/>
      <c r="AG147" s="36"/>
      <c r="AH147" s="36"/>
      <c r="AI147" s="36"/>
      <c r="AJ147" s="36"/>
      <c r="AL147" s="40"/>
      <c r="AM147" s="40"/>
      <c r="AN147" s="40"/>
    </row>
    <row r="148" spans="1:40" x14ac:dyDescent="0.3">
      <c r="A148" s="70"/>
      <c r="B148" s="76"/>
      <c r="C148" s="36"/>
      <c r="D148" s="40"/>
      <c r="E148" s="40"/>
      <c r="F148" s="40"/>
      <c r="G148" s="40"/>
      <c r="H148" s="40"/>
      <c r="I148" s="36"/>
      <c r="J148" s="36"/>
      <c r="K148" s="36"/>
      <c r="L148" s="36"/>
      <c r="M148" s="36"/>
      <c r="N148" s="36"/>
      <c r="P148" s="59"/>
      <c r="Q148" s="36"/>
      <c r="S148" s="36"/>
      <c r="T148" s="36"/>
      <c r="U148" s="36"/>
      <c r="V148" s="36"/>
      <c r="W148" s="36"/>
      <c r="X148" s="36"/>
      <c r="Y148" s="40"/>
      <c r="Z148" s="36"/>
      <c r="AA148" s="36"/>
      <c r="AB148" s="36"/>
      <c r="AD148" s="36"/>
      <c r="AE148" s="36"/>
      <c r="AF148" s="36"/>
      <c r="AG148" s="36"/>
      <c r="AH148" s="36"/>
      <c r="AI148" s="36"/>
      <c r="AJ148" s="36"/>
      <c r="AL148" s="40"/>
      <c r="AM148" s="40"/>
      <c r="AN148" s="40"/>
    </row>
    <row r="149" spans="1:40" x14ac:dyDescent="0.3">
      <c r="A149" s="70"/>
      <c r="B149" s="76"/>
      <c r="C149" s="36"/>
      <c r="D149" s="40"/>
      <c r="E149" s="40"/>
      <c r="F149" s="40"/>
      <c r="G149" s="40"/>
      <c r="H149" s="40"/>
      <c r="I149" s="36"/>
      <c r="J149" s="36"/>
      <c r="K149" s="36"/>
      <c r="L149" s="36"/>
      <c r="M149" s="36"/>
      <c r="N149" s="36"/>
      <c r="P149" s="59"/>
      <c r="Q149" s="36"/>
      <c r="S149" s="36"/>
      <c r="T149" s="36"/>
      <c r="U149" s="36"/>
      <c r="V149" s="36"/>
      <c r="W149" s="36"/>
      <c r="X149" s="36"/>
      <c r="Y149" s="40"/>
      <c r="Z149" s="36"/>
      <c r="AA149" s="36"/>
      <c r="AB149" s="36"/>
      <c r="AD149" s="36"/>
      <c r="AE149" s="36"/>
      <c r="AF149" s="36"/>
      <c r="AG149" s="36"/>
      <c r="AH149" s="36"/>
      <c r="AI149" s="36"/>
      <c r="AJ149" s="36"/>
      <c r="AL149" s="40"/>
      <c r="AM149" s="40"/>
      <c r="AN149" s="40"/>
    </row>
    <row r="150" spans="1:40" x14ac:dyDescent="0.3">
      <c r="A150" s="70"/>
      <c r="B150" s="76"/>
      <c r="C150" s="36"/>
      <c r="D150" s="40"/>
      <c r="E150" s="40"/>
      <c r="F150" s="40"/>
      <c r="G150" s="40"/>
      <c r="H150" s="40"/>
      <c r="I150" s="36"/>
      <c r="J150" s="36"/>
      <c r="K150" s="36"/>
      <c r="L150" s="36"/>
      <c r="M150" s="36"/>
      <c r="N150" s="36"/>
      <c r="P150" s="59"/>
      <c r="Q150" s="36"/>
      <c r="S150" s="36"/>
      <c r="T150" s="36"/>
      <c r="U150" s="36"/>
      <c r="V150" s="36"/>
      <c r="W150" s="36"/>
      <c r="X150" s="36"/>
      <c r="Y150" s="40"/>
      <c r="Z150" s="36"/>
      <c r="AA150" s="36"/>
      <c r="AB150" s="36"/>
      <c r="AD150" s="36"/>
      <c r="AE150" s="36"/>
      <c r="AF150" s="36"/>
      <c r="AG150" s="36"/>
      <c r="AH150" s="36"/>
      <c r="AI150" s="36"/>
      <c r="AJ150" s="36"/>
      <c r="AL150" s="40"/>
      <c r="AM150" s="40"/>
      <c r="AN150" s="40"/>
    </row>
    <row r="151" spans="1:40" x14ac:dyDescent="0.3">
      <c r="A151" s="70"/>
      <c r="B151" s="76"/>
      <c r="C151" s="36"/>
      <c r="D151" s="40"/>
      <c r="E151" s="40"/>
      <c r="F151" s="40"/>
      <c r="G151" s="40"/>
      <c r="H151" s="40"/>
      <c r="I151" s="36"/>
      <c r="J151" s="36"/>
      <c r="K151" s="36"/>
      <c r="L151" s="36"/>
      <c r="M151" s="36"/>
      <c r="N151" s="36"/>
      <c r="P151" s="59"/>
      <c r="Q151" s="36"/>
      <c r="S151" s="36"/>
      <c r="T151" s="36"/>
      <c r="U151" s="36"/>
      <c r="V151" s="36"/>
      <c r="W151" s="36"/>
      <c r="X151" s="36"/>
      <c r="Y151" s="40"/>
      <c r="Z151" s="36"/>
      <c r="AA151" s="36"/>
      <c r="AB151" s="36"/>
      <c r="AD151" s="36"/>
      <c r="AE151" s="36"/>
      <c r="AF151" s="36"/>
      <c r="AG151" s="36"/>
      <c r="AH151" s="36"/>
      <c r="AI151" s="36"/>
      <c r="AJ151" s="36"/>
      <c r="AL151" s="40"/>
      <c r="AM151" s="40"/>
      <c r="AN151" s="40"/>
    </row>
    <row r="152" spans="1:40" x14ac:dyDescent="0.3">
      <c r="A152" s="70"/>
      <c r="B152" s="76"/>
      <c r="C152" s="36"/>
      <c r="D152" s="40"/>
      <c r="E152" s="40"/>
      <c r="F152" s="40"/>
      <c r="G152" s="40"/>
      <c r="H152" s="40"/>
      <c r="I152" s="36"/>
      <c r="J152" s="36"/>
      <c r="K152" s="36"/>
      <c r="L152" s="36"/>
      <c r="M152" s="36"/>
      <c r="N152" s="36"/>
      <c r="P152" s="59"/>
      <c r="Q152" s="36"/>
      <c r="S152" s="36"/>
      <c r="T152" s="36"/>
      <c r="U152" s="36"/>
      <c r="V152" s="36"/>
      <c r="W152" s="36"/>
      <c r="X152" s="36"/>
      <c r="Y152" s="40"/>
      <c r="Z152" s="36"/>
      <c r="AA152" s="36"/>
      <c r="AB152" s="36"/>
      <c r="AD152" s="36"/>
      <c r="AE152" s="36"/>
      <c r="AF152" s="36"/>
      <c r="AG152" s="36"/>
      <c r="AH152" s="36"/>
      <c r="AI152" s="36"/>
      <c r="AJ152" s="36"/>
      <c r="AL152" s="40"/>
      <c r="AM152" s="40"/>
      <c r="AN152" s="40"/>
    </row>
    <row r="153" spans="1:40" x14ac:dyDescent="0.3">
      <c r="A153" s="70"/>
      <c r="B153" s="76"/>
      <c r="C153" s="36"/>
      <c r="D153" s="40"/>
      <c r="E153" s="40"/>
      <c r="F153" s="40"/>
      <c r="G153" s="40"/>
      <c r="H153" s="40"/>
      <c r="I153" s="36"/>
      <c r="J153" s="36"/>
      <c r="K153" s="36"/>
      <c r="L153" s="36"/>
      <c r="M153" s="36"/>
      <c r="N153" s="36"/>
      <c r="P153" s="59"/>
      <c r="Q153" s="36"/>
      <c r="S153" s="36"/>
      <c r="T153" s="36"/>
      <c r="U153" s="36"/>
      <c r="V153" s="36"/>
      <c r="W153" s="36"/>
      <c r="X153" s="36"/>
      <c r="Y153" s="40"/>
      <c r="Z153" s="36"/>
      <c r="AA153" s="36"/>
      <c r="AB153" s="36"/>
      <c r="AD153" s="36"/>
      <c r="AE153" s="36"/>
      <c r="AF153" s="36"/>
      <c r="AG153" s="36"/>
      <c r="AH153" s="36"/>
      <c r="AI153" s="36"/>
      <c r="AJ153" s="36"/>
      <c r="AL153" s="40"/>
      <c r="AM153" s="40"/>
      <c r="AN153" s="40"/>
    </row>
    <row r="154" spans="1:40" x14ac:dyDescent="0.3">
      <c r="A154" s="70"/>
      <c r="B154" s="76"/>
      <c r="C154" s="36"/>
      <c r="D154" s="40"/>
      <c r="E154" s="40"/>
      <c r="F154" s="40"/>
      <c r="G154" s="40"/>
      <c r="H154" s="40"/>
      <c r="I154" s="36"/>
      <c r="J154" s="36"/>
      <c r="K154" s="36"/>
      <c r="L154" s="36"/>
      <c r="M154" s="36"/>
      <c r="N154" s="36"/>
      <c r="P154" s="59"/>
      <c r="Q154" s="36"/>
      <c r="S154" s="36"/>
      <c r="T154" s="36"/>
      <c r="U154" s="36"/>
      <c r="V154" s="36"/>
      <c r="W154" s="36"/>
      <c r="X154" s="36"/>
      <c r="Y154" s="40"/>
      <c r="Z154" s="36"/>
      <c r="AA154" s="36"/>
      <c r="AB154" s="36"/>
      <c r="AD154" s="36"/>
      <c r="AE154" s="36"/>
      <c r="AF154" s="36"/>
      <c r="AG154" s="36"/>
      <c r="AH154" s="36"/>
      <c r="AI154" s="36"/>
      <c r="AJ154" s="36"/>
      <c r="AL154" s="40"/>
      <c r="AM154" s="40"/>
      <c r="AN154" s="40"/>
    </row>
    <row r="155" spans="1:40" x14ac:dyDescent="0.3">
      <c r="A155" s="70"/>
      <c r="B155" s="76"/>
      <c r="C155" s="36"/>
      <c r="D155" s="40"/>
      <c r="E155" s="40"/>
      <c r="F155" s="40"/>
      <c r="G155" s="40"/>
      <c r="H155" s="40"/>
      <c r="I155" s="36"/>
      <c r="J155" s="36"/>
      <c r="K155" s="36"/>
      <c r="L155" s="36"/>
      <c r="M155" s="36"/>
      <c r="N155" s="36"/>
      <c r="P155" s="59"/>
      <c r="Q155" s="36"/>
      <c r="S155" s="36"/>
      <c r="T155" s="36"/>
      <c r="U155" s="36"/>
      <c r="V155" s="36"/>
      <c r="W155" s="36"/>
      <c r="Y155" s="40"/>
      <c r="Z155" s="36"/>
      <c r="AA155" s="36"/>
      <c r="AB155" s="36"/>
      <c r="AD155" s="36"/>
      <c r="AE155" s="36"/>
      <c r="AF155" s="36"/>
      <c r="AG155" s="36"/>
      <c r="AH155" s="36"/>
      <c r="AI155" s="36"/>
      <c r="AJ155" s="36"/>
      <c r="AL155" s="40"/>
      <c r="AM155" s="40"/>
      <c r="AN155" s="40"/>
    </row>
    <row r="156" spans="1:40" x14ac:dyDescent="0.3">
      <c r="A156" s="70"/>
      <c r="B156" s="76"/>
      <c r="C156" s="36"/>
      <c r="D156" s="40"/>
      <c r="E156" s="40"/>
      <c r="F156" s="40"/>
      <c r="G156" s="40"/>
      <c r="H156" s="40"/>
      <c r="I156" s="36"/>
      <c r="J156" s="36"/>
      <c r="K156" s="36"/>
      <c r="L156" s="36"/>
      <c r="M156" s="36"/>
      <c r="N156" s="36"/>
      <c r="P156" s="59"/>
      <c r="Q156" s="36"/>
      <c r="S156" s="36"/>
      <c r="T156" s="36"/>
      <c r="U156" s="36"/>
      <c r="V156" s="36"/>
      <c r="W156" s="36"/>
      <c r="Y156" s="40"/>
      <c r="Z156" s="36"/>
      <c r="AA156" s="36"/>
      <c r="AB156" s="36"/>
      <c r="AD156" s="36"/>
      <c r="AE156" s="36"/>
      <c r="AF156" s="36"/>
      <c r="AG156" s="36"/>
      <c r="AH156" s="36"/>
      <c r="AI156" s="36"/>
      <c r="AJ156" s="36"/>
      <c r="AL156" s="40"/>
      <c r="AM156" s="40"/>
      <c r="AN156" s="40"/>
    </row>
    <row r="157" spans="1:40" x14ac:dyDescent="0.3">
      <c r="A157" s="70"/>
      <c r="B157" s="76"/>
      <c r="C157" s="36"/>
      <c r="D157" s="40"/>
      <c r="E157" s="40"/>
      <c r="F157" s="40"/>
      <c r="G157" s="40"/>
      <c r="H157" s="40"/>
      <c r="I157" s="36"/>
      <c r="J157" s="36"/>
      <c r="K157" s="36"/>
      <c r="L157" s="36"/>
      <c r="M157" s="36"/>
      <c r="N157" s="36"/>
      <c r="P157" s="59"/>
      <c r="Q157" s="36"/>
      <c r="S157" s="36"/>
      <c r="T157" s="36"/>
      <c r="U157" s="36"/>
      <c r="V157" s="36"/>
      <c r="W157" s="36"/>
      <c r="Y157" s="40"/>
      <c r="Z157" s="36"/>
      <c r="AA157" s="36"/>
      <c r="AB157" s="36"/>
      <c r="AD157" s="36"/>
      <c r="AE157" s="36"/>
      <c r="AF157" s="36"/>
      <c r="AG157" s="36"/>
      <c r="AH157" s="36"/>
      <c r="AI157" s="36"/>
      <c r="AJ157" s="36"/>
      <c r="AL157" s="40"/>
      <c r="AM157" s="40"/>
      <c r="AN157" s="40"/>
    </row>
    <row r="158" spans="1:40" x14ac:dyDescent="0.3">
      <c r="A158" s="70"/>
      <c r="B158" s="76"/>
      <c r="C158" s="36"/>
      <c r="D158" s="40"/>
      <c r="E158" s="40"/>
      <c r="F158" s="40"/>
      <c r="G158" s="40"/>
      <c r="H158" s="40"/>
      <c r="I158" s="36"/>
      <c r="J158" s="36"/>
      <c r="K158" s="36"/>
      <c r="L158" s="36"/>
      <c r="M158" s="36"/>
      <c r="N158" s="36"/>
      <c r="P158" s="59"/>
      <c r="Q158" s="36"/>
      <c r="S158" s="36"/>
      <c r="T158" s="36"/>
      <c r="U158" s="36"/>
      <c r="V158" s="36"/>
      <c r="W158" s="36"/>
      <c r="Y158" s="40"/>
      <c r="Z158" s="36"/>
      <c r="AA158" s="36"/>
      <c r="AB158" s="36"/>
      <c r="AD158" s="36"/>
      <c r="AE158" s="36"/>
      <c r="AF158" s="36"/>
      <c r="AG158" s="36"/>
      <c r="AH158" s="36"/>
      <c r="AI158" s="36"/>
      <c r="AJ158" s="36"/>
      <c r="AL158" s="40"/>
      <c r="AM158" s="40"/>
      <c r="AN158" s="40"/>
    </row>
    <row r="159" spans="1:40" x14ac:dyDescent="0.3">
      <c r="A159" s="70"/>
      <c r="B159" s="76"/>
      <c r="C159" s="36"/>
      <c r="D159" s="40"/>
      <c r="E159" s="40"/>
      <c r="F159" s="40"/>
      <c r="G159" s="40"/>
      <c r="H159" s="40"/>
      <c r="I159" s="36"/>
      <c r="J159" s="36"/>
      <c r="K159" s="36"/>
      <c r="L159" s="36"/>
      <c r="M159" s="36"/>
      <c r="N159" s="36"/>
      <c r="P159" s="59"/>
      <c r="Q159" s="36"/>
      <c r="S159" s="36"/>
      <c r="T159" s="36"/>
      <c r="U159" s="36"/>
      <c r="V159" s="36"/>
      <c r="W159" s="36"/>
      <c r="Y159" s="40"/>
      <c r="Z159" s="36"/>
      <c r="AA159" s="36"/>
      <c r="AB159" s="36"/>
      <c r="AD159" s="36"/>
      <c r="AE159" s="36"/>
      <c r="AF159" s="36"/>
      <c r="AG159" s="36"/>
      <c r="AH159" s="36"/>
      <c r="AI159" s="36"/>
      <c r="AJ159" s="36"/>
      <c r="AL159" s="40"/>
      <c r="AM159" s="40"/>
      <c r="AN159" s="40"/>
    </row>
    <row r="160" spans="1:40" x14ac:dyDescent="0.3">
      <c r="A160" s="70"/>
      <c r="B160" s="76"/>
      <c r="C160" s="36"/>
      <c r="D160" s="40"/>
      <c r="E160" s="40"/>
      <c r="F160" s="40"/>
      <c r="G160" s="40"/>
      <c r="H160" s="40"/>
      <c r="I160" s="36"/>
      <c r="J160" s="36"/>
      <c r="K160" s="36"/>
      <c r="L160" s="36"/>
      <c r="M160" s="36"/>
      <c r="N160" s="36"/>
      <c r="P160" s="59"/>
      <c r="Q160" s="36"/>
      <c r="S160" s="36"/>
      <c r="T160" s="36"/>
      <c r="U160" s="36"/>
      <c r="V160" s="36"/>
      <c r="W160" s="36"/>
      <c r="Y160" s="40"/>
      <c r="Z160" s="36"/>
      <c r="AA160" s="36"/>
      <c r="AB160" s="36"/>
      <c r="AD160" s="36"/>
      <c r="AE160" s="36"/>
      <c r="AF160" s="36"/>
      <c r="AG160" s="36"/>
      <c r="AH160" s="36"/>
      <c r="AI160" s="36"/>
      <c r="AJ160" s="36"/>
      <c r="AL160" s="40"/>
      <c r="AM160" s="40"/>
      <c r="AN160" s="40"/>
    </row>
    <row r="161" spans="1:40" x14ac:dyDescent="0.3">
      <c r="A161" s="70"/>
      <c r="B161" s="76"/>
      <c r="C161" s="36"/>
      <c r="D161" s="40"/>
      <c r="E161" s="40"/>
      <c r="F161" s="40"/>
      <c r="G161" s="40"/>
      <c r="H161" s="40"/>
      <c r="I161" s="36"/>
      <c r="J161" s="36"/>
      <c r="K161" s="36"/>
      <c r="L161" s="36"/>
      <c r="M161" s="36"/>
      <c r="N161" s="36"/>
      <c r="P161" s="59"/>
      <c r="Q161" s="36"/>
      <c r="S161" s="36"/>
      <c r="T161" s="36"/>
      <c r="U161" s="36"/>
      <c r="V161" s="36"/>
      <c r="W161" s="36"/>
      <c r="Y161" s="40"/>
      <c r="Z161" s="36"/>
      <c r="AA161" s="36"/>
      <c r="AB161" s="36"/>
      <c r="AD161" s="36"/>
      <c r="AE161" s="36"/>
      <c r="AF161" s="36"/>
      <c r="AG161" s="36"/>
      <c r="AH161" s="36"/>
      <c r="AI161" s="36"/>
      <c r="AJ161" s="36"/>
      <c r="AL161" s="40"/>
      <c r="AM161" s="40"/>
      <c r="AN161" s="40"/>
    </row>
    <row r="162" spans="1:40" x14ac:dyDescent="0.3">
      <c r="A162" s="70"/>
      <c r="B162" s="76"/>
      <c r="C162" s="36"/>
      <c r="D162" s="40"/>
      <c r="E162" s="40"/>
      <c r="F162" s="40"/>
      <c r="G162" s="40"/>
      <c r="H162" s="40"/>
      <c r="I162" s="36"/>
      <c r="J162" s="36"/>
      <c r="K162" s="36"/>
      <c r="L162" s="36"/>
      <c r="M162" s="36"/>
      <c r="N162" s="36"/>
      <c r="P162" s="59"/>
      <c r="Q162" s="36"/>
      <c r="S162" s="36"/>
      <c r="T162" s="36"/>
      <c r="U162" s="36"/>
      <c r="V162" s="36"/>
      <c r="W162" s="36"/>
      <c r="Y162" s="40"/>
      <c r="Z162" s="36"/>
      <c r="AA162" s="36"/>
      <c r="AB162" s="36"/>
      <c r="AD162" s="36"/>
      <c r="AE162" s="36"/>
      <c r="AF162" s="36"/>
      <c r="AG162" s="36"/>
      <c r="AH162" s="36"/>
      <c r="AI162" s="36"/>
      <c r="AJ162" s="36"/>
      <c r="AL162" s="40"/>
      <c r="AM162" s="40"/>
      <c r="AN162" s="40"/>
    </row>
    <row r="163" spans="1:40" x14ac:dyDescent="0.3">
      <c r="A163" s="70"/>
      <c r="B163" s="76"/>
      <c r="C163" s="36"/>
      <c r="D163" s="40"/>
      <c r="E163" s="40"/>
      <c r="F163" s="40"/>
      <c r="G163" s="40"/>
      <c r="H163" s="40"/>
      <c r="I163" s="36"/>
      <c r="J163" s="36"/>
      <c r="K163" s="36"/>
      <c r="L163" s="36"/>
      <c r="M163" s="36"/>
      <c r="N163" s="36"/>
      <c r="P163" s="59"/>
      <c r="Q163" s="36"/>
      <c r="S163" s="36"/>
      <c r="T163" s="36"/>
      <c r="U163" s="36"/>
      <c r="V163" s="36"/>
      <c r="W163" s="36"/>
      <c r="Y163" s="40"/>
      <c r="Z163" s="36"/>
      <c r="AA163" s="36"/>
      <c r="AB163" s="36"/>
      <c r="AD163" s="36"/>
      <c r="AE163" s="36"/>
      <c r="AF163" s="36"/>
      <c r="AG163" s="36"/>
      <c r="AH163" s="36"/>
      <c r="AI163" s="36"/>
      <c r="AJ163" s="36"/>
      <c r="AL163" s="40"/>
      <c r="AM163" s="40"/>
      <c r="AN163" s="40"/>
    </row>
    <row r="164" spans="1:40" x14ac:dyDescent="0.3">
      <c r="A164" s="70"/>
      <c r="B164" s="76"/>
      <c r="C164" s="36"/>
      <c r="D164" s="40"/>
      <c r="E164" s="40"/>
      <c r="F164" s="40"/>
      <c r="G164" s="40"/>
      <c r="H164" s="40"/>
      <c r="I164" s="36"/>
      <c r="J164" s="36"/>
      <c r="K164" s="36"/>
      <c r="L164" s="36"/>
      <c r="M164" s="36"/>
      <c r="N164" s="36"/>
      <c r="P164" s="59"/>
      <c r="Q164" s="36"/>
      <c r="S164" s="36"/>
      <c r="T164" s="36"/>
      <c r="U164" s="36"/>
      <c r="V164" s="36"/>
      <c r="W164" s="36"/>
      <c r="Y164" s="40"/>
      <c r="Z164" s="36"/>
      <c r="AA164" s="36"/>
      <c r="AB164" s="36"/>
      <c r="AD164" s="36"/>
      <c r="AE164" s="36"/>
      <c r="AF164" s="36"/>
      <c r="AG164" s="36"/>
      <c r="AH164" s="36"/>
      <c r="AI164" s="36"/>
      <c r="AJ164" s="36"/>
      <c r="AL164" s="40"/>
      <c r="AM164" s="40"/>
      <c r="AN164" s="40"/>
    </row>
    <row r="165" spans="1:40" x14ac:dyDescent="0.3">
      <c r="A165" s="70"/>
      <c r="B165" s="76"/>
      <c r="C165" s="36"/>
      <c r="D165" s="40"/>
      <c r="E165" s="40"/>
      <c r="F165" s="40"/>
      <c r="G165" s="40"/>
      <c r="H165" s="40"/>
      <c r="I165" s="36"/>
      <c r="J165" s="36"/>
      <c r="K165" s="36"/>
      <c r="L165" s="36"/>
      <c r="M165" s="36"/>
      <c r="N165" s="36"/>
      <c r="P165" s="59"/>
      <c r="Q165" s="36"/>
      <c r="S165" s="36"/>
      <c r="T165" s="36"/>
      <c r="U165" s="36"/>
      <c r="V165" s="36"/>
      <c r="W165" s="36"/>
      <c r="Y165" s="40"/>
      <c r="Z165" s="36"/>
      <c r="AA165" s="36"/>
      <c r="AB165" s="36"/>
      <c r="AD165" s="36"/>
      <c r="AE165" s="36"/>
      <c r="AF165" s="36"/>
      <c r="AG165" s="36"/>
      <c r="AH165" s="36"/>
      <c r="AI165" s="36"/>
      <c r="AJ165" s="36"/>
      <c r="AL165" s="40"/>
      <c r="AM165" s="40"/>
      <c r="AN165" s="40"/>
    </row>
    <row r="166" spans="1:40" x14ac:dyDescent="0.3">
      <c r="A166" s="70"/>
      <c r="B166" s="76"/>
      <c r="C166" s="36"/>
      <c r="D166" s="40"/>
      <c r="E166" s="40"/>
      <c r="F166" s="40"/>
      <c r="G166" s="40"/>
      <c r="H166" s="40"/>
      <c r="I166" s="36"/>
      <c r="J166" s="36"/>
      <c r="K166" s="36"/>
      <c r="L166" s="36"/>
      <c r="M166" s="36"/>
      <c r="N166" s="36"/>
      <c r="P166" s="59"/>
      <c r="Q166" s="36"/>
      <c r="S166" s="36"/>
      <c r="T166" s="36"/>
      <c r="U166" s="36"/>
      <c r="V166" s="36"/>
      <c r="W166" s="36"/>
      <c r="Y166" s="40"/>
      <c r="Z166" s="36"/>
      <c r="AA166" s="36"/>
      <c r="AB166" s="36"/>
      <c r="AD166" s="36"/>
      <c r="AE166" s="36"/>
      <c r="AF166" s="36"/>
      <c r="AG166" s="36"/>
      <c r="AH166" s="36"/>
      <c r="AI166" s="36"/>
      <c r="AJ166" s="36"/>
      <c r="AL166" s="40"/>
      <c r="AM166" s="40"/>
      <c r="AN166" s="40"/>
    </row>
    <row r="167" spans="1:40" x14ac:dyDescent="0.3">
      <c r="A167" s="70"/>
      <c r="B167" s="76"/>
      <c r="C167" s="36"/>
      <c r="D167" s="40"/>
      <c r="E167" s="40"/>
      <c r="F167" s="40"/>
      <c r="G167" s="40"/>
      <c r="H167" s="40"/>
      <c r="I167" s="36"/>
      <c r="J167" s="36"/>
      <c r="K167" s="36"/>
      <c r="L167" s="36"/>
      <c r="M167" s="36"/>
      <c r="N167" s="36"/>
      <c r="P167" s="59"/>
      <c r="Q167" s="36"/>
      <c r="S167" s="36"/>
      <c r="T167" s="36"/>
      <c r="U167" s="36"/>
      <c r="V167" s="36"/>
      <c r="W167" s="36"/>
      <c r="Y167" s="40"/>
      <c r="Z167" s="36"/>
      <c r="AA167" s="36"/>
      <c r="AB167" s="36"/>
      <c r="AD167" s="36"/>
      <c r="AE167" s="36"/>
      <c r="AF167" s="36"/>
      <c r="AG167" s="36"/>
      <c r="AH167" s="36"/>
      <c r="AI167" s="36"/>
      <c r="AJ167" s="36"/>
      <c r="AL167" s="40"/>
      <c r="AM167" s="40"/>
      <c r="AN167" s="40"/>
    </row>
    <row r="168" spans="1:40" x14ac:dyDescent="0.3">
      <c r="A168" s="70"/>
      <c r="B168" s="76"/>
      <c r="C168" s="36"/>
      <c r="D168" s="40"/>
      <c r="E168" s="40"/>
      <c r="F168" s="40"/>
      <c r="G168" s="40"/>
      <c r="H168" s="40"/>
      <c r="I168" s="36"/>
      <c r="J168" s="36"/>
      <c r="K168" s="36"/>
      <c r="L168" s="36"/>
      <c r="M168" s="36"/>
      <c r="N168" s="36"/>
      <c r="P168" s="59"/>
      <c r="Q168" s="36"/>
      <c r="S168" s="36"/>
      <c r="T168" s="36"/>
      <c r="U168" s="36"/>
      <c r="V168" s="36"/>
      <c r="W168" s="36"/>
      <c r="Y168" s="40"/>
      <c r="Z168" s="36"/>
      <c r="AA168" s="36"/>
      <c r="AB168" s="36"/>
      <c r="AD168" s="36"/>
      <c r="AE168" s="36"/>
      <c r="AF168" s="36"/>
      <c r="AG168" s="36"/>
      <c r="AH168" s="36"/>
      <c r="AI168" s="36"/>
      <c r="AJ168" s="36"/>
      <c r="AL168" s="40"/>
      <c r="AM168" s="40"/>
      <c r="AN168" s="40"/>
    </row>
    <row r="169" spans="1:40" x14ac:dyDescent="0.3">
      <c r="A169" s="70"/>
      <c r="B169" s="76"/>
      <c r="C169" s="36"/>
      <c r="D169" s="40"/>
      <c r="E169" s="40"/>
      <c r="F169" s="40"/>
      <c r="G169" s="40"/>
      <c r="H169" s="40"/>
      <c r="I169" s="36"/>
      <c r="J169" s="36"/>
      <c r="K169" s="36"/>
      <c r="L169" s="36"/>
      <c r="M169" s="36"/>
      <c r="N169" s="36"/>
      <c r="P169" s="59"/>
      <c r="Q169" s="36"/>
      <c r="S169" s="36"/>
      <c r="T169" s="36"/>
      <c r="U169" s="36"/>
      <c r="V169" s="36"/>
      <c r="W169" s="36"/>
      <c r="Y169" s="40"/>
      <c r="Z169" s="36"/>
      <c r="AA169" s="36"/>
      <c r="AB169" s="36"/>
      <c r="AD169" s="36"/>
      <c r="AE169" s="36"/>
      <c r="AF169" s="36"/>
      <c r="AG169" s="36"/>
      <c r="AH169" s="36"/>
      <c r="AI169" s="36"/>
      <c r="AJ169" s="36"/>
      <c r="AL169" s="40"/>
      <c r="AM169" s="40"/>
      <c r="AN169" s="40"/>
    </row>
    <row r="170" spans="1:40" x14ac:dyDescent="0.3">
      <c r="A170" s="70"/>
      <c r="B170" s="76"/>
      <c r="C170" s="36"/>
      <c r="D170" s="40"/>
      <c r="E170" s="40"/>
      <c r="F170" s="40"/>
      <c r="G170" s="40"/>
      <c r="H170" s="40"/>
      <c r="I170" s="36"/>
      <c r="J170" s="36"/>
      <c r="K170" s="36"/>
      <c r="L170" s="36"/>
      <c r="M170" s="36"/>
      <c r="N170" s="36"/>
      <c r="P170" s="59"/>
      <c r="Q170" s="36"/>
      <c r="S170" s="36"/>
      <c r="T170" s="36"/>
      <c r="U170" s="36"/>
      <c r="V170" s="36"/>
      <c r="W170" s="36"/>
      <c r="Y170" s="40"/>
      <c r="Z170" s="36"/>
      <c r="AA170" s="36"/>
      <c r="AB170" s="36"/>
      <c r="AD170" s="36"/>
      <c r="AE170" s="36"/>
      <c r="AF170" s="36"/>
      <c r="AG170" s="36"/>
      <c r="AH170" s="36"/>
      <c r="AI170" s="36"/>
      <c r="AJ170" s="36"/>
      <c r="AL170" s="40"/>
      <c r="AM170" s="40"/>
      <c r="AN170" s="40"/>
    </row>
    <row r="171" spans="1:40" x14ac:dyDescent="0.3">
      <c r="A171" s="70"/>
      <c r="B171" s="76"/>
      <c r="C171" s="36"/>
      <c r="D171" s="40"/>
      <c r="E171" s="40"/>
      <c r="F171" s="40"/>
      <c r="G171" s="40"/>
      <c r="H171" s="40"/>
      <c r="I171" s="36"/>
      <c r="J171" s="36"/>
      <c r="K171" s="36"/>
      <c r="L171" s="36"/>
      <c r="M171" s="36"/>
      <c r="N171" s="36"/>
      <c r="P171" s="59"/>
      <c r="Q171" s="36"/>
      <c r="S171" s="36"/>
      <c r="T171" s="36"/>
      <c r="U171" s="36"/>
      <c r="V171" s="36"/>
      <c r="W171" s="36"/>
      <c r="Y171" s="40"/>
      <c r="Z171" s="36"/>
      <c r="AA171" s="36"/>
      <c r="AB171" s="36"/>
      <c r="AD171" s="36"/>
      <c r="AE171" s="36"/>
      <c r="AF171" s="36"/>
      <c r="AG171" s="36"/>
      <c r="AH171" s="36"/>
      <c r="AI171" s="36"/>
      <c r="AJ171" s="36"/>
      <c r="AL171" s="40"/>
      <c r="AM171" s="40"/>
      <c r="AN171" s="40"/>
    </row>
    <row r="172" spans="1:40" x14ac:dyDescent="0.3">
      <c r="A172" s="70"/>
      <c r="B172" s="76"/>
      <c r="C172" s="36"/>
      <c r="D172" s="40"/>
      <c r="E172" s="40"/>
      <c r="F172" s="40"/>
      <c r="G172" s="40"/>
      <c r="H172" s="40"/>
      <c r="I172" s="36"/>
      <c r="J172" s="36"/>
      <c r="K172" s="36"/>
      <c r="L172" s="36"/>
      <c r="M172" s="36"/>
      <c r="N172" s="36"/>
      <c r="P172" s="59"/>
      <c r="Q172" s="36"/>
      <c r="S172" s="36"/>
      <c r="T172" s="36"/>
      <c r="U172" s="36"/>
      <c r="V172" s="36"/>
      <c r="W172" s="36"/>
      <c r="Y172" s="40"/>
      <c r="Z172" s="36"/>
      <c r="AA172" s="36"/>
      <c r="AB172" s="36"/>
      <c r="AD172" s="36"/>
      <c r="AE172" s="36"/>
      <c r="AF172" s="36"/>
      <c r="AG172" s="36"/>
      <c r="AH172" s="36"/>
      <c r="AI172" s="36"/>
      <c r="AJ172" s="36"/>
      <c r="AL172" s="40"/>
      <c r="AM172" s="40"/>
      <c r="AN172" s="40"/>
    </row>
    <row r="173" spans="1:40" x14ac:dyDescent="0.3">
      <c r="A173" s="70"/>
      <c r="B173" s="76"/>
      <c r="C173" s="36"/>
      <c r="D173" s="40"/>
      <c r="E173" s="40"/>
      <c r="F173" s="40"/>
      <c r="G173" s="40"/>
      <c r="H173" s="40"/>
      <c r="I173" s="36"/>
      <c r="J173" s="36"/>
      <c r="K173" s="36"/>
      <c r="L173" s="36"/>
      <c r="M173" s="36"/>
      <c r="N173" s="36"/>
      <c r="P173" s="59"/>
      <c r="Q173" s="36"/>
      <c r="S173" s="36"/>
      <c r="T173" s="36"/>
      <c r="U173" s="36"/>
      <c r="V173" s="36"/>
      <c r="W173" s="36"/>
      <c r="Y173" s="40"/>
      <c r="Z173" s="36"/>
      <c r="AA173" s="36"/>
      <c r="AB173" s="36"/>
      <c r="AD173" s="36"/>
      <c r="AE173" s="36"/>
      <c r="AF173" s="36"/>
      <c r="AG173" s="36"/>
      <c r="AH173" s="36"/>
      <c r="AI173" s="36"/>
      <c r="AJ173" s="36"/>
      <c r="AL173" s="40"/>
      <c r="AM173" s="40"/>
      <c r="AN173" s="40"/>
    </row>
    <row r="174" spans="1:40" x14ac:dyDescent="0.3">
      <c r="A174" s="70"/>
      <c r="B174" s="76"/>
      <c r="C174" s="36"/>
      <c r="D174" s="40"/>
      <c r="E174" s="40"/>
      <c r="F174" s="40"/>
      <c r="G174" s="40"/>
      <c r="H174" s="40"/>
      <c r="I174" s="36"/>
      <c r="J174" s="36"/>
      <c r="K174" s="36"/>
      <c r="L174" s="36"/>
      <c r="M174" s="36"/>
      <c r="N174" s="36"/>
      <c r="P174" s="59"/>
      <c r="Q174" s="36"/>
      <c r="S174" s="36"/>
      <c r="T174" s="36"/>
      <c r="U174" s="36"/>
      <c r="V174" s="36"/>
      <c r="W174" s="36"/>
      <c r="Y174" s="40"/>
      <c r="Z174" s="36"/>
      <c r="AA174" s="36"/>
      <c r="AB174" s="36"/>
      <c r="AD174" s="36"/>
      <c r="AE174" s="36"/>
      <c r="AF174" s="36"/>
      <c r="AG174" s="36"/>
      <c r="AH174" s="36"/>
      <c r="AI174" s="36"/>
      <c r="AJ174" s="36"/>
      <c r="AL174" s="40"/>
      <c r="AM174" s="40"/>
      <c r="AN174" s="40"/>
    </row>
    <row r="175" spans="1:40" x14ac:dyDescent="0.3">
      <c r="A175" s="70"/>
      <c r="B175" s="76"/>
      <c r="C175" s="36"/>
      <c r="D175" s="40"/>
      <c r="E175" s="40"/>
      <c r="F175" s="40"/>
      <c r="G175" s="40"/>
      <c r="H175" s="40"/>
      <c r="I175" s="36"/>
      <c r="J175" s="36"/>
      <c r="K175" s="36"/>
      <c r="L175" s="36"/>
      <c r="M175" s="36"/>
      <c r="N175" s="36"/>
      <c r="P175" s="59"/>
      <c r="Q175" s="36"/>
      <c r="S175" s="36"/>
      <c r="T175" s="36"/>
      <c r="U175" s="36"/>
      <c r="V175" s="36"/>
      <c r="W175" s="36"/>
      <c r="Y175" s="40"/>
      <c r="Z175" s="36"/>
      <c r="AA175" s="36"/>
      <c r="AB175" s="36"/>
      <c r="AD175" s="36"/>
      <c r="AE175" s="36"/>
      <c r="AF175" s="36"/>
      <c r="AG175" s="36"/>
      <c r="AH175" s="36"/>
      <c r="AI175" s="36"/>
      <c r="AJ175" s="36"/>
      <c r="AL175" s="40"/>
      <c r="AM175" s="40"/>
      <c r="AN175" s="40"/>
    </row>
    <row r="176" spans="1:40" x14ac:dyDescent="0.3">
      <c r="A176" s="70"/>
      <c r="B176" s="76"/>
      <c r="C176" s="36"/>
      <c r="D176" s="40"/>
      <c r="E176" s="40"/>
      <c r="F176" s="40"/>
      <c r="G176" s="40"/>
      <c r="H176" s="40"/>
      <c r="I176" s="36"/>
      <c r="J176" s="36"/>
      <c r="K176" s="36"/>
      <c r="L176" s="36"/>
      <c r="M176" s="36"/>
      <c r="N176" s="36"/>
      <c r="P176" s="59"/>
      <c r="Q176" s="36"/>
      <c r="S176" s="36"/>
      <c r="T176" s="36"/>
      <c r="U176" s="36"/>
      <c r="V176" s="36"/>
      <c r="W176" s="36"/>
      <c r="Y176" s="40"/>
      <c r="Z176" s="36"/>
      <c r="AA176" s="36"/>
      <c r="AB176" s="36"/>
      <c r="AD176" s="36"/>
      <c r="AE176" s="36"/>
      <c r="AF176" s="36"/>
      <c r="AG176" s="36"/>
      <c r="AH176" s="36"/>
      <c r="AI176" s="36"/>
      <c r="AJ176" s="36"/>
      <c r="AL176" s="40"/>
      <c r="AM176" s="40"/>
      <c r="AN176" s="40"/>
    </row>
    <row r="177" spans="1:40" x14ac:dyDescent="0.3">
      <c r="A177" s="70"/>
      <c r="B177" s="76"/>
      <c r="C177" s="36"/>
      <c r="D177" s="40"/>
      <c r="E177" s="40"/>
      <c r="F177" s="40"/>
      <c r="G177" s="40"/>
      <c r="H177" s="40"/>
      <c r="I177" s="36"/>
      <c r="J177" s="36"/>
      <c r="K177" s="36"/>
      <c r="L177" s="36"/>
      <c r="M177" s="36"/>
      <c r="N177" s="36"/>
      <c r="P177" s="59"/>
      <c r="Q177" s="36"/>
      <c r="S177" s="36"/>
      <c r="T177" s="36"/>
      <c r="U177" s="36"/>
      <c r="V177" s="36"/>
      <c r="W177" s="36"/>
      <c r="Y177" s="40"/>
      <c r="Z177" s="36"/>
      <c r="AA177" s="36"/>
      <c r="AB177" s="36"/>
      <c r="AD177" s="36"/>
      <c r="AE177" s="36"/>
      <c r="AF177" s="36"/>
      <c r="AG177" s="36"/>
      <c r="AH177" s="36"/>
      <c r="AI177" s="36"/>
      <c r="AJ177" s="36"/>
      <c r="AL177" s="40"/>
      <c r="AM177" s="40"/>
      <c r="AN177" s="40"/>
    </row>
    <row r="178" spans="1:40" x14ac:dyDescent="0.3">
      <c r="A178" s="70"/>
      <c r="B178" s="76"/>
      <c r="C178" s="36"/>
      <c r="D178" s="40"/>
      <c r="E178" s="40"/>
      <c r="F178" s="40"/>
      <c r="G178" s="40"/>
      <c r="H178" s="40"/>
      <c r="I178" s="36"/>
      <c r="J178" s="36"/>
      <c r="K178" s="36"/>
      <c r="L178" s="36"/>
      <c r="M178" s="36"/>
      <c r="N178" s="36"/>
      <c r="P178" s="59"/>
      <c r="Q178" s="36"/>
      <c r="S178" s="36"/>
      <c r="T178" s="36"/>
      <c r="U178" s="36"/>
      <c r="V178" s="36"/>
      <c r="W178" s="36"/>
      <c r="Y178" s="40"/>
      <c r="Z178" s="36"/>
      <c r="AA178" s="36"/>
      <c r="AB178" s="36"/>
      <c r="AD178" s="36"/>
      <c r="AE178" s="36"/>
      <c r="AF178" s="36"/>
      <c r="AG178" s="36"/>
      <c r="AH178" s="36"/>
      <c r="AI178" s="36"/>
      <c r="AJ178" s="36"/>
      <c r="AL178" s="40"/>
      <c r="AM178" s="40"/>
      <c r="AN178" s="40"/>
    </row>
    <row r="179" spans="1:40" x14ac:dyDescent="0.3">
      <c r="A179" s="70"/>
      <c r="B179" s="76"/>
      <c r="C179" s="36"/>
      <c r="D179" s="40"/>
      <c r="E179" s="40"/>
      <c r="F179" s="40"/>
      <c r="G179" s="40"/>
      <c r="H179" s="40"/>
      <c r="I179" s="36"/>
      <c r="J179" s="36"/>
      <c r="K179" s="36"/>
      <c r="L179" s="36"/>
      <c r="M179" s="36"/>
      <c r="N179" s="36"/>
      <c r="P179" s="59"/>
      <c r="Q179" s="36"/>
      <c r="S179" s="36"/>
      <c r="T179" s="36"/>
      <c r="U179" s="36"/>
      <c r="V179" s="36"/>
      <c r="W179" s="36"/>
      <c r="Z179" s="36"/>
      <c r="AA179" s="36"/>
      <c r="AB179" s="36"/>
      <c r="AD179" s="36"/>
      <c r="AE179" s="36"/>
      <c r="AF179" s="36"/>
      <c r="AG179" s="36"/>
      <c r="AH179" s="36"/>
      <c r="AI179" s="36"/>
      <c r="AJ179" s="36"/>
      <c r="AL179" s="40"/>
      <c r="AM179" s="40"/>
      <c r="AN179" s="40"/>
    </row>
    <row r="180" spans="1:40" x14ac:dyDescent="0.3">
      <c r="A180" s="70"/>
      <c r="B180" s="76"/>
      <c r="C180" s="36"/>
      <c r="D180" s="40"/>
      <c r="E180" s="40"/>
      <c r="F180" s="40"/>
      <c r="G180" s="40"/>
      <c r="H180" s="40"/>
      <c r="I180" s="36"/>
      <c r="J180" s="36"/>
      <c r="K180" s="36"/>
      <c r="L180" s="36"/>
      <c r="M180" s="36"/>
      <c r="N180" s="36"/>
      <c r="P180" s="59"/>
      <c r="Q180" s="36"/>
      <c r="S180" s="36"/>
      <c r="T180" s="36"/>
      <c r="U180" s="36"/>
      <c r="V180" s="36"/>
      <c r="W180" s="36"/>
      <c r="Z180" s="36"/>
      <c r="AA180" s="36"/>
      <c r="AB180" s="36"/>
      <c r="AD180" s="36"/>
      <c r="AE180" s="36"/>
      <c r="AF180" s="36"/>
      <c r="AG180" s="36"/>
      <c r="AH180" s="36"/>
      <c r="AI180" s="36"/>
      <c r="AJ180" s="36"/>
      <c r="AL180" s="40"/>
      <c r="AM180" s="40"/>
      <c r="AN180" s="40"/>
    </row>
    <row r="181" spans="1:40" x14ac:dyDescent="0.3">
      <c r="A181" s="70"/>
      <c r="B181" s="76"/>
      <c r="C181" s="36"/>
      <c r="D181" s="40"/>
      <c r="E181" s="40"/>
      <c r="F181" s="40"/>
      <c r="G181" s="40"/>
      <c r="H181" s="40"/>
      <c r="I181" s="36"/>
      <c r="J181" s="36"/>
      <c r="K181" s="36"/>
      <c r="L181" s="36"/>
      <c r="M181" s="36"/>
      <c r="N181" s="36"/>
      <c r="P181" s="59"/>
      <c r="Q181" s="36"/>
      <c r="S181" s="36"/>
      <c r="T181" s="36"/>
      <c r="U181" s="36"/>
      <c r="V181" s="36"/>
      <c r="W181" s="36"/>
      <c r="Z181" s="36"/>
      <c r="AA181" s="36"/>
      <c r="AB181" s="36"/>
      <c r="AD181" s="36"/>
      <c r="AE181" s="36"/>
      <c r="AF181" s="36"/>
      <c r="AG181" s="36"/>
      <c r="AH181" s="36"/>
      <c r="AI181" s="36"/>
      <c r="AJ181" s="36"/>
      <c r="AL181" s="40"/>
      <c r="AM181" s="40"/>
      <c r="AN181" s="40"/>
    </row>
    <row r="182" spans="1:40" x14ac:dyDescent="0.3">
      <c r="A182" s="70"/>
      <c r="B182" s="76"/>
      <c r="C182" s="36"/>
      <c r="D182" s="40"/>
      <c r="E182" s="40"/>
      <c r="F182" s="40"/>
      <c r="G182" s="40"/>
      <c r="H182" s="40"/>
      <c r="I182" s="36"/>
      <c r="J182" s="36"/>
      <c r="K182" s="36"/>
      <c r="L182" s="36"/>
      <c r="M182" s="36"/>
      <c r="N182" s="36"/>
      <c r="P182" s="59"/>
      <c r="Q182" s="36"/>
      <c r="S182" s="36"/>
      <c r="T182" s="36"/>
      <c r="U182" s="36"/>
      <c r="V182" s="36"/>
      <c r="W182" s="36"/>
      <c r="Z182" s="36"/>
      <c r="AA182" s="36"/>
      <c r="AB182" s="36"/>
      <c r="AD182" s="36"/>
      <c r="AE182" s="36"/>
      <c r="AF182" s="36"/>
      <c r="AG182" s="36"/>
      <c r="AH182" s="36"/>
      <c r="AI182" s="36"/>
      <c r="AJ182" s="36"/>
      <c r="AL182" s="40"/>
      <c r="AM182" s="40"/>
      <c r="AN182" s="40"/>
    </row>
    <row r="183" spans="1:40" x14ac:dyDescent="0.3">
      <c r="A183" s="70"/>
      <c r="B183" s="76"/>
      <c r="C183" s="36"/>
      <c r="D183" s="40"/>
      <c r="E183" s="40"/>
      <c r="F183" s="40"/>
      <c r="G183" s="40"/>
      <c r="H183" s="40"/>
      <c r="I183" s="36"/>
      <c r="J183" s="36"/>
      <c r="K183" s="36"/>
      <c r="L183" s="36"/>
      <c r="M183" s="36"/>
      <c r="N183" s="36"/>
      <c r="P183" s="59"/>
      <c r="Q183" s="36"/>
      <c r="S183" s="36"/>
      <c r="T183" s="36"/>
      <c r="U183" s="36"/>
      <c r="V183" s="36"/>
      <c r="W183" s="36"/>
      <c r="Z183" s="36"/>
      <c r="AA183" s="36"/>
      <c r="AB183" s="36"/>
      <c r="AD183" s="36"/>
      <c r="AE183" s="36"/>
      <c r="AF183" s="36"/>
      <c r="AG183" s="36"/>
      <c r="AH183" s="36"/>
      <c r="AI183" s="36"/>
      <c r="AJ183" s="36"/>
      <c r="AL183" s="40"/>
      <c r="AM183" s="40"/>
      <c r="AN183" s="40"/>
    </row>
    <row r="184" spans="1:40" x14ac:dyDescent="0.3">
      <c r="A184" s="70"/>
      <c r="B184" s="76"/>
      <c r="C184" s="36"/>
      <c r="D184" s="40"/>
      <c r="E184" s="40"/>
      <c r="F184" s="40"/>
      <c r="G184" s="40"/>
      <c r="H184" s="40"/>
      <c r="I184" s="36"/>
      <c r="J184" s="36"/>
      <c r="K184" s="36"/>
      <c r="L184" s="36"/>
      <c r="M184" s="36"/>
      <c r="N184" s="36"/>
      <c r="P184" s="59"/>
      <c r="Q184" s="36"/>
      <c r="S184" s="36"/>
      <c r="T184" s="36"/>
      <c r="U184" s="36"/>
      <c r="V184" s="36"/>
      <c r="W184" s="36"/>
      <c r="Z184" s="36"/>
      <c r="AA184" s="36"/>
      <c r="AB184" s="36"/>
      <c r="AD184" s="36"/>
      <c r="AE184" s="36"/>
      <c r="AF184" s="36"/>
      <c r="AG184" s="36"/>
      <c r="AH184" s="36"/>
      <c r="AI184" s="36"/>
      <c r="AJ184" s="36"/>
      <c r="AL184" s="40"/>
      <c r="AM184" s="40"/>
      <c r="AN184" s="40"/>
    </row>
    <row r="185" spans="1:40" x14ac:dyDescent="0.3">
      <c r="A185" s="70"/>
      <c r="B185" s="76"/>
      <c r="C185" s="36"/>
      <c r="D185" s="40"/>
      <c r="E185" s="40"/>
      <c r="F185" s="40"/>
      <c r="G185" s="40"/>
      <c r="H185" s="40"/>
      <c r="I185" s="36"/>
      <c r="J185" s="36"/>
      <c r="K185" s="36"/>
      <c r="L185" s="36"/>
      <c r="M185" s="36"/>
      <c r="N185" s="36"/>
      <c r="P185" s="59"/>
      <c r="Q185" s="36"/>
      <c r="S185" s="36"/>
      <c r="T185" s="36"/>
      <c r="U185" s="36"/>
      <c r="V185" s="36"/>
      <c r="W185" s="36"/>
      <c r="Z185" s="36"/>
      <c r="AA185" s="36"/>
      <c r="AB185" s="36"/>
      <c r="AD185" s="36"/>
      <c r="AE185" s="36"/>
      <c r="AF185" s="36"/>
      <c r="AG185" s="36"/>
      <c r="AH185" s="36"/>
      <c r="AI185" s="36"/>
      <c r="AJ185" s="36"/>
      <c r="AL185" s="40"/>
      <c r="AM185" s="40"/>
      <c r="AN185" s="40"/>
    </row>
    <row r="186" spans="1:40" x14ac:dyDescent="0.3">
      <c r="A186" s="70"/>
      <c r="B186" s="76"/>
      <c r="C186" s="36"/>
      <c r="D186" s="40"/>
      <c r="E186" s="40"/>
      <c r="F186" s="40"/>
      <c r="G186" s="40"/>
      <c r="H186" s="40"/>
      <c r="I186" s="36"/>
      <c r="J186" s="36"/>
      <c r="K186" s="36"/>
      <c r="L186" s="36"/>
      <c r="M186" s="36"/>
      <c r="N186" s="36"/>
      <c r="P186" s="59"/>
      <c r="Q186" s="36"/>
      <c r="S186" s="36"/>
      <c r="T186" s="36"/>
      <c r="U186" s="36"/>
      <c r="V186" s="36"/>
      <c r="W186" s="36"/>
      <c r="Z186" s="36"/>
      <c r="AA186" s="36"/>
      <c r="AB186" s="36"/>
      <c r="AD186" s="36"/>
      <c r="AE186" s="36"/>
      <c r="AF186" s="36"/>
      <c r="AG186" s="36"/>
      <c r="AH186" s="36"/>
      <c r="AI186" s="36"/>
      <c r="AJ186" s="36"/>
      <c r="AL186" s="40"/>
      <c r="AM186" s="40"/>
      <c r="AN186" s="40"/>
    </row>
    <row r="187" spans="1:40" x14ac:dyDescent="0.3">
      <c r="A187" s="70"/>
      <c r="B187" s="76"/>
      <c r="C187" s="36"/>
      <c r="D187" s="40"/>
      <c r="E187" s="40"/>
      <c r="F187" s="40"/>
      <c r="G187" s="40"/>
      <c r="H187" s="40"/>
      <c r="I187" s="36"/>
      <c r="J187" s="36"/>
      <c r="K187" s="36"/>
      <c r="L187" s="36"/>
      <c r="M187" s="36"/>
      <c r="N187" s="36"/>
      <c r="P187" s="59"/>
      <c r="Q187" s="36"/>
      <c r="S187" s="36"/>
      <c r="T187" s="36"/>
      <c r="U187" s="36"/>
      <c r="V187" s="36"/>
      <c r="W187" s="36"/>
      <c r="Z187" s="36"/>
      <c r="AA187" s="36"/>
      <c r="AB187" s="36"/>
      <c r="AD187" s="36"/>
      <c r="AE187" s="36"/>
      <c r="AF187" s="36"/>
      <c r="AG187" s="36"/>
      <c r="AH187" s="36"/>
      <c r="AI187" s="36"/>
      <c r="AJ187" s="36"/>
      <c r="AL187" s="40"/>
      <c r="AM187" s="40"/>
      <c r="AN187" s="40"/>
    </row>
    <row r="188" spans="1:40" x14ac:dyDescent="0.3">
      <c r="A188" s="70"/>
      <c r="B188" s="76"/>
      <c r="C188" s="36"/>
      <c r="D188" s="40"/>
      <c r="E188" s="40"/>
      <c r="F188" s="40"/>
      <c r="G188" s="40"/>
      <c r="H188" s="40"/>
      <c r="I188" s="36"/>
      <c r="J188" s="36"/>
      <c r="K188" s="36"/>
      <c r="L188" s="36"/>
      <c r="M188" s="36"/>
      <c r="N188" s="36"/>
      <c r="P188" s="59"/>
      <c r="Q188" s="36"/>
      <c r="S188" s="36"/>
      <c r="T188" s="36"/>
      <c r="U188" s="36"/>
      <c r="V188" s="36"/>
      <c r="W188" s="36"/>
      <c r="Z188" s="36"/>
      <c r="AA188" s="36"/>
      <c r="AB188" s="36"/>
      <c r="AD188" s="36"/>
      <c r="AE188" s="36"/>
      <c r="AF188" s="36"/>
      <c r="AG188" s="36"/>
      <c r="AH188" s="36"/>
      <c r="AI188" s="36"/>
      <c r="AJ188" s="36"/>
      <c r="AL188" s="40"/>
      <c r="AM188" s="40"/>
      <c r="AN188" s="40"/>
    </row>
    <row r="189" spans="1:40" x14ac:dyDescent="0.3">
      <c r="A189" s="70"/>
      <c r="B189" s="76"/>
      <c r="C189" s="36"/>
      <c r="D189" s="40"/>
      <c r="E189" s="40"/>
      <c r="F189" s="40"/>
      <c r="G189" s="40"/>
      <c r="H189" s="40"/>
      <c r="I189" s="36"/>
      <c r="J189" s="36"/>
      <c r="K189" s="36"/>
      <c r="L189" s="36"/>
      <c r="M189" s="36"/>
      <c r="N189" s="36"/>
      <c r="P189" s="59"/>
      <c r="Q189" s="36"/>
      <c r="S189" s="36"/>
      <c r="T189" s="36"/>
      <c r="U189" s="36"/>
      <c r="V189" s="36"/>
      <c r="W189" s="36"/>
      <c r="Z189" s="36"/>
      <c r="AA189" s="36"/>
      <c r="AB189" s="36"/>
      <c r="AD189" s="36"/>
      <c r="AE189" s="36"/>
      <c r="AF189" s="36"/>
      <c r="AG189" s="36"/>
      <c r="AH189" s="36"/>
      <c r="AI189" s="36"/>
      <c r="AJ189" s="36"/>
      <c r="AL189" s="40"/>
      <c r="AM189" s="40"/>
      <c r="AN189" s="40"/>
    </row>
    <row r="190" spans="1:40" x14ac:dyDescent="0.3">
      <c r="A190" s="70"/>
      <c r="B190" s="76"/>
      <c r="C190" s="36"/>
      <c r="D190" s="40"/>
      <c r="E190" s="40"/>
      <c r="F190" s="40"/>
      <c r="G190" s="40"/>
      <c r="H190" s="40"/>
      <c r="I190" s="36"/>
      <c r="J190" s="36"/>
      <c r="K190" s="36"/>
      <c r="L190" s="36"/>
      <c r="M190" s="36"/>
      <c r="N190" s="36"/>
      <c r="P190" s="59"/>
      <c r="Q190" s="36"/>
      <c r="S190" s="36"/>
      <c r="T190" s="36"/>
      <c r="U190" s="36"/>
      <c r="V190" s="36"/>
      <c r="W190" s="36"/>
      <c r="Z190" s="36"/>
      <c r="AA190" s="36"/>
      <c r="AB190" s="36"/>
      <c r="AD190" s="36"/>
      <c r="AE190" s="36"/>
      <c r="AF190" s="36"/>
      <c r="AG190" s="36"/>
      <c r="AH190" s="36"/>
      <c r="AI190" s="36"/>
      <c r="AJ190" s="36"/>
      <c r="AL190" s="40"/>
      <c r="AM190" s="40"/>
      <c r="AN190" s="40"/>
    </row>
    <row r="191" spans="1:40" x14ac:dyDescent="0.3">
      <c r="A191" s="70"/>
      <c r="B191" s="76"/>
      <c r="C191" s="36"/>
      <c r="D191" s="40"/>
      <c r="E191" s="40"/>
      <c r="F191" s="40"/>
      <c r="G191" s="40"/>
      <c r="H191" s="40"/>
      <c r="I191" s="36"/>
      <c r="J191" s="36"/>
      <c r="K191" s="36"/>
      <c r="L191" s="36"/>
      <c r="M191" s="36"/>
      <c r="N191" s="36"/>
      <c r="P191" s="59"/>
      <c r="Q191" s="36"/>
      <c r="S191" s="36"/>
      <c r="T191" s="36"/>
      <c r="U191" s="36"/>
      <c r="V191" s="36"/>
      <c r="W191" s="36"/>
      <c r="Z191" s="36"/>
      <c r="AA191" s="36"/>
      <c r="AB191" s="36"/>
      <c r="AD191" s="36"/>
      <c r="AE191" s="36"/>
      <c r="AF191" s="36"/>
      <c r="AG191" s="36"/>
      <c r="AH191" s="36"/>
      <c r="AJ191" s="36"/>
      <c r="AL191" s="40"/>
      <c r="AM191" s="40"/>
      <c r="AN191" s="40"/>
    </row>
    <row r="192" spans="1:40" x14ac:dyDescent="0.3">
      <c r="A192" s="70"/>
      <c r="B192" s="76"/>
      <c r="C192" s="36"/>
      <c r="D192" s="40"/>
      <c r="E192" s="40"/>
      <c r="F192" s="40"/>
      <c r="G192" s="40"/>
      <c r="H192" s="40"/>
      <c r="I192" s="36"/>
      <c r="J192" s="36"/>
      <c r="K192" s="36"/>
      <c r="L192" s="36"/>
      <c r="M192" s="36"/>
      <c r="N192" s="36"/>
      <c r="P192" s="59"/>
      <c r="Q192" s="36"/>
      <c r="S192" s="36"/>
      <c r="T192" s="36"/>
      <c r="U192" s="36"/>
      <c r="V192" s="36"/>
      <c r="W192" s="36"/>
      <c r="Z192" s="36"/>
      <c r="AA192" s="36"/>
      <c r="AB192" s="36"/>
      <c r="AD192" s="36"/>
      <c r="AE192" s="36"/>
      <c r="AF192" s="36"/>
      <c r="AG192" s="36"/>
      <c r="AH192" s="36"/>
      <c r="AJ192" s="36"/>
      <c r="AL192" s="40"/>
      <c r="AM192" s="40"/>
      <c r="AN192" s="40"/>
    </row>
    <row r="193" spans="1:40" x14ac:dyDescent="0.3">
      <c r="A193" s="70"/>
      <c r="B193" s="76"/>
      <c r="C193" s="36"/>
      <c r="D193" s="40"/>
      <c r="E193" s="40"/>
      <c r="F193" s="40"/>
      <c r="G193" s="40"/>
      <c r="H193" s="40"/>
      <c r="I193" s="36"/>
      <c r="J193" s="36"/>
      <c r="K193" s="36"/>
      <c r="L193" s="36"/>
      <c r="M193" s="36"/>
      <c r="N193" s="36"/>
      <c r="P193" s="59"/>
      <c r="Q193" s="36"/>
      <c r="S193" s="36"/>
      <c r="T193" s="36"/>
      <c r="U193" s="36"/>
      <c r="V193" s="36"/>
      <c r="W193" s="36"/>
      <c r="Z193" s="36"/>
      <c r="AA193" s="36"/>
      <c r="AB193" s="36"/>
      <c r="AD193" s="36"/>
      <c r="AE193" s="36"/>
      <c r="AF193" s="36"/>
      <c r="AG193" s="36"/>
      <c r="AH193" s="36"/>
      <c r="AJ193" s="36"/>
      <c r="AL193" s="40"/>
      <c r="AM193" s="40"/>
      <c r="AN193" s="40"/>
    </row>
    <row r="194" spans="1:40" x14ac:dyDescent="0.3">
      <c r="A194" s="70"/>
      <c r="B194" s="76"/>
      <c r="C194" s="36"/>
      <c r="D194" s="40"/>
      <c r="E194" s="40"/>
      <c r="F194" s="40"/>
      <c r="G194" s="40"/>
      <c r="H194" s="40"/>
      <c r="I194" s="36"/>
      <c r="J194" s="36"/>
      <c r="K194" s="36"/>
      <c r="L194" s="36"/>
      <c r="M194" s="36"/>
      <c r="N194" s="36"/>
      <c r="P194" s="59"/>
      <c r="Q194" s="36"/>
      <c r="S194" s="36"/>
      <c r="T194" s="36"/>
      <c r="U194" s="36"/>
      <c r="V194" s="36"/>
      <c r="W194" s="36"/>
      <c r="Z194" s="36"/>
      <c r="AA194" s="36"/>
      <c r="AB194" s="36"/>
      <c r="AD194" s="36"/>
      <c r="AE194" s="36"/>
      <c r="AF194" s="36"/>
      <c r="AG194" s="36"/>
      <c r="AH194" s="36"/>
      <c r="AJ194" s="36"/>
      <c r="AL194" s="40"/>
      <c r="AM194" s="40"/>
      <c r="AN194" s="40"/>
    </row>
    <row r="195" spans="1:40" x14ac:dyDescent="0.3">
      <c r="A195" s="70"/>
      <c r="B195" s="76"/>
      <c r="C195" s="36"/>
      <c r="D195" s="40"/>
      <c r="E195" s="40"/>
      <c r="F195" s="40"/>
      <c r="G195" s="40"/>
      <c r="H195" s="40"/>
      <c r="I195" s="36"/>
      <c r="J195" s="36"/>
      <c r="K195" s="36"/>
      <c r="L195" s="36"/>
      <c r="M195" s="36"/>
      <c r="N195" s="36"/>
      <c r="P195" s="59"/>
      <c r="Q195" s="36"/>
      <c r="S195" s="36"/>
      <c r="T195" s="36"/>
      <c r="U195" s="36"/>
      <c r="V195" s="36"/>
      <c r="W195" s="36"/>
      <c r="Z195" s="36"/>
      <c r="AA195" s="36"/>
      <c r="AB195" s="36"/>
      <c r="AD195" s="36"/>
      <c r="AE195" s="36"/>
      <c r="AF195" s="36"/>
      <c r="AG195" s="36"/>
      <c r="AH195" s="36"/>
      <c r="AJ195" s="36"/>
      <c r="AL195" s="40"/>
      <c r="AM195" s="40"/>
      <c r="AN195" s="40"/>
    </row>
    <row r="196" spans="1:40" x14ac:dyDescent="0.3">
      <c r="A196" s="70"/>
      <c r="B196" s="76"/>
      <c r="C196" s="36"/>
      <c r="D196" s="40"/>
      <c r="E196" s="40"/>
      <c r="F196" s="40"/>
      <c r="G196" s="40"/>
      <c r="H196" s="40"/>
      <c r="I196" s="36"/>
      <c r="J196" s="36"/>
      <c r="K196" s="36"/>
      <c r="L196" s="36"/>
      <c r="M196" s="36"/>
      <c r="N196" s="36"/>
      <c r="P196" s="59"/>
      <c r="Q196" s="36"/>
      <c r="S196" s="36"/>
      <c r="T196" s="36"/>
      <c r="U196" s="36"/>
      <c r="V196" s="36"/>
      <c r="W196" s="36"/>
      <c r="Z196" s="36"/>
      <c r="AA196" s="36"/>
      <c r="AB196" s="36"/>
      <c r="AD196" s="36"/>
      <c r="AE196" s="36"/>
      <c r="AF196" s="36"/>
      <c r="AG196" s="36"/>
      <c r="AH196" s="36"/>
      <c r="AJ196" s="36"/>
      <c r="AL196" s="40"/>
      <c r="AM196" s="40"/>
      <c r="AN196" s="40"/>
    </row>
    <row r="197" spans="1:40" x14ac:dyDescent="0.3">
      <c r="A197" s="70"/>
      <c r="B197" s="76"/>
      <c r="C197" s="36"/>
      <c r="D197" s="40"/>
      <c r="E197" s="40"/>
      <c r="F197" s="40"/>
      <c r="G197" s="40"/>
      <c r="H197" s="40"/>
      <c r="I197" s="36"/>
      <c r="J197" s="36"/>
      <c r="K197" s="36"/>
      <c r="L197" s="36"/>
      <c r="M197" s="36"/>
      <c r="N197" s="36"/>
      <c r="P197" s="59"/>
      <c r="Q197" s="36"/>
      <c r="S197" s="36"/>
      <c r="T197" s="36"/>
      <c r="U197" s="36"/>
      <c r="V197" s="36"/>
      <c r="W197" s="36"/>
      <c r="Z197" s="36"/>
      <c r="AA197" s="36"/>
      <c r="AB197" s="36"/>
      <c r="AD197" s="36"/>
      <c r="AE197" s="36"/>
      <c r="AF197" s="36"/>
      <c r="AG197" s="36"/>
      <c r="AH197" s="36"/>
      <c r="AJ197" s="36"/>
      <c r="AL197" s="40"/>
      <c r="AM197" s="40"/>
      <c r="AN197" s="40"/>
    </row>
    <row r="198" spans="1:40" x14ac:dyDescent="0.3">
      <c r="A198" s="70"/>
      <c r="B198" s="76"/>
      <c r="C198" s="36"/>
      <c r="D198" s="40"/>
      <c r="E198" s="40"/>
      <c r="F198" s="40"/>
      <c r="G198" s="40"/>
      <c r="H198" s="40"/>
      <c r="I198" s="36"/>
      <c r="J198" s="36"/>
      <c r="K198" s="36"/>
      <c r="L198" s="36"/>
      <c r="M198" s="36"/>
      <c r="N198" s="36"/>
      <c r="P198" s="59"/>
      <c r="Q198" s="36"/>
      <c r="S198" s="36"/>
      <c r="T198" s="36"/>
      <c r="U198" s="36"/>
      <c r="V198" s="36"/>
      <c r="W198" s="36"/>
      <c r="Z198" s="36"/>
      <c r="AA198" s="36"/>
      <c r="AB198" s="36"/>
      <c r="AD198" s="36"/>
      <c r="AE198" s="36"/>
      <c r="AF198" s="36"/>
      <c r="AG198" s="36"/>
      <c r="AH198" s="36"/>
      <c r="AJ198" s="36"/>
      <c r="AL198" s="40"/>
      <c r="AM198" s="40"/>
      <c r="AN198" s="40"/>
    </row>
    <row r="199" spans="1:40" x14ac:dyDescent="0.3">
      <c r="A199" s="70"/>
      <c r="B199" s="76"/>
      <c r="C199" s="36"/>
      <c r="D199" s="40"/>
      <c r="E199" s="40"/>
      <c r="F199" s="40"/>
      <c r="G199" s="40"/>
      <c r="H199" s="40"/>
      <c r="I199" s="36"/>
      <c r="J199" s="36"/>
      <c r="K199" s="36"/>
      <c r="L199" s="36"/>
      <c r="M199" s="36"/>
      <c r="N199" s="36"/>
      <c r="P199" s="59"/>
      <c r="Q199" s="36"/>
      <c r="S199" s="36"/>
      <c r="T199" s="36"/>
      <c r="U199" s="36"/>
      <c r="V199" s="36"/>
      <c r="W199" s="36"/>
      <c r="Z199" s="36"/>
      <c r="AA199" s="36"/>
      <c r="AB199" s="36"/>
      <c r="AD199" s="36"/>
      <c r="AE199" s="36"/>
      <c r="AF199" s="36"/>
      <c r="AG199" s="36"/>
      <c r="AH199" s="36"/>
      <c r="AJ199" s="36"/>
      <c r="AL199" s="40"/>
      <c r="AM199" s="40"/>
      <c r="AN199" s="40"/>
    </row>
    <row r="200" spans="1:40" x14ac:dyDescent="0.3">
      <c r="A200" s="70"/>
      <c r="B200" s="76"/>
      <c r="C200" s="36"/>
      <c r="D200" s="40"/>
      <c r="E200" s="40"/>
      <c r="F200" s="40"/>
      <c r="G200" s="40"/>
      <c r="H200" s="40"/>
      <c r="I200" s="36"/>
      <c r="J200" s="36"/>
      <c r="K200" s="36"/>
      <c r="L200" s="36"/>
      <c r="M200" s="36"/>
      <c r="N200" s="36"/>
      <c r="P200" s="59"/>
      <c r="Q200" s="36"/>
      <c r="S200" s="36"/>
      <c r="T200" s="36"/>
      <c r="U200" s="36"/>
      <c r="V200" s="36"/>
      <c r="W200" s="36"/>
      <c r="Z200" s="36"/>
      <c r="AA200" s="36"/>
      <c r="AB200" s="36"/>
      <c r="AD200" s="36"/>
      <c r="AE200" s="36"/>
      <c r="AF200" s="36"/>
      <c r="AG200" s="36"/>
      <c r="AH200" s="36"/>
      <c r="AJ200" s="36"/>
      <c r="AL200" s="40"/>
      <c r="AM200" s="40"/>
      <c r="AN200" s="40"/>
    </row>
    <row r="201" spans="1:40" x14ac:dyDescent="0.3">
      <c r="A201" s="70"/>
      <c r="B201" s="76"/>
      <c r="C201" s="36"/>
      <c r="D201" s="40"/>
      <c r="E201" s="40"/>
      <c r="F201" s="40"/>
      <c r="G201" s="40"/>
      <c r="H201" s="40"/>
      <c r="I201" s="36"/>
      <c r="J201" s="36"/>
      <c r="K201" s="36"/>
      <c r="L201" s="36"/>
      <c r="M201" s="36"/>
      <c r="N201" s="36"/>
      <c r="P201" s="59"/>
      <c r="Q201" s="36"/>
      <c r="S201" s="36"/>
      <c r="T201" s="36"/>
      <c r="U201" s="36"/>
      <c r="V201" s="36"/>
      <c r="W201" s="36"/>
      <c r="Z201" s="36"/>
      <c r="AA201" s="36"/>
      <c r="AB201" s="36"/>
      <c r="AD201" s="36"/>
      <c r="AE201" s="36"/>
      <c r="AF201" s="36"/>
      <c r="AG201" s="36"/>
      <c r="AH201" s="36"/>
      <c r="AJ201" s="36"/>
      <c r="AL201" s="40"/>
      <c r="AM201" s="40"/>
      <c r="AN201" s="40"/>
    </row>
    <row r="202" spans="1:40" x14ac:dyDescent="0.3">
      <c r="A202" s="70"/>
      <c r="B202" s="76"/>
      <c r="C202" s="36"/>
      <c r="D202" s="40"/>
      <c r="E202" s="40"/>
      <c r="F202" s="40"/>
      <c r="G202" s="40"/>
      <c r="H202" s="40"/>
      <c r="I202" s="36"/>
      <c r="J202" s="36"/>
      <c r="K202" s="36"/>
      <c r="L202" s="36"/>
      <c r="M202" s="36"/>
      <c r="N202" s="36"/>
      <c r="P202" s="59"/>
      <c r="Q202" s="36"/>
      <c r="S202" s="36"/>
      <c r="T202" s="36"/>
      <c r="U202" s="36"/>
      <c r="V202" s="36"/>
      <c r="W202" s="36"/>
      <c r="Z202" s="36"/>
      <c r="AA202" s="36"/>
      <c r="AB202" s="36"/>
      <c r="AD202" s="36"/>
      <c r="AE202" s="36"/>
      <c r="AF202" s="36"/>
      <c r="AG202" s="36"/>
      <c r="AH202" s="36"/>
      <c r="AJ202" s="36"/>
      <c r="AL202" s="40"/>
      <c r="AM202" s="40"/>
      <c r="AN202" s="40"/>
    </row>
    <row r="203" spans="1:40" x14ac:dyDescent="0.3">
      <c r="A203" s="70"/>
      <c r="B203" s="76"/>
      <c r="C203" s="36"/>
      <c r="D203" s="40"/>
      <c r="E203" s="40"/>
      <c r="F203" s="40"/>
      <c r="G203" s="40"/>
      <c r="H203" s="40"/>
      <c r="I203" s="36"/>
      <c r="J203" s="36"/>
      <c r="K203" s="36"/>
      <c r="L203" s="36"/>
      <c r="M203" s="36"/>
      <c r="N203" s="36"/>
      <c r="P203" s="59"/>
      <c r="Q203" s="36"/>
      <c r="S203" s="36"/>
      <c r="T203" s="36"/>
      <c r="U203" s="36"/>
      <c r="V203" s="36"/>
      <c r="W203" s="36"/>
      <c r="Z203" s="36"/>
      <c r="AA203" s="36"/>
      <c r="AB203" s="36"/>
      <c r="AD203" s="36"/>
      <c r="AE203" s="36"/>
      <c r="AF203" s="36"/>
      <c r="AG203" s="36"/>
      <c r="AH203" s="36"/>
      <c r="AJ203" s="36"/>
      <c r="AL203" s="40"/>
      <c r="AM203" s="40"/>
      <c r="AN203" s="40"/>
    </row>
    <row r="204" spans="1:40" x14ac:dyDescent="0.3">
      <c r="A204" s="70"/>
      <c r="B204" s="76"/>
      <c r="C204" s="36"/>
      <c r="D204" s="40"/>
      <c r="E204" s="40"/>
      <c r="F204" s="40"/>
      <c r="G204" s="40"/>
      <c r="H204" s="40"/>
      <c r="I204" s="36"/>
      <c r="J204" s="36"/>
      <c r="K204" s="36"/>
      <c r="L204" s="36"/>
      <c r="M204" s="36"/>
      <c r="N204" s="36"/>
      <c r="P204" s="59"/>
      <c r="Q204" s="36"/>
      <c r="S204" s="36"/>
      <c r="T204" s="36"/>
      <c r="U204" s="36"/>
      <c r="V204" s="36"/>
      <c r="W204" s="36"/>
      <c r="Z204" s="36"/>
      <c r="AA204" s="36"/>
      <c r="AB204" s="36"/>
      <c r="AD204" s="36"/>
      <c r="AE204" s="36"/>
      <c r="AF204" s="36"/>
      <c r="AG204" s="36"/>
      <c r="AH204" s="36"/>
      <c r="AJ204" s="36"/>
      <c r="AL204" s="40"/>
      <c r="AM204" s="40"/>
      <c r="AN204" s="40"/>
    </row>
    <row r="205" spans="1:40" x14ac:dyDescent="0.3">
      <c r="A205" s="70"/>
      <c r="B205" s="76"/>
      <c r="C205" s="36"/>
      <c r="D205" s="40"/>
      <c r="E205" s="40"/>
      <c r="F205" s="40"/>
      <c r="G205" s="40"/>
      <c r="H205" s="40"/>
      <c r="I205" s="36"/>
      <c r="J205" s="36"/>
      <c r="K205" s="36"/>
      <c r="L205" s="36"/>
      <c r="M205" s="36"/>
      <c r="N205" s="36"/>
      <c r="P205" s="59"/>
      <c r="Q205" s="36"/>
      <c r="S205" s="36"/>
      <c r="T205" s="36"/>
      <c r="U205" s="36"/>
      <c r="V205" s="36"/>
      <c r="W205" s="36"/>
      <c r="Z205" s="36"/>
      <c r="AA205" s="36"/>
      <c r="AB205" s="36"/>
      <c r="AD205" s="36"/>
      <c r="AE205" s="36"/>
      <c r="AF205" s="36"/>
      <c r="AG205" s="36"/>
      <c r="AH205" s="36"/>
      <c r="AJ205" s="36"/>
      <c r="AL205" s="40"/>
      <c r="AM205" s="40"/>
      <c r="AN205" s="40"/>
    </row>
    <row r="206" spans="1:40" x14ac:dyDescent="0.3">
      <c r="A206" s="70"/>
      <c r="B206" s="76"/>
      <c r="C206" s="36"/>
      <c r="D206" s="40"/>
      <c r="E206" s="40"/>
      <c r="F206" s="40"/>
      <c r="G206" s="40"/>
      <c r="H206" s="40"/>
      <c r="I206" s="36"/>
      <c r="J206" s="36"/>
      <c r="K206" s="36"/>
      <c r="L206" s="36"/>
      <c r="M206" s="36"/>
      <c r="N206" s="36"/>
      <c r="P206" s="59"/>
      <c r="Q206" s="36"/>
      <c r="S206" s="36"/>
      <c r="T206" s="36"/>
      <c r="U206" s="36"/>
      <c r="V206" s="36"/>
      <c r="W206" s="36"/>
      <c r="Z206" s="36"/>
      <c r="AA206" s="36"/>
      <c r="AB206" s="36"/>
      <c r="AD206" s="36"/>
      <c r="AE206" s="36"/>
      <c r="AF206" s="36"/>
      <c r="AG206" s="36"/>
      <c r="AH206" s="36"/>
      <c r="AJ206" s="36"/>
      <c r="AL206" s="40"/>
      <c r="AM206" s="40"/>
      <c r="AN206" s="40"/>
    </row>
    <row r="207" spans="1:40" x14ac:dyDescent="0.3">
      <c r="A207" s="70"/>
      <c r="B207" s="76"/>
      <c r="C207" s="36"/>
      <c r="D207" s="40"/>
      <c r="E207" s="40"/>
      <c r="F207" s="40"/>
      <c r="G207" s="40"/>
      <c r="H207" s="40"/>
      <c r="I207" s="36"/>
      <c r="J207" s="36"/>
      <c r="K207" s="36"/>
      <c r="L207" s="36"/>
      <c r="M207" s="36"/>
      <c r="N207" s="36"/>
      <c r="P207" s="59"/>
      <c r="Q207" s="36"/>
      <c r="S207" s="36"/>
      <c r="T207" s="36"/>
      <c r="U207" s="36"/>
      <c r="V207" s="36"/>
      <c r="W207" s="36"/>
      <c r="Z207" s="36"/>
      <c r="AA207" s="36"/>
      <c r="AB207" s="36"/>
      <c r="AD207" s="36"/>
      <c r="AE207" s="36"/>
      <c r="AF207" s="36"/>
      <c r="AG207" s="36"/>
      <c r="AH207" s="36"/>
      <c r="AJ207" s="36"/>
      <c r="AL207" s="40"/>
      <c r="AM207" s="40"/>
      <c r="AN207" s="40"/>
    </row>
    <row r="208" spans="1:40" x14ac:dyDescent="0.3">
      <c r="A208" s="70"/>
      <c r="B208" s="76"/>
      <c r="C208" s="36"/>
      <c r="D208" s="40"/>
      <c r="E208" s="40"/>
      <c r="F208" s="40"/>
      <c r="G208" s="40"/>
      <c r="H208" s="40"/>
      <c r="I208" s="36"/>
      <c r="J208" s="36"/>
      <c r="K208" s="36"/>
      <c r="L208" s="36"/>
      <c r="M208" s="36"/>
      <c r="N208" s="36"/>
      <c r="P208" s="59"/>
      <c r="Q208" s="36"/>
      <c r="S208" s="36"/>
      <c r="T208" s="36"/>
      <c r="U208" s="36"/>
      <c r="V208" s="36"/>
      <c r="W208" s="36"/>
      <c r="Z208" s="36"/>
      <c r="AA208" s="36"/>
      <c r="AB208" s="36"/>
      <c r="AD208" s="36"/>
      <c r="AE208" s="36"/>
      <c r="AF208" s="36"/>
      <c r="AG208" s="36"/>
      <c r="AH208" s="36"/>
      <c r="AJ208" s="36"/>
      <c r="AL208" s="40"/>
      <c r="AM208" s="40"/>
      <c r="AN208" s="40"/>
    </row>
    <row r="209" spans="1:40" x14ac:dyDescent="0.3">
      <c r="A209" s="70"/>
      <c r="B209" s="76"/>
      <c r="C209" s="36"/>
      <c r="D209" s="40"/>
      <c r="E209" s="40"/>
      <c r="F209" s="40"/>
      <c r="G209" s="40"/>
      <c r="H209" s="40"/>
      <c r="I209" s="36"/>
      <c r="J209" s="36"/>
      <c r="K209" s="36"/>
      <c r="L209" s="36"/>
      <c r="M209" s="36"/>
      <c r="N209" s="36"/>
      <c r="P209" s="59"/>
      <c r="Q209" s="36"/>
      <c r="S209" s="36"/>
      <c r="T209" s="36"/>
      <c r="U209" s="36"/>
      <c r="V209" s="36"/>
      <c r="W209" s="36"/>
      <c r="Z209" s="36"/>
      <c r="AA209" s="36"/>
      <c r="AB209" s="36"/>
      <c r="AD209" s="36"/>
      <c r="AE209" s="36"/>
      <c r="AF209" s="36"/>
      <c r="AG209" s="36"/>
      <c r="AH209" s="36"/>
      <c r="AJ209" s="36"/>
      <c r="AL209" s="40"/>
      <c r="AM209" s="40"/>
      <c r="AN209" s="40"/>
    </row>
    <row r="210" spans="1:40" x14ac:dyDescent="0.3">
      <c r="A210" s="70"/>
      <c r="B210" s="76"/>
      <c r="C210" s="36"/>
      <c r="D210" s="40"/>
      <c r="E210" s="40"/>
      <c r="F210" s="40"/>
      <c r="G210" s="40"/>
      <c r="H210" s="40"/>
      <c r="I210" s="36"/>
      <c r="J210" s="36"/>
      <c r="K210" s="36"/>
      <c r="L210" s="36"/>
      <c r="M210" s="36"/>
      <c r="N210" s="36"/>
      <c r="P210" s="59"/>
      <c r="Q210" s="36"/>
      <c r="S210" s="36"/>
      <c r="T210" s="36"/>
      <c r="U210" s="36"/>
      <c r="V210" s="36"/>
      <c r="W210" s="36"/>
      <c r="Z210" s="36"/>
      <c r="AA210" s="36"/>
      <c r="AB210" s="36"/>
      <c r="AD210" s="36"/>
      <c r="AE210" s="36"/>
      <c r="AF210" s="36"/>
      <c r="AG210" s="36"/>
      <c r="AH210" s="36"/>
      <c r="AJ210" s="36"/>
      <c r="AL210" s="40"/>
      <c r="AM210" s="40"/>
      <c r="AN210" s="40"/>
    </row>
    <row r="211" spans="1:40" x14ac:dyDescent="0.3">
      <c r="A211" s="70"/>
      <c r="B211" s="76"/>
      <c r="C211" s="36"/>
      <c r="D211" s="40"/>
      <c r="E211" s="40"/>
      <c r="F211" s="40"/>
      <c r="G211" s="40"/>
      <c r="H211" s="40"/>
      <c r="I211" s="36"/>
      <c r="J211" s="36"/>
      <c r="K211" s="36"/>
      <c r="L211" s="36"/>
      <c r="M211" s="36"/>
      <c r="N211" s="36"/>
      <c r="P211" s="59"/>
      <c r="Q211" s="36"/>
      <c r="S211" s="36"/>
      <c r="T211" s="36"/>
      <c r="U211" s="36"/>
      <c r="V211" s="36"/>
      <c r="W211" s="36"/>
      <c r="Z211" s="36"/>
      <c r="AA211" s="36"/>
      <c r="AB211" s="36"/>
      <c r="AD211" s="36"/>
      <c r="AE211" s="36"/>
      <c r="AF211" s="36"/>
      <c r="AG211" s="36"/>
      <c r="AH211" s="36"/>
      <c r="AJ211" s="36"/>
      <c r="AL211" s="40"/>
      <c r="AM211" s="40"/>
      <c r="AN211" s="40"/>
    </row>
    <row r="212" spans="1:40" x14ac:dyDescent="0.3">
      <c r="A212" s="70"/>
      <c r="B212" s="76"/>
      <c r="C212" s="36"/>
      <c r="D212" s="40"/>
      <c r="E212" s="40"/>
      <c r="F212" s="40"/>
      <c r="G212" s="40"/>
      <c r="H212" s="40"/>
      <c r="I212" s="36"/>
      <c r="J212" s="36"/>
      <c r="K212" s="36"/>
      <c r="L212" s="36"/>
      <c r="M212" s="36"/>
      <c r="N212" s="36"/>
      <c r="P212" s="59"/>
      <c r="Q212" s="36"/>
      <c r="S212" s="36"/>
      <c r="T212" s="36"/>
      <c r="U212" s="36"/>
      <c r="V212" s="36"/>
      <c r="W212" s="36"/>
      <c r="Z212" s="36"/>
      <c r="AA212" s="36"/>
      <c r="AB212" s="36"/>
      <c r="AD212" s="36"/>
      <c r="AE212" s="36"/>
      <c r="AF212" s="36"/>
      <c r="AG212" s="36"/>
      <c r="AH212" s="36"/>
      <c r="AJ212" s="36"/>
      <c r="AL212" s="40"/>
      <c r="AM212" s="40"/>
      <c r="AN212" s="40"/>
    </row>
    <row r="213" spans="1:40" x14ac:dyDescent="0.3">
      <c r="A213" s="70"/>
      <c r="B213" s="76"/>
      <c r="C213" s="36"/>
      <c r="D213" s="40"/>
      <c r="E213" s="40"/>
      <c r="F213" s="40"/>
      <c r="G213" s="40"/>
      <c r="H213" s="40"/>
      <c r="I213" s="36"/>
      <c r="J213" s="36"/>
      <c r="K213" s="36"/>
      <c r="L213" s="36"/>
      <c r="M213" s="36"/>
      <c r="N213" s="36"/>
      <c r="P213" s="59"/>
      <c r="Q213" s="36"/>
      <c r="S213" s="36"/>
      <c r="T213" s="36"/>
      <c r="U213" s="36"/>
      <c r="V213" s="36"/>
      <c r="W213" s="36"/>
      <c r="Z213" s="36"/>
      <c r="AA213" s="36"/>
      <c r="AB213" s="36"/>
      <c r="AD213" s="36"/>
      <c r="AE213" s="36"/>
      <c r="AF213" s="36"/>
      <c r="AG213" s="36"/>
      <c r="AH213" s="36"/>
      <c r="AJ213" s="36"/>
      <c r="AL213" s="40"/>
      <c r="AM213" s="40"/>
      <c r="AN213" s="40"/>
    </row>
    <row r="214" spans="1:40" x14ac:dyDescent="0.3">
      <c r="A214" s="70"/>
      <c r="B214" s="76"/>
      <c r="C214" s="36"/>
      <c r="D214" s="40"/>
      <c r="E214" s="40"/>
      <c r="F214" s="40"/>
      <c r="G214" s="40"/>
      <c r="H214" s="40"/>
      <c r="I214" s="36"/>
      <c r="J214" s="36"/>
      <c r="K214" s="36"/>
      <c r="L214" s="36"/>
      <c r="M214" s="36"/>
      <c r="N214" s="36"/>
      <c r="P214" s="59"/>
      <c r="Q214" s="36"/>
      <c r="S214" s="36"/>
      <c r="T214" s="36"/>
      <c r="U214" s="36"/>
      <c r="V214" s="36"/>
      <c r="W214" s="36"/>
      <c r="Z214" s="36"/>
      <c r="AA214" s="36"/>
      <c r="AB214" s="36"/>
      <c r="AD214" s="36"/>
      <c r="AE214" s="36"/>
      <c r="AF214" s="36"/>
      <c r="AG214" s="36"/>
      <c r="AH214" s="36"/>
      <c r="AJ214" s="36"/>
      <c r="AL214" s="40"/>
      <c r="AM214" s="40"/>
      <c r="AN214" s="40"/>
    </row>
    <row r="215" spans="1:40" x14ac:dyDescent="0.3">
      <c r="A215" s="70"/>
      <c r="B215" s="76"/>
      <c r="C215" s="36"/>
      <c r="D215" s="40"/>
      <c r="E215" s="40"/>
      <c r="F215" s="40"/>
      <c r="G215" s="40"/>
      <c r="H215" s="40"/>
      <c r="I215" s="36"/>
      <c r="J215" s="36"/>
      <c r="K215" s="36"/>
      <c r="L215" s="36"/>
      <c r="M215" s="36"/>
      <c r="N215" s="36"/>
      <c r="P215" s="59"/>
      <c r="Q215" s="36"/>
      <c r="S215" s="36"/>
      <c r="T215" s="36"/>
      <c r="U215" s="36"/>
      <c r="V215" s="36"/>
      <c r="W215" s="36"/>
      <c r="Z215" s="36"/>
      <c r="AA215" s="36"/>
      <c r="AB215" s="36"/>
      <c r="AD215" s="36"/>
      <c r="AE215" s="36"/>
      <c r="AF215" s="36"/>
      <c r="AG215" s="36"/>
      <c r="AH215" s="36"/>
      <c r="AJ215" s="36"/>
      <c r="AL215" s="40"/>
      <c r="AM215" s="40"/>
      <c r="AN215" s="40"/>
    </row>
    <row r="216" spans="1:40" x14ac:dyDescent="0.3">
      <c r="A216" s="70"/>
      <c r="B216" s="76"/>
      <c r="C216" s="36"/>
      <c r="D216" s="40"/>
      <c r="E216" s="40"/>
      <c r="F216" s="40"/>
      <c r="G216" s="40"/>
      <c r="H216" s="40"/>
      <c r="I216" s="36"/>
      <c r="J216" s="36"/>
      <c r="K216" s="36"/>
      <c r="L216" s="36"/>
      <c r="M216" s="36"/>
      <c r="N216" s="36"/>
      <c r="P216" s="59"/>
      <c r="Q216" s="36"/>
      <c r="S216" s="36"/>
      <c r="T216" s="36"/>
      <c r="U216" s="36"/>
      <c r="V216" s="36"/>
      <c r="W216" s="36"/>
      <c r="Z216" s="36"/>
      <c r="AA216" s="36"/>
      <c r="AB216" s="36"/>
      <c r="AD216" s="36"/>
      <c r="AE216" s="36"/>
      <c r="AF216" s="36"/>
      <c r="AG216" s="36"/>
      <c r="AH216" s="36"/>
      <c r="AJ216" s="36"/>
      <c r="AL216" s="40"/>
      <c r="AM216" s="40"/>
      <c r="AN216" s="40"/>
    </row>
    <row r="217" spans="1:40" x14ac:dyDescent="0.3">
      <c r="A217" s="70"/>
      <c r="B217" s="76"/>
      <c r="C217" s="36"/>
      <c r="D217" s="40"/>
      <c r="E217" s="40"/>
      <c r="F217" s="40"/>
      <c r="G217" s="40"/>
      <c r="H217" s="40"/>
      <c r="I217" s="36"/>
      <c r="J217" s="36"/>
      <c r="K217" s="36"/>
      <c r="L217" s="36"/>
      <c r="M217" s="36"/>
      <c r="N217" s="36"/>
      <c r="P217" s="59"/>
      <c r="Q217" s="36"/>
      <c r="S217" s="36"/>
      <c r="T217" s="36"/>
      <c r="U217" s="36"/>
      <c r="V217" s="36"/>
      <c r="W217" s="36"/>
      <c r="Z217" s="36"/>
      <c r="AA217" s="36"/>
      <c r="AB217" s="36"/>
      <c r="AD217" s="36"/>
      <c r="AE217" s="36"/>
      <c r="AF217" s="36"/>
      <c r="AG217" s="36"/>
      <c r="AH217" s="36"/>
      <c r="AJ217" s="36"/>
      <c r="AL217" s="40"/>
      <c r="AM217" s="40"/>
      <c r="AN217" s="40"/>
    </row>
    <row r="218" spans="1:40" x14ac:dyDescent="0.3">
      <c r="A218" s="70"/>
      <c r="B218" s="76"/>
      <c r="C218" s="36"/>
      <c r="D218" s="40"/>
      <c r="E218" s="40"/>
      <c r="F218" s="40"/>
      <c r="G218" s="40"/>
      <c r="H218" s="40"/>
      <c r="I218" s="36"/>
      <c r="J218" s="36"/>
      <c r="K218" s="36"/>
      <c r="L218" s="36"/>
      <c r="M218" s="36"/>
      <c r="N218" s="36"/>
      <c r="P218" s="59"/>
      <c r="Q218" s="36"/>
      <c r="S218" s="36"/>
      <c r="T218" s="36"/>
      <c r="U218" s="36"/>
      <c r="V218" s="36"/>
      <c r="W218" s="36"/>
      <c r="Z218" s="36"/>
      <c r="AA218" s="36"/>
      <c r="AB218" s="36"/>
      <c r="AD218" s="36"/>
      <c r="AE218" s="36"/>
      <c r="AF218" s="36"/>
      <c r="AG218" s="36"/>
      <c r="AH218" s="36"/>
      <c r="AJ218" s="36"/>
      <c r="AL218" s="40"/>
      <c r="AM218" s="40"/>
      <c r="AN218" s="40"/>
    </row>
    <row r="219" spans="1:40" x14ac:dyDescent="0.3">
      <c r="A219" s="70"/>
      <c r="B219" s="76"/>
      <c r="C219" s="36"/>
      <c r="D219" s="40"/>
      <c r="E219" s="40"/>
      <c r="F219" s="40"/>
      <c r="G219" s="40"/>
      <c r="H219" s="40"/>
      <c r="I219" s="36"/>
      <c r="J219" s="36"/>
      <c r="K219" s="36"/>
      <c r="L219" s="36"/>
      <c r="M219" s="36"/>
      <c r="N219" s="36"/>
      <c r="P219" s="59"/>
      <c r="Q219" s="36"/>
      <c r="S219" s="36"/>
      <c r="T219" s="36"/>
      <c r="U219" s="36"/>
      <c r="V219" s="36"/>
      <c r="W219" s="36"/>
      <c r="Z219" s="36"/>
      <c r="AA219" s="36"/>
      <c r="AB219" s="36"/>
      <c r="AD219" s="36"/>
      <c r="AE219" s="36"/>
      <c r="AF219" s="36"/>
      <c r="AG219" s="36"/>
      <c r="AH219" s="36"/>
      <c r="AJ219" s="36"/>
      <c r="AL219" s="40"/>
      <c r="AM219" s="40"/>
      <c r="AN219" s="40"/>
    </row>
    <row r="220" spans="1:40" x14ac:dyDescent="0.3">
      <c r="A220" s="70"/>
      <c r="B220" s="76"/>
      <c r="C220" s="36"/>
      <c r="D220" s="40"/>
      <c r="E220" s="40"/>
      <c r="F220" s="40"/>
      <c r="G220" s="40"/>
      <c r="H220" s="40"/>
      <c r="I220" s="36"/>
      <c r="J220" s="36"/>
      <c r="K220" s="36"/>
      <c r="L220" s="36"/>
      <c r="M220" s="36"/>
      <c r="N220" s="36"/>
      <c r="P220" s="59"/>
      <c r="Q220" s="36"/>
      <c r="S220" s="36"/>
      <c r="T220" s="36"/>
      <c r="U220" s="36"/>
      <c r="V220" s="36"/>
      <c r="W220" s="36"/>
      <c r="Z220" s="36"/>
      <c r="AA220" s="36"/>
      <c r="AB220" s="36"/>
      <c r="AD220" s="36"/>
      <c r="AE220" s="36"/>
      <c r="AF220" s="36"/>
      <c r="AG220" s="36"/>
      <c r="AH220" s="36"/>
      <c r="AJ220" s="36"/>
      <c r="AL220" s="40"/>
      <c r="AM220" s="40"/>
      <c r="AN220" s="40"/>
    </row>
    <row r="221" spans="1:40" x14ac:dyDescent="0.3">
      <c r="A221" s="70"/>
      <c r="B221" s="76"/>
      <c r="C221" s="36"/>
      <c r="D221" s="40"/>
      <c r="E221" s="40"/>
      <c r="F221" s="40"/>
      <c r="G221" s="40"/>
      <c r="H221" s="40"/>
      <c r="I221" s="36"/>
      <c r="J221" s="36"/>
      <c r="K221" s="36"/>
      <c r="L221" s="36"/>
      <c r="M221" s="36"/>
      <c r="N221" s="36"/>
      <c r="P221" s="59"/>
      <c r="Q221" s="36"/>
      <c r="S221" s="36"/>
      <c r="T221" s="36"/>
      <c r="U221" s="36"/>
      <c r="V221" s="36"/>
      <c r="W221" s="36"/>
      <c r="Z221" s="36"/>
      <c r="AA221" s="36"/>
      <c r="AB221" s="36"/>
      <c r="AD221" s="36"/>
      <c r="AE221" s="36"/>
      <c r="AF221" s="36"/>
      <c r="AG221" s="36"/>
      <c r="AH221" s="36"/>
      <c r="AJ221" s="36"/>
      <c r="AL221" s="40"/>
      <c r="AM221" s="40"/>
      <c r="AN221" s="40"/>
    </row>
    <row r="222" spans="1:40" x14ac:dyDescent="0.3">
      <c r="A222" s="70"/>
      <c r="B222" s="76"/>
      <c r="C222" s="36"/>
      <c r="D222" s="40"/>
      <c r="E222" s="40"/>
      <c r="F222" s="40"/>
      <c r="G222" s="40"/>
      <c r="H222" s="40"/>
      <c r="I222" s="36"/>
      <c r="J222" s="36"/>
      <c r="K222" s="36"/>
      <c r="L222" s="36"/>
      <c r="M222" s="36"/>
      <c r="N222" s="36"/>
      <c r="P222" s="59"/>
      <c r="Q222" s="36"/>
      <c r="S222" s="36"/>
      <c r="T222" s="36"/>
      <c r="U222" s="36"/>
      <c r="V222" s="36"/>
      <c r="W222" s="36"/>
      <c r="Z222" s="36"/>
      <c r="AA222" s="36"/>
      <c r="AB222" s="36"/>
      <c r="AD222" s="36"/>
      <c r="AE222" s="36"/>
      <c r="AF222" s="36"/>
      <c r="AG222" s="36"/>
      <c r="AH222" s="36"/>
      <c r="AJ222" s="36"/>
      <c r="AL222" s="40"/>
      <c r="AM222" s="40"/>
      <c r="AN222" s="40"/>
    </row>
    <row r="223" spans="1:40" x14ac:dyDescent="0.3">
      <c r="A223" s="70"/>
      <c r="B223" s="76"/>
      <c r="C223" s="36"/>
      <c r="D223" s="40"/>
      <c r="E223" s="40"/>
      <c r="F223" s="40"/>
      <c r="G223" s="40"/>
      <c r="H223" s="40"/>
      <c r="I223" s="36"/>
      <c r="J223" s="36"/>
      <c r="K223" s="36"/>
      <c r="L223" s="36"/>
      <c r="M223" s="36"/>
      <c r="N223" s="36"/>
      <c r="P223" s="59"/>
      <c r="Q223" s="36"/>
      <c r="S223" s="36"/>
      <c r="T223" s="36"/>
      <c r="U223" s="36"/>
      <c r="V223" s="36"/>
      <c r="W223" s="36"/>
      <c r="Z223" s="36"/>
      <c r="AA223" s="36"/>
      <c r="AB223" s="36"/>
      <c r="AD223" s="36"/>
      <c r="AE223" s="36"/>
      <c r="AF223" s="36"/>
      <c r="AG223" s="36"/>
      <c r="AH223" s="36"/>
      <c r="AJ223" s="36"/>
      <c r="AL223" s="40"/>
      <c r="AM223" s="40"/>
      <c r="AN223" s="40"/>
    </row>
    <row r="224" spans="1:40" x14ac:dyDescent="0.3">
      <c r="A224" s="70"/>
      <c r="B224" s="76"/>
      <c r="C224" s="36"/>
      <c r="D224" s="40"/>
      <c r="E224" s="40"/>
      <c r="F224" s="40"/>
      <c r="G224" s="40"/>
      <c r="H224" s="40"/>
      <c r="I224" s="36"/>
      <c r="J224" s="36"/>
      <c r="K224" s="36"/>
      <c r="L224" s="36"/>
      <c r="M224" s="36"/>
      <c r="N224" s="36"/>
      <c r="P224" s="59"/>
      <c r="Q224" s="36"/>
      <c r="S224" s="36"/>
      <c r="T224" s="36"/>
      <c r="U224" s="36"/>
      <c r="V224" s="36"/>
      <c r="W224" s="36"/>
      <c r="Z224" s="36"/>
      <c r="AA224" s="36"/>
      <c r="AB224" s="36"/>
      <c r="AD224" s="36"/>
      <c r="AE224" s="36"/>
      <c r="AF224" s="36"/>
      <c r="AG224" s="36"/>
      <c r="AH224" s="36"/>
      <c r="AJ224" s="36"/>
      <c r="AL224" s="40"/>
      <c r="AM224" s="40"/>
      <c r="AN224" s="40"/>
    </row>
    <row r="225" spans="1:40" x14ac:dyDescent="0.3">
      <c r="A225" s="70"/>
      <c r="B225" s="76"/>
      <c r="C225" s="36"/>
      <c r="D225" s="40"/>
      <c r="E225" s="40"/>
      <c r="F225" s="40"/>
      <c r="G225" s="40"/>
      <c r="H225" s="40"/>
      <c r="I225" s="36"/>
      <c r="J225" s="36"/>
      <c r="K225" s="36"/>
      <c r="L225" s="36"/>
      <c r="M225" s="36"/>
      <c r="N225" s="36"/>
      <c r="P225" s="59"/>
      <c r="Q225" s="36"/>
      <c r="S225" s="36"/>
      <c r="T225" s="36"/>
      <c r="U225" s="36"/>
      <c r="V225" s="36"/>
      <c r="W225" s="36"/>
      <c r="Z225" s="36"/>
      <c r="AA225" s="36"/>
      <c r="AB225" s="36"/>
      <c r="AD225" s="36"/>
      <c r="AE225" s="36"/>
      <c r="AF225" s="36"/>
      <c r="AG225" s="36"/>
      <c r="AH225" s="36"/>
      <c r="AJ225" s="36"/>
      <c r="AL225" s="40"/>
      <c r="AM225" s="40"/>
      <c r="AN225" s="40"/>
    </row>
    <row r="226" spans="1:40" x14ac:dyDescent="0.3">
      <c r="A226" s="70"/>
      <c r="B226" s="76"/>
      <c r="C226" s="36"/>
      <c r="D226" s="40"/>
      <c r="E226" s="40"/>
      <c r="F226" s="40"/>
      <c r="G226" s="40"/>
      <c r="H226" s="40"/>
      <c r="I226" s="36"/>
      <c r="J226" s="36"/>
      <c r="K226" s="36"/>
      <c r="L226" s="36"/>
      <c r="M226" s="36"/>
      <c r="N226" s="36"/>
      <c r="P226" s="59"/>
      <c r="Q226" s="36"/>
      <c r="S226" s="36"/>
      <c r="T226" s="36"/>
      <c r="U226" s="36"/>
      <c r="V226" s="36"/>
      <c r="W226" s="36"/>
      <c r="Z226" s="36"/>
      <c r="AA226" s="36"/>
      <c r="AB226" s="36"/>
      <c r="AD226" s="36"/>
      <c r="AE226" s="36"/>
      <c r="AF226" s="36"/>
      <c r="AG226" s="36"/>
      <c r="AH226" s="36"/>
      <c r="AJ226" s="36"/>
      <c r="AL226" s="40"/>
      <c r="AM226" s="40"/>
      <c r="AN226" s="40"/>
    </row>
    <row r="227" spans="1:40" x14ac:dyDescent="0.3">
      <c r="A227" s="70"/>
      <c r="B227" s="76"/>
      <c r="C227" s="36"/>
      <c r="D227" s="40"/>
      <c r="E227" s="40"/>
      <c r="F227" s="40"/>
      <c r="G227" s="40"/>
      <c r="H227" s="40"/>
      <c r="I227" s="36"/>
      <c r="J227" s="36"/>
      <c r="K227" s="36"/>
      <c r="L227" s="36"/>
      <c r="M227" s="36"/>
      <c r="N227" s="36"/>
      <c r="P227" s="59"/>
      <c r="Q227" s="36"/>
      <c r="S227" s="36"/>
      <c r="T227" s="36"/>
      <c r="U227" s="36"/>
      <c r="V227" s="36"/>
      <c r="W227" s="36"/>
      <c r="Z227" s="36"/>
      <c r="AA227" s="36"/>
      <c r="AB227" s="36"/>
      <c r="AD227" s="36"/>
      <c r="AE227" s="36"/>
      <c r="AF227" s="36"/>
      <c r="AG227" s="36"/>
      <c r="AH227" s="36"/>
      <c r="AJ227" s="36"/>
      <c r="AL227" s="40"/>
      <c r="AM227" s="40"/>
      <c r="AN227" s="40"/>
    </row>
    <row r="228" spans="1:40" x14ac:dyDescent="0.3">
      <c r="A228" s="70"/>
      <c r="B228" s="76"/>
      <c r="C228" s="36"/>
      <c r="D228" s="40"/>
      <c r="E228" s="40"/>
      <c r="F228" s="40"/>
      <c r="G228" s="40"/>
      <c r="H228" s="40"/>
      <c r="I228" s="36"/>
      <c r="J228" s="36"/>
      <c r="K228" s="36"/>
      <c r="L228" s="36"/>
      <c r="M228" s="36"/>
      <c r="N228" s="36"/>
      <c r="P228" s="59"/>
      <c r="Q228" s="36"/>
      <c r="S228" s="36"/>
      <c r="T228" s="36"/>
      <c r="U228" s="36"/>
      <c r="V228" s="36"/>
      <c r="W228" s="36"/>
      <c r="Z228" s="36"/>
      <c r="AA228" s="36"/>
      <c r="AB228" s="36"/>
      <c r="AD228" s="36"/>
      <c r="AE228" s="36"/>
      <c r="AF228" s="36"/>
      <c r="AG228" s="36"/>
      <c r="AH228" s="36"/>
      <c r="AJ228" s="36"/>
      <c r="AL228" s="40"/>
      <c r="AM228" s="40"/>
      <c r="AN228" s="40"/>
    </row>
    <row r="229" spans="1:40" x14ac:dyDescent="0.3">
      <c r="A229" s="70"/>
      <c r="B229" s="76"/>
      <c r="C229" s="36"/>
      <c r="D229" s="40"/>
      <c r="E229" s="40"/>
      <c r="F229" s="40"/>
      <c r="G229" s="40"/>
      <c r="H229" s="40"/>
      <c r="I229" s="36"/>
      <c r="J229" s="36"/>
      <c r="K229" s="36"/>
      <c r="L229" s="36"/>
      <c r="M229" s="36"/>
      <c r="N229" s="36"/>
      <c r="P229" s="59"/>
      <c r="Q229" s="36"/>
      <c r="S229" s="36"/>
      <c r="T229" s="36"/>
      <c r="U229" s="36"/>
      <c r="V229" s="36"/>
      <c r="W229" s="36"/>
      <c r="Z229" s="36"/>
      <c r="AA229" s="36"/>
      <c r="AB229" s="36"/>
      <c r="AD229" s="36"/>
      <c r="AE229" s="36"/>
      <c r="AF229" s="36"/>
      <c r="AG229" s="36"/>
      <c r="AH229" s="36"/>
      <c r="AJ229" s="36"/>
      <c r="AL229" s="40"/>
      <c r="AM229" s="40"/>
      <c r="AN229" s="40"/>
    </row>
    <row r="230" spans="1:40" x14ac:dyDescent="0.3">
      <c r="A230" s="70"/>
      <c r="B230" s="76"/>
      <c r="C230" s="36"/>
      <c r="D230" s="40"/>
      <c r="E230" s="40"/>
      <c r="F230" s="40"/>
      <c r="G230" s="40"/>
      <c r="H230" s="40"/>
      <c r="I230" s="36"/>
      <c r="J230" s="36"/>
      <c r="K230" s="36"/>
      <c r="L230" s="36"/>
      <c r="M230" s="36"/>
      <c r="N230" s="36"/>
      <c r="P230" s="59"/>
      <c r="Q230" s="36"/>
      <c r="S230" s="36"/>
      <c r="T230" s="36"/>
      <c r="U230" s="36"/>
      <c r="V230" s="36"/>
      <c r="W230" s="36"/>
      <c r="Z230" s="36"/>
      <c r="AA230" s="36"/>
      <c r="AB230" s="36"/>
      <c r="AD230" s="36"/>
      <c r="AE230" s="36"/>
      <c r="AF230" s="36"/>
      <c r="AG230" s="36"/>
      <c r="AH230" s="36"/>
      <c r="AJ230" s="36"/>
      <c r="AL230" s="40"/>
      <c r="AM230" s="40"/>
      <c r="AN230" s="40"/>
    </row>
    <row r="231" spans="1:40" x14ac:dyDescent="0.3">
      <c r="A231" s="70"/>
      <c r="B231" s="76"/>
      <c r="C231" s="36"/>
      <c r="D231" s="40"/>
      <c r="E231" s="40"/>
      <c r="F231" s="40"/>
      <c r="G231" s="40"/>
      <c r="H231" s="40"/>
      <c r="I231" s="36"/>
      <c r="J231" s="36"/>
      <c r="K231" s="36"/>
      <c r="L231" s="36"/>
      <c r="M231" s="36"/>
      <c r="N231" s="36"/>
      <c r="P231" s="59"/>
      <c r="Q231" s="36"/>
      <c r="S231" s="36"/>
      <c r="T231" s="36"/>
      <c r="U231" s="36"/>
      <c r="V231" s="36"/>
      <c r="W231" s="36"/>
      <c r="Z231" s="36"/>
      <c r="AA231" s="36"/>
      <c r="AB231" s="36"/>
      <c r="AD231" s="36"/>
      <c r="AE231" s="36"/>
      <c r="AF231" s="36"/>
      <c r="AG231" s="36"/>
      <c r="AH231" s="36"/>
      <c r="AJ231" s="36"/>
      <c r="AL231" s="40"/>
      <c r="AM231" s="40"/>
      <c r="AN231" s="40"/>
    </row>
    <row r="232" spans="1:40" x14ac:dyDescent="0.3">
      <c r="A232" s="70"/>
      <c r="B232" s="76"/>
      <c r="C232" s="36"/>
      <c r="D232" s="40"/>
      <c r="E232" s="40"/>
      <c r="F232" s="40"/>
      <c r="G232" s="40"/>
      <c r="H232" s="40"/>
      <c r="I232" s="36"/>
      <c r="J232" s="36"/>
      <c r="K232" s="36"/>
      <c r="L232" s="36"/>
      <c r="M232" s="36"/>
      <c r="N232" s="36"/>
      <c r="P232" s="59"/>
      <c r="Q232" s="36"/>
      <c r="S232" s="36"/>
      <c r="T232" s="36"/>
      <c r="U232" s="36"/>
      <c r="V232" s="36"/>
      <c r="W232" s="36"/>
      <c r="Z232" s="36"/>
      <c r="AA232" s="36"/>
      <c r="AB232" s="36"/>
      <c r="AD232" s="36"/>
      <c r="AE232" s="36"/>
      <c r="AF232" s="36"/>
      <c r="AG232" s="36"/>
      <c r="AH232" s="36"/>
      <c r="AJ232" s="36"/>
      <c r="AL232" s="40"/>
      <c r="AM232" s="40"/>
      <c r="AN232" s="40"/>
    </row>
    <row r="233" spans="1:40" x14ac:dyDescent="0.3">
      <c r="A233" s="70"/>
      <c r="B233" s="76"/>
      <c r="C233" s="36"/>
      <c r="D233" s="40"/>
      <c r="E233" s="40"/>
      <c r="F233" s="40"/>
      <c r="G233" s="40"/>
      <c r="H233" s="40"/>
      <c r="I233" s="36"/>
      <c r="J233" s="36"/>
      <c r="K233" s="36"/>
      <c r="L233" s="36"/>
      <c r="M233" s="36"/>
      <c r="N233" s="36"/>
      <c r="P233" s="59"/>
      <c r="Q233" s="36"/>
      <c r="S233" s="36"/>
      <c r="T233" s="36"/>
      <c r="U233" s="36"/>
      <c r="V233" s="36"/>
      <c r="W233" s="36"/>
      <c r="Z233" s="36"/>
      <c r="AA233" s="36"/>
      <c r="AB233" s="36"/>
      <c r="AD233" s="36"/>
      <c r="AE233" s="36"/>
      <c r="AF233" s="36"/>
      <c r="AG233" s="36"/>
      <c r="AH233" s="36"/>
      <c r="AJ233" s="36"/>
      <c r="AL233" s="40"/>
      <c r="AM233" s="40"/>
      <c r="AN233" s="40"/>
    </row>
    <row r="234" spans="1:40" x14ac:dyDescent="0.3">
      <c r="A234" s="70"/>
      <c r="B234" s="76"/>
      <c r="C234" s="36"/>
      <c r="D234" s="40"/>
      <c r="E234" s="40"/>
      <c r="F234" s="40"/>
      <c r="G234" s="40"/>
      <c r="H234" s="40"/>
      <c r="I234" s="36"/>
      <c r="J234" s="36"/>
      <c r="K234" s="36"/>
      <c r="L234" s="36"/>
      <c r="M234" s="36"/>
      <c r="N234" s="36"/>
      <c r="P234" s="59"/>
      <c r="Q234" s="36"/>
      <c r="S234" s="36"/>
      <c r="T234" s="36"/>
      <c r="U234" s="36"/>
      <c r="V234" s="36"/>
      <c r="W234" s="36"/>
      <c r="Z234" s="36"/>
      <c r="AA234" s="36"/>
      <c r="AB234" s="36"/>
      <c r="AD234" s="36"/>
      <c r="AE234" s="36"/>
      <c r="AF234" s="36"/>
      <c r="AG234" s="36"/>
      <c r="AH234" s="36"/>
      <c r="AJ234" s="36"/>
      <c r="AL234" s="40"/>
      <c r="AM234" s="40"/>
      <c r="AN234" s="40"/>
    </row>
    <row r="235" spans="1:40" x14ac:dyDescent="0.3">
      <c r="A235" s="70"/>
      <c r="B235" s="76"/>
      <c r="C235" s="36"/>
      <c r="D235" s="40"/>
      <c r="E235" s="40"/>
      <c r="F235" s="40"/>
      <c r="G235" s="40"/>
      <c r="H235" s="40"/>
      <c r="I235" s="36"/>
      <c r="J235" s="36"/>
      <c r="K235" s="36"/>
      <c r="L235" s="36"/>
      <c r="M235" s="36"/>
      <c r="N235" s="36"/>
      <c r="P235" s="59"/>
      <c r="Q235" s="36"/>
      <c r="S235" s="36"/>
      <c r="T235" s="36"/>
      <c r="U235" s="36"/>
      <c r="V235" s="36"/>
      <c r="W235" s="36"/>
      <c r="Z235" s="36"/>
      <c r="AA235" s="36"/>
      <c r="AB235" s="36"/>
      <c r="AD235" s="36"/>
      <c r="AE235" s="36"/>
      <c r="AF235" s="36"/>
      <c r="AG235" s="36"/>
      <c r="AH235" s="36"/>
      <c r="AJ235" s="36"/>
      <c r="AL235" s="40"/>
      <c r="AM235" s="40"/>
      <c r="AN235" s="40"/>
    </row>
    <row r="236" spans="1:40" x14ac:dyDescent="0.3">
      <c r="A236" s="70"/>
      <c r="B236" s="76"/>
      <c r="C236" s="36"/>
      <c r="D236" s="40"/>
      <c r="E236" s="40"/>
      <c r="F236" s="40"/>
      <c r="G236" s="40"/>
      <c r="H236" s="40"/>
      <c r="I236" s="36"/>
      <c r="J236" s="36"/>
      <c r="K236" s="36"/>
      <c r="L236" s="36"/>
      <c r="M236" s="36"/>
      <c r="N236" s="36"/>
      <c r="P236" s="59"/>
      <c r="Q236" s="36"/>
      <c r="S236" s="36"/>
      <c r="T236" s="36"/>
      <c r="U236" s="36"/>
      <c r="V236" s="36"/>
      <c r="W236" s="36"/>
      <c r="Z236" s="36"/>
      <c r="AA236" s="36"/>
      <c r="AB236" s="36"/>
      <c r="AD236" s="36"/>
      <c r="AE236" s="36"/>
      <c r="AF236" s="36"/>
      <c r="AG236" s="36"/>
      <c r="AH236" s="36"/>
      <c r="AJ236" s="36"/>
      <c r="AL236" s="40"/>
      <c r="AM236" s="40"/>
      <c r="AN236" s="40"/>
    </row>
    <row r="237" spans="1:40" x14ac:dyDescent="0.3">
      <c r="A237" s="70"/>
      <c r="B237" s="76"/>
      <c r="C237" s="36"/>
      <c r="D237" s="40"/>
      <c r="E237" s="40"/>
      <c r="F237" s="40"/>
      <c r="G237" s="40"/>
      <c r="H237" s="40"/>
      <c r="I237" s="36"/>
      <c r="J237" s="36"/>
      <c r="K237" s="36"/>
      <c r="L237" s="36"/>
      <c r="M237" s="36"/>
      <c r="N237" s="36"/>
      <c r="P237" s="59"/>
      <c r="Q237" s="36"/>
      <c r="S237" s="36"/>
      <c r="T237" s="36"/>
      <c r="U237" s="36"/>
      <c r="V237" s="36"/>
      <c r="W237" s="36"/>
      <c r="Z237" s="36"/>
      <c r="AA237" s="36"/>
      <c r="AB237" s="36"/>
      <c r="AD237" s="36"/>
      <c r="AE237" s="36"/>
      <c r="AF237" s="36"/>
      <c r="AG237" s="36"/>
      <c r="AH237" s="36"/>
      <c r="AJ237" s="36"/>
      <c r="AL237" s="40"/>
      <c r="AM237" s="40"/>
      <c r="AN237" s="40"/>
    </row>
    <row r="238" spans="1:40" x14ac:dyDescent="0.3">
      <c r="A238" s="70"/>
      <c r="B238" s="76"/>
      <c r="C238" s="36"/>
      <c r="D238" s="40"/>
      <c r="E238" s="40"/>
      <c r="F238" s="40"/>
      <c r="G238" s="40"/>
      <c r="H238" s="40"/>
      <c r="I238" s="36"/>
      <c r="J238" s="36"/>
      <c r="K238" s="36"/>
      <c r="L238" s="36"/>
      <c r="M238" s="36"/>
      <c r="N238" s="36"/>
      <c r="P238" s="59"/>
      <c r="Q238" s="36"/>
      <c r="S238" s="36"/>
      <c r="T238" s="36"/>
      <c r="U238" s="36"/>
      <c r="V238" s="36"/>
      <c r="W238" s="36"/>
      <c r="Z238" s="36"/>
      <c r="AA238" s="36"/>
      <c r="AB238" s="36"/>
      <c r="AD238" s="36"/>
      <c r="AE238" s="36"/>
      <c r="AF238" s="36"/>
      <c r="AG238" s="36"/>
      <c r="AH238" s="36"/>
      <c r="AJ238" s="36"/>
      <c r="AL238" s="40"/>
      <c r="AM238" s="40"/>
      <c r="AN238" s="40"/>
    </row>
    <row r="239" spans="1:40" x14ac:dyDescent="0.3">
      <c r="A239" s="70"/>
      <c r="B239" s="76"/>
      <c r="C239" s="36"/>
      <c r="D239" s="40"/>
      <c r="E239" s="40"/>
      <c r="F239" s="40"/>
      <c r="G239" s="40"/>
      <c r="H239" s="40"/>
      <c r="I239" s="36"/>
      <c r="J239" s="36"/>
      <c r="K239" s="36"/>
      <c r="L239" s="36"/>
      <c r="M239" s="36"/>
      <c r="N239" s="36"/>
      <c r="P239" s="59"/>
      <c r="Q239" s="36"/>
      <c r="S239" s="36"/>
      <c r="T239" s="36"/>
      <c r="U239" s="36"/>
      <c r="V239" s="36"/>
      <c r="W239" s="36"/>
      <c r="Z239" s="36"/>
      <c r="AA239" s="36"/>
      <c r="AB239" s="36"/>
      <c r="AD239" s="36"/>
      <c r="AE239" s="36"/>
      <c r="AF239" s="36"/>
      <c r="AG239" s="36"/>
      <c r="AH239" s="36"/>
      <c r="AJ239" s="36"/>
      <c r="AL239" s="40"/>
      <c r="AM239" s="40"/>
      <c r="AN239" s="40"/>
    </row>
    <row r="240" spans="1:40" x14ac:dyDescent="0.3">
      <c r="A240" s="70"/>
      <c r="B240" s="76"/>
      <c r="C240" s="36"/>
      <c r="D240" s="40"/>
      <c r="E240" s="40"/>
      <c r="F240" s="40"/>
      <c r="G240" s="40"/>
      <c r="H240" s="40"/>
      <c r="I240" s="36"/>
      <c r="J240" s="36"/>
      <c r="K240" s="36"/>
      <c r="L240" s="36"/>
      <c r="M240" s="36"/>
      <c r="N240" s="36"/>
      <c r="P240" s="59"/>
      <c r="Q240" s="36"/>
      <c r="S240" s="36"/>
      <c r="T240" s="36"/>
      <c r="U240" s="36"/>
      <c r="V240" s="36"/>
      <c r="W240" s="36"/>
      <c r="Z240" s="36"/>
      <c r="AA240" s="36"/>
      <c r="AB240" s="36"/>
      <c r="AD240" s="36"/>
      <c r="AE240" s="36"/>
      <c r="AF240" s="36"/>
      <c r="AG240" s="36"/>
      <c r="AH240" s="36"/>
      <c r="AJ240" s="36"/>
      <c r="AL240" s="40"/>
      <c r="AM240" s="40"/>
      <c r="AN240" s="40"/>
    </row>
    <row r="241" spans="1:40" x14ac:dyDescent="0.3">
      <c r="A241" s="70"/>
      <c r="B241" s="76"/>
      <c r="C241" s="36"/>
      <c r="D241" s="40"/>
      <c r="E241" s="40"/>
      <c r="F241" s="40"/>
      <c r="G241" s="40"/>
      <c r="H241" s="40"/>
      <c r="I241" s="36"/>
      <c r="J241" s="36"/>
      <c r="K241" s="36"/>
      <c r="L241" s="36"/>
      <c r="M241" s="36"/>
      <c r="N241" s="36"/>
      <c r="P241" s="59"/>
      <c r="Q241" s="36"/>
      <c r="S241" s="36"/>
      <c r="T241" s="36"/>
      <c r="U241" s="36"/>
      <c r="V241" s="36"/>
      <c r="W241" s="36"/>
      <c r="Z241" s="36"/>
      <c r="AA241" s="36"/>
      <c r="AB241" s="36"/>
      <c r="AD241" s="36"/>
      <c r="AE241" s="36"/>
      <c r="AF241" s="36"/>
      <c r="AG241" s="36"/>
      <c r="AH241" s="36"/>
      <c r="AJ241" s="36"/>
      <c r="AL241" s="40"/>
      <c r="AM241" s="40"/>
      <c r="AN241" s="40"/>
    </row>
    <row r="242" spans="1:40" x14ac:dyDescent="0.3">
      <c r="A242" s="70"/>
      <c r="B242" s="76"/>
      <c r="C242" s="36"/>
      <c r="D242" s="40"/>
      <c r="E242" s="40"/>
      <c r="F242" s="40"/>
      <c r="G242" s="40"/>
      <c r="H242" s="40"/>
      <c r="I242" s="36"/>
      <c r="J242" s="36"/>
      <c r="K242" s="36"/>
      <c r="L242" s="36"/>
      <c r="M242" s="36"/>
      <c r="N242" s="36"/>
      <c r="P242" s="59"/>
      <c r="Q242" s="36"/>
      <c r="S242" s="36"/>
      <c r="T242" s="36"/>
      <c r="U242" s="36"/>
      <c r="V242" s="36"/>
      <c r="W242" s="36"/>
      <c r="Z242" s="36"/>
      <c r="AA242" s="36"/>
      <c r="AB242" s="36"/>
      <c r="AD242" s="36"/>
      <c r="AE242" s="36"/>
      <c r="AF242" s="36"/>
      <c r="AG242" s="36"/>
      <c r="AH242" s="36"/>
      <c r="AJ242" s="36"/>
      <c r="AM242" s="40"/>
      <c r="AN242" s="40"/>
    </row>
    <row r="243" spans="1:40" x14ac:dyDescent="0.3">
      <c r="A243" s="70"/>
      <c r="B243" s="76"/>
      <c r="C243" s="36"/>
      <c r="D243" s="40"/>
      <c r="E243" s="40"/>
      <c r="F243" s="40"/>
      <c r="G243" s="40"/>
      <c r="H243" s="40"/>
      <c r="I243" s="36"/>
      <c r="J243" s="36"/>
      <c r="K243" s="36"/>
      <c r="L243" s="36"/>
      <c r="M243" s="36"/>
      <c r="N243" s="36"/>
      <c r="P243" s="59"/>
      <c r="Q243" s="36"/>
      <c r="S243" s="36"/>
      <c r="T243" s="36"/>
      <c r="U243" s="36"/>
      <c r="V243" s="36"/>
      <c r="W243" s="36"/>
      <c r="Z243" s="36"/>
      <c r="AA243" s="36"/>
      <c r="AB243" s="36"/>
      <c r="AD243" s="36"/>
      <c r="AE243" s="36"/>
      <c r="AF243" s="36"/>
      <c r="AG243" s="36"/>
      <c r="AH243" s="36"/>
      <c r="AJ243" s="36"/>
      <c r="AM243" s="40"/>
      <c r="AN243" s="40"/>
    </row>
    <row r="244" spans="1:40" x14ac:dyDescent="0.3">
      <c r="A244" s="70"/>
      <c r="B244" s="76"/>
      <c r="C244" s="36"/>
      <c r="D244" s="40"/>
      <c r="E244" s="40"/>
      <c r="F244" s="40"/>
      <c r="G244" s="40"/>
      <c r="H244" s="40"/>
      <c r="I244" s="36"/>
      <c r="J244" s="36"/>
      <c r="K244" s="36"/>
      <c r="L244" s="36"/>
      <c r="M244" s="36"/>
      <c r="N244" s="36"/>
      <c r="P244" s="59"/>
      <c r="Q244" s="36"/>
      <c r="S244" s="36"/>
      <c r="T244" s="36"/>
      <c r="U244" s="36"/>
      <c r="V244" s="36"/>
      <c r="W244" s="36"/>
      <c r="Z244" s="36"/>
      <c r="AA244" s="36"/>
      <c r="AB244" s="36"/>
      <c r="AD244" s="36"/>
      <c r="AE244" s="36"/>
      <c r="AF244" s="36"/>
      <c r="AG244" s="36"/>
      <c r="AH244" s="36"/>
      <c r="AJ244" s="36"/>
      <c r="AM244" s="40"/>
      <c r="AN244" s="40"/>
    </row>
    <row r="245" spans="1:40" x14ac:dyDescent="0.3">
      <c r="A245" s="70"/>
      <c r="B245" s="76"/>
      <c r="C245" s="36"/>
      <c r="D245" s="40"/>
      <c r="E245" s="40"/>
      <c r="F245" s="40"/>
      <c r="G245" s="40"/>
      <c r="H245" s="40"/>
      <c r="I245" s="36"/>
      <c r="J245" s="36"/>
      <c r="K245" s="36"/>
      <c r="L245" s="36"/>
      <c r="M245" s="36"/>
      <c r="N245" s="36"/>
      <c r="P245" s="59"/>
      <c r="Q245" s="36"/>
      <c r="S245" s="36"/>
      <c r="T245" s="36"/>
      <c r="U245" s="36"/>
      <c r="V245" s="36"/>
      <c r="W245" s="36"/>
      <c r="Z245" s="36"/>
      <c r="AA245" s="36"/>
      <c r="AB245" s="36"/>
      <c r="AD245" s="36"/>
      <c r="AE245" s="36"/>
      <c r="AF245" s="36"/>
      <c r="AG245" s="36"/>
      <c r="AH245" s="36"/>
      <c r="AJ245" s="36"/>
      <c r="AM245" s="40"/>
      <c r="AN245" s="40"/>
    </row>
    <row r="246" spans="1:40" x14ac:dyDescent="0.3">
      <c r="A246" s="70"/>
      <c r="B246" s="76"/>
      <c r="C246" s="36"/>
      <c r="D246" s="40"/>
      <c r="E246" s="40"/>
      <c r="F246" s="40"/>
      <c r="G246" s="40"/>
      <c r="H246" s="40"/>
      <c r="I246" s="36"/>
      <c r="J246" s="36"/>
      <c r="K246" s="36"/>
      <c r="L246" s="36"/>
      <c r="M246" s="36"/>
      <c r="N246" s="36"/>
      <c r="P246" s="59"/>
      <c r="Q246" s="36"/>
      <c r="S246" s="36"/>
      <c r="T246" s="36"/>
      <c r="U246" s="36"/>
      <c r="V246" s="36"/>
      <c r="W246" s="36"/>
      <c r="Z246" s="36"/>
      <c r="AA246" s="36"/>
      <c r="AB246" s="36"/>
      <c r="AD246" s="36"/>
      <c r="AE246" s="36"/>
      <c r="AF246" s="36"/>
      <c r="AG246" s="36"/>
      <c r="AH246" s="36"/>
      <c r="AJ246" s="36"/>
      <c r="AM246" s="40"/>
      <c r="AN246" s="40"/>
    </row>
    <row r="247" spans="1:40" x14ac:dyDescent="0.3">
      <c r="A247" s="70"/>
      <c r="B247" s="76"/>
      <c r="C247" s="36"/>
      <c r="D247" s="40"/>
      <c r="E247" s="40"/>
      <c r="F247" s="40"/>
      <c r="G247" s="40"/>
      <c r="H247" s="40"/>
      <c r="I247" s="36"/>
      <c r="J247" s="36"/>
      <c r="K247" s="36"/>
      <c r="L247" s="36"/>
      <c r="M247" s="36"/>
      <c r="N247" s="36"/>
      <c r="P247" s="59"/>
      <c r="Q247" s="36"/>
      <c r="S247" s="36"/>
      <c r="T247" s="36"/>
      <c r="U247" s="36"/>
      <c r="V247" s="36"/>
      <c r="W247" s="36"/>
      <c r="Z247" s="36"/>
      <c r="AA247" s="36"/>
      <c r="AB247" s="36"/>
      <c r="AD247" s="36"/>
      <c r="AE247" s="36"/>
      <c r="AF247" s="36"/>
      <c r="AG247" s="36"/>
      <c r="AH247" s="36"/>
      <c r="AJ247" s="36"/>
      <c r="AM247" s="40"/>
      <c r="AN247" s="40"/>
    </row>
    <row r="248" spans="1:40" x14ac:dyDescent="0.3">
      <c r="A248" s="70"/>
      <c r="B248" s="76"/>
      <c r="C248" s="36"/>
      <c r="D248" s="40"/>
      <c r="E248" s="40"/>
      <c r="F248" s="40"/>
      <c r="G248" s="40"/>
      <c r="H248" s="40"/>
      <c r="I248" s="36"/>
      <c r="J248" s="36"/>
      <c r="K248" s="36"/>
      <c r="L248" s="36"/>
      <c r="M248" s="36"/>
      <c r="N248" s="36"/>
      <c r="P248" s="59"/>
      <c r="Q248" s="36"/>
      <c r="S248" s="36"/>
      <c r="T248" s="36"/>
      <c r="U248" s="36"/>
      <c r="V248" s="36"/>
      <c r="W248" s="36"/>
      <c r="Z248" s="36"/>
      <c r="AA248" s="36"/>
      <c r="AB248" s="36"/>
      <c r="AD248" s="36"/>
      <c r="AE248" s="36"/>
      <c r="AF248" s="36"/>
      <c r="AG248" s="36"/>
      <c r="AH248" s="36"/>
      <c r="AM248" s="40"/>
      <c r="AN248" s="40"/>
    </row>
    <row r="249" spans="1:40" x14ac:dyDescent="0.3">
      <c r="A249" s="70"/>
      <c r="B249" s="76"/>
      <c r="C249" s="36"/>
      <c r="D249" s="40"/>
      <c r="E249" s="40"/>
      <c r="F249" s="40"/>
      <c r="G249" s="40"/>
      <c r="H249" s="40"/>
      <c r="I249" s="36"/>
      <c r="J249" s="36"/>
      <c r="K249" s="36"/>
      <c r="L249" s="36"/>
      <c r="M249" s="36"/>
      <c r="N249" s="36"/>
      <c r="P249" s="59"/>
      <c r="Q249" s="36"/>
      <c r="S249" s="36"/>
      <c r="T249" s="36"/>
      <c r="U249" s="36"/>
      <c r="V249" s="36"/>
      <c r="W249" s="36"/>
      <c r="Z249" s="36"/>
      <c r="AA249" s="36"/>
      <c r="AB249" s="36"/>
      <c r="AD249" s="36"/>
      <c r="AE249" s="36"/>
      <c r="AF249" s="36"/>
      <c r="AG249" s="36"/>
      <c r="AH249" s="36"/>
      <c r="AM249" s="40"/>
      <c r="AN249" s="40"/>
    </row>
    <row r="250" spans="1:40" x14ac:dyDescent="0.3">
      <c r="A250" s="70"/>
      <c r="B250" s="76"/>
      <c r="C250" s="36"/>
      <c r="D250" s="40"/>
      <c r="E250" s="40"/>
      <c r="F250" s="40"/>
      <c r="G250" s="40"/>
      <c r="H250" s="40"/>
      <c r="I250" s="36"/>
      <c r="J250" s="36"/>
      <c r="K250" s="36"/>
      <c r="L250" s="36"/>
      <c r="M250" s="36"/>
      <c r="N250" s="36"/>
      <c r="P250" s="59"/>
      <c r="Q250" s="36"/>
      <c r="S250" s="36"/>
      <c r="T250" s="36"/>
      <c r="U250" s="36"/>
      <c r="V250" s="36"/>
      <c r="W250" s="36"/>
      <c r="Z250" s="36"/>
      <c r="AA250" s="36"/>
      <c r="AB250" s="36"/>
      <c r="AD250" s="36"/>
      <c r="AE250" s="36"/>
      <c r="AF250" s="36"/>
      <c r="AG250" s="36"/>
      <c r="AH250" s="36"/>
      <c r="AM250" s="40"/>
      <c r="AN250" s="40"/>
    </row>
    <row r="251" spans="1:40" x14ac:dyDescent="0.3">
      <c r="A251" s="70"/>
      <c r="B251" s="76"/>
      <c r="C251" s="36"/>
      <c r="D251" s="40"/>
      <c r="E251" s="40"/>
      <c r="F251" s="40"/>
      <c r="G251" s="40"/>
      <c r="H251" s="40"/>
      <c r="I251" s="36"/>
      <c r="J251" s="36"/>
      <c r="K251" s="36"/>
      <c r="L251" s="36"/>
      <c r="M251" s="36"/>
      <c r="N251" s="36"/>
      <c r="P251" s="59"/>
      <c r="Q251" s="36"/>
      <c r="S251" s="36"/>
      <c r="T251" s="36"/>
      <c r="U251" s="36"/>
      <c r="V251" s="36"/>
      <c r="W251" s="36"/>
      <c r="Z251" s="36"/>
      <c r="AA251" s="36"/>
      <c r="AB251" s="36"/>
      <c r="AD251" s="36"/>
      <c r="AE251" s="36"/>
      <c r="AF251" s="36"/>
      <c r="AG251" s="36"/>
      <c r="AH251" s="36"/>
      <c r="AM251" s="40"/>
      <c r="AN251" s="40"/>
    </row>
    <row r="252" spans="1:40" x14ac:dyDescent="0.3">
      <c r="A252" s="70"/>
      <c r="B252" s="76"/>
      <c r="C252" s="36"/>
      <c r="D252" s="40"/>
      <c r="E252" s="40"/>
      <c r="F252" s="40"/>
      <c r="G252" s="40"/>
      <c r="H252" s="40"/>
      <c r="I252" s="36"/>
      <c r="J252" s="36"/>
      <c r="K252" s="36"/>
      <c r="L252" s="36"/>
      <c r="M252" s="36"/>
      <c r="N252" s="36"/>
      <c r="P252" s="59"/>
      <c r="Q252" s="36"/>
      <c r="S252" s="36"/>
      <c r="T252" s="36"/>
      <c r="U252" s="36"/>
      <c r="V252" s="36"/>
      <c r="W252" s="36"/>
      <c r="Z252" s="36"/>
      <c r="AA252" s="36"/>
      <c r="AB252" s="36"/>
      <c r="AD252" s="36"/>
      <c r="AE252" s="36"/>
      <c r="AF252" s="36"/>
      <c r="AG252" s="36"/>
      <c r="AH252" s="36"/>
      <c r="AM252" s="40"/>
      <c r="AN252" s="40"/>
    </row>
    <row r="253" spans="1:40" x14ac:dyDescent="0.3">
      <c r="A253" s="70"/>
      <c r="B253" s="76"/>
      <c r="C253" s="36"/>
      <c r="D253" s="40"/>
      <c r="E253" s="40"/>
      <c r="F253" s="40"/>
      <c r="G253" s="40"/>
      <c r="H253" s="40"/>
      <c r="I253" s="36"/>
      <c r="J253" s="36"/>
      <c r="K253" s="36"/>
      <c r="L253" s="36"/>
      <c r="M253" s="36"/>
      <c r="N253" s="36"/>
      <c r="P253" s="59"/>
      <c r="Q253" s="36"/>
      <c r="S253" s="36"/>
      <c r="T253" s="36"/>
      <c r="U253" s="36"/>
      <c r="V253" s="36"/>
      <c r="W253" s="36"/>
      <c r="Z253" s="36"/>
      <c r="AA253" s="36"/>
      <c r="AB253" s="36"/>
      <c r="AD253" s="36"/>
      <c r="AE253" s="36"/>
      <c r="AF253" s="36"/>
      <c r="AG253" s="36"/>
      <c r="AH253" s="36"/>
      <c r="AM253" s="40"/>
      <c r="AN253" s="40"/>
    </row>
    <row r="254" spans="1:40" x14ac:dyDescent="0.3">
      <c r="A254" s="70"/>
      <c r="B254" s="70"/>
      <c r="D254" s="40"/>
      <c r="E254" s="40"/>
      <c r="F254" s="40"/>
      <c r="G254" s="40"/>
      <c r="H254" s="40"/>
      <c r="I254" s="36"/>
      <c r="J254" s="36"/>
      <c r="K254" s="36"/>
      <c r="L254" s="36"/>
      <c r="M254" s="36"/>
      <c r="N254" s="36"/>
      <c r="P254" s="59"/>
      <c r="Q254" s="36"/>
      <c r="S254" s="36"/>
      <c r="T254" s="36"/>
      <c r="U254" s="36"/>
      <c r="V254" s="36"/>
      <c r="W254" s="36"/>
      <c r="Z254" s="36"/>
      <c r="AA254" s="36"/>
      <c r="AB254" s="36"/>
      <c r="AD254" s="36"/>
      <c r="AE254" s="36"/>
      <c r="AF254" s="36"/>
      <c r="AG254" s="36"/>
      <c r="AH254" s="36"/>
      <c r="AM254" s="40"/>
      <c r="AN254" s="40"/>
    </row>
    <row r="255" spans="1:40" x14ac:dyDescent="0.3">
      <c r="A255" s="70"/>
      <c r="B255" s="70"/>
      <c r="D255" s="40"/>
      <c r="E255" s="40"/>
      <c r="F255" s="40"/>
      <c r="G255" s="40"/>
      <c r="H255" s="40"/>
      <c r="I255" s="36"/>
      <c r="J255" s="36"/>
      <c r="K255" s="36"/>
      <c r="L255" s="36"/>
      <c r="M255" s="36"/>
      <c r="N255" s="36"/>
      <c r="P255" s="59"/>
      <c r="Q255" s="36"/>
      <c r="S255" s="36"/>
      <c r="T255" s="36"/>
      <c r="U255" s="36"/>
      <c r="V255" s="36"/>
      <c r="W255" s="36"/>
      <c r="Z255" s="36"/>
      <c r="AA255" s="36"/>
      <c r="AB255" s="36"/>
      <c r="AD255" s="36"/>
      <c r="AE255" s="36"/>
      <c r="AF255" s="36"/>
      <c r="AG255" s="36"/>
      <c r="AH255" s="36"/>
      <c r="AM255" s="40"/>
      <c r="AN255" s="40"/>
    </row>
    <row r="256" spans="1:40" x14ac:dyDescent="0.3">
      <c r="A256" s="70"/>
      <c r="B256" s="70"/>
      <c r="D256" s="40"/>
      <c r="E256" s="40"/>
      <c r="F256" s="40"/>
      <c r="G256" s="40"/>
      <c r="H256" s="40"/>
      <c r="I256" s="36"/>
      <c r="J256" s="36"/>
      <c r="K256" s="36"/>
      <c r="L256" s="36"/>
      <c r="M256" s="36"/>
      <c r="N256" s="36"/>
      <c r="P256" s="59"/>
      <c r="Q256" s="36"/>
      <c r="S256" s="36"/>
      <c r="T256" s="36"/>
      <c r="U256" s="36"/>
      <c r="V256" s="36"/>
      <c r="W256" s="36"/>
      <c r="Z256" s="36"/>
      <c r="AA256" s="36"/>
      <c r="AB256" s="36"/>
      <c r="AD256" s="36"/>
      <c r="AE256" s="36"/>
      <c r="AF256" s="36"/>
      <c r="AG256" s="36"/>
      <c r="AH256" s="36"/>
      <c r="AM256" s="40"/>
      <c r="AN256" s="40"/>
    </row>
    <row r="257" spans="1:40" x14ac:dyDescent="0.3">
      <c r="A257" s="70"/>
      <c r="B257" s="70"/>
      <c r="D257" s="40"/>
      <c r="E257" s="40"/>
      <c r="F257" s="40"/>
      <c r="G257" s="40"/>
      <c r="H257" s="40"/>
      <c r="I257" s="36"/>
      <c r="J257" s="36"/>
      <c r="K257" s="36"/>
      <c r="L257" s="36"/>
      <c r="M257" s="36"/>
      <c r="N257" s="36"/>
      <c r="P257" s="59"/>
      <c r="Q257" s="36"/>
      <c r="S257" s="36"/>
      <c r="T257" s="36"/>
      <c r="U257" s="36"/>
      <c r="V257" s="36"/>
      <c r="W257" s="36"/>
      <c r="Z257" s="36"/>
      <c r="AA257" s="36"/>
      <c r="AB257" s="36"/>
      <c r="AD257" s="36"/>
      <c r="AE257" s="36"/>
      <c r="AF257" s="36"/>
      <c r="AG257" s="36"/>
      <c r="AH257" s="36"/>
      <c r="AM257" s="40"/>
      <c r="AN257" s="40"/>
    </row>
    <row r="258" spans="1:40" x14ac:dyDescent="0.3">
      <c r="A258" s="70"/>
      <c r="B258" s="70"/>
      <c r="D258" s="40"/>
      <c r="E258" s="40"/>
      <c r="F258" s="40"/>
      <c r="G258" s="40"/>
      <c r="H258" s="40"/>
      <c r="I258" s="36"/>
      <c r="J258" s="36"/>
      <c r="K258" s="36"/>
      <c r="L258" s="36"/>
      <c r="M258" s="36"/>
      <c r="N258" s="36"/>
      <c r="P258" s="59"/>
      <c r="Q258" s="36"/>
      <c r="S258" s="36"/>
      <c r="T258" s="36"/>
      <c r="U258" s="36"/>
      <c r="V258" s="36"/>
      <c r="W258" s="36"/>
      <c r="Z258" s="36"/>
      <c r="AA258" s="36"/>
      <c r="AB258" s="36"/>
      <c r="AD258" s="36"/>
      <c r="AE258" s="36"/>
      <c r="AF258" s="36"/>
      <c r="AG258" s="36"/>
      <c r="AH258" s="36"/>
      <c r="AM258" s="40"/>
      <c r="AN258" s="40"/>
    </row>
    <row r="259" spans="1:40" x14ac:dyDescent="0.3">
      <c r="A259" s="70"/>
      <c r="B259" s="70"/>
      <c r="D259" s="40"/>
      <c r="E259" s="40"/>
      <c r="F259" s="40"/>
      <c r="G259" s="40"/>
      <c r="H259" s="40"/>
      <c r="I259" s="36"/>
      <c r="J259" s="36"/>
      <c r="K259" s="36"/>
      <c r="L259" s="36"/>
      <c r="M259" s="36"/>
      <c r="N259" s="36"/>
      <c r="P259" s="59"/>
      <c r="Q259" s="36"/>
      <c r="S259" s="36"/>
      <c r="T259" s="36"/>
      <c r="U259" s="36"/>
      <c r="V259" s="36"/>
      <c r="W259" s="36"/>
      <c r="Z259" s="36"/>
      <c r="AA259" s="36"/>
      <c r="AB259" s="36"/>
      <c r="AD259" s="36"/>
      <c r="AE259" s="36"/>
      <c r="AF259" s="36"/>
      <c r="AG259" s="36"/>
      <c r="AH259" s="36"/>
      <c r="AM259" s="40"/>
      <c r="AN259" s="40"/>
    </row>
    <row r="260" spans="1:40" x14ac:dyDescent="0.3">
      <c r="A260" s="70"/>
      <c r="B260" s="70"/>
      <c r="D260" s="40"/>
      <c r="E260" s="40"/>
      <c r="F260" s="40"/>
      <c r="G260" s="40"/>
      <c r="H260" s="40"/>
      <c r="I260" s="36"/>
      <c r="J260" s="36"/>
      <c r="K260" s="36"/>
      <c r="L260" s="36"/>
      <c r="M260" s="36"/>
      <c r="N260" s="36"/>
      <c r="P260" s="59"/>
      <c r="Q260" s="36"/>
      <c r="S260" s="36"/>
      <c r="T260" s="36"/>
      <c r="U260" s="36"/>
      <c r="V260" s="36"/>
      <c r="W260" s="36"/>
      <c r="Z260" s="36"/>
      <c r="AA260" s="36"/>
      <c r="AB260" s="36"/>
      <c r="AD260" s="36"/>
      <c r="AE260" s="36"/>
      <c r="AF260" s="36"/>
      <c r="AG260" s="36"/>
      <c r="AH260" s="36"/>
      <c r="AM260" s="40"/>
      <c r="AN260" s="40"/>
    </row>
    <row r="261" spans="1:40" x14ac:dyDescent="0.3">
      <c r="A261" s="70"/>
      <c r="B261" s="70"/>
      <c r="D261" s="40"/>
      <c r="E261" s="40"/>
      <c r="F261" s="40"/>
      <c r="G261" s="40"/>
      <c r="H261" s="40"/>
      <c r="I261" s="36"/>
      <c r="J261" s="36"/>
      <c r="K261" s="36"/>
      <c r="L261" s="36"/>
      <c r="M261" s="36"/>
      <c r="N261" s="36"/>
      <c r="P261" s="59"/>
      <c r="Q261" s="36"/>
      <c r="S261" s="36"/>
      <c r="T261" s="36"/>
      <c r="U261" s="36"/>
      <c r="V261" s="36"/>
      <c r="W261" s="36"/>
      <c r="Z261" s="36"/>
      <c r="AA261" s="36"/>
      <c r="AB261" s="36"/>
      <c r="AD261" s="36"/>
      <c r="AE261" s="36"/>
      <c r="AF261" s="36"/>
      <c r="AG261" s="36"/>
      <c r="AH261" s="36"/>
      <c r="AM261" s="40"/>
      <c r="AN261" s="40"/>
    </row>
    <row r="262" spans="1:40" x14ac:dyDescent="0.3">
      <c r="A262" s="70"/>
      <c r="B262" s="70"/>
      <c r="D262" s="40"/>
      <c r="E262" s="40"/>
      <c r="F262" s="40"/>
      <c r="G262" s="40"/>
      <c r="H262" s="40"/>
      <c r="I262" s="36"/>
      <c r="J262" s="36"/>
      <c r="K262" s="36"/>
      <c r="L262" s="36"/>
      <c r="M262" s="36"/>
      <c r="N262" s="36"/>
      <c r="P262" s="59"/>
      <c r="Q262" s="36"/>
      <c r="S262" s="36"/>
      <c r="T262" s="36"/>
      <c r="U262" s="36"/>
      <c r="V262" s="36"/>
      <c r="W262" s="36"/>
      <c r="Z262" s="36"/>
      <c r="AA262" s="36"/>
      <c r="AB262" s="36"/>
      <c r="AD262" s="36"/>
      <c r="AE262" s="36"/>
      <c r="AF262" s="36"/>
      <c r="AG262" s="36"/>
      <c r="AH262" s="36"/>
      <c r="AM262" s="40"/>
      <c r="AN262" s="40"/>
    </row>
    <row r="263" spans="1:40" x14ac:dyDescent="0.3">
      <c r="A263" s="70"/>
      <c r="B263" s="70"/>
      <c r="D263" s="40"/>
      <c r="E263" s="40"/>
      <c r="F263" s="40"/>
      <c r="G263" s="40"/>
      <c r="H263" s="40"/>
      <c r="I263" s="36"/>
      <c r="J263" s="36"/>
      <c r="K263" s="36"/>
      <c r="L263" s="36"/>
      <c r="M263" s="36"/>
      <c r="N263" s="36"/>
      <c r="P263" s="59"/>
      <c r="Q263" s="36"/>
      <c r="S263" s="36"/>
      <c r="T263" s="36"/>
      <c r="U263" s="36"/>
      <c r="V263" s="36"/>
      <c r="W263" s="36"/>
      <c r="Z263" s="36"/>
      <c r="AB263" s="36"/>
      <c r="AD263" s="36"/>
      <c r="AE263" s="36"/>
      <c r="AF263" s="36"/>
      <c r="AG263" s="36"/>
      <c r="AH263" s="36"/>
      <c r="AM263" s="40"/>
      <c r="AN263" s="40"/>
    </row>
    <row r="264" spans="1:40" x14ac:dyDescent="0.3">
      <c r="A264" s="70"/>
      <c r="B264" s="70"/>
      <c r="D264" s="40"/>
      <c r="E264" s="40"/>
      <c r="F264" s="40"/>
      <c r="G264" s="40"/>
      <c r="H264" s="40"/>
      <c r="I264" s="36"/>
      <c r="J264" s="36"/>
      <c r="K264" s="36"/>
      <c r="L264" s="36"/>
      <c r="M264" s="36"/>
      <c r="N264" s="36"/>
      <c r="P264" s="59"/>
      <c r="Q264" s="36"/>
      <c r="S264" s="36"/>
      <c r="T264" s="36"/>
      <c r="U264" s="36"/>
      <c r="V264" s="36"/>
      <c r="W264" s="36"/>
      <c r="Z264" s="36"/>
      <c r="AB264" s="36"/>
      <c r="AD264" s="36"/>
      <c r="AE264" s="36"/>
      <c r="AF264" s="36"/>
      <c r="AH264" s="36"/>
      <c r="AM264" s="40"/>
      <c r="AN264" s="40"/>
    </row>
    <row r="265" spans="1:40" x14ac:dyDescent="0.3">
      <c r="A265" s="70"/>
      <c r="B265" s="70"/>
      <c r="D265" s="40"/>
      <c r="E265" s="40"/>
      <c r="F265" s="40"/>
      <c r="G265" s="40"/>
      <c r="H265" s="40"/>
      <c r="I265" s="36"/>
      <c r="J265" s="36"/>
      <c r="K265" s="36"/>
      <c r="L265" s="36"/>
      <c r="M265" s="36"/>
      <c r="N265" s="36"/>
      <c r="P265" s="59"/>
      <c r="Q265" s="36"/>
      <c r="S265" s="36"/>
      <c r="T265" s="36"/>
      <c r="U265" s="36"/>
      <c r="V265" s="36"/>
      <c r="W265" s="36"/>
      <c r="Z265" s="36"/>
      <c r="AB265" s="36"/>
      <c r="AD265" s="36"/>
      <c r="AE265" s="36"/>
      <c r="AF265" s="36"/>
      <c r="AH265" s="36"/>
      <c r="AM265" s="40"/>
      <c r="AN265" s="40"/>
    </row>
    <row r="266" spans="1:40" x14ac:dyDescent="0.3">
      <c r="A266" s="70"/>
      <c r="B266" s="70"/>
      <c r="D266" s="40"/>
      <c r="E266" s="40"/>
      <c r="F266" s="40"/>
      <c r="G266" s="40"/>
      <c r="H266" s="40"/>
      <c r="I266" s="36"/>
      <c r="J266" s="36"/>
      <c r="K266" s="36"/>
      <c r="L266" s="36"/>
      <c r="M266" s="36"/>
      <c r="N266" s="36"/>
      <c r="P266" s="59"/>
      <c r="Q266" s="36"/>
      <c r="S266" s="36"/>
      <c r="T266" s="36"/>
      <c r="U266" s="36"/>
      <c r="V266" s="36"/>
      <c r="W266" s="36"/>
      <c r="Z266" s="36"/>
      <c r="AB266" s="36"/>
      <c r="AD266" s="36"/>
      <c r="AE266" s="36"/>
      <c r="AF266" s="36"/>
      <c r="AH266" s="36"/>
      <c r="AM266" s="40"/>
      <c r="AN266" s="40"/>
    </row>
    <row r="267" spans="1:40" x14ac:dyDescent="0.3">
      <c r="A267" s="70"/>
      <c r="B267" s="70"/>
      <c r="D267" s="40"/>
      <c r="E267" s="40"/>
      <c r="F267" s="40"/>
      <c r="G267" s="40"/>
      <c r="H267" s="40"/>
      <c r="I267" s="36"/>
      <c r="J267" s="36"/>
      <c r="K267" s="36"/>
      <c r="L267" s="36"/>
      <c r="M267" s="36"/>
      <c r="N267" s="36"/>
      <c r="P267" s="59"/>
      <c r="Q267" s="36"/>
      <c r="S267" s="36"/>
      <c r="T267" s="36"/>
      <c r="U267" s="36"/>
      <c r="V267" s="36"/>
      <c r="W267" s="36"/>
      <c r="Z267" s="36"/>
      <c r="AB267" s="36"/>
      <c r="AD267" s="36"/>
      <c r="AE267" s="36"/>
      <c r="AF267" s="36"/>
      <c r="AH267" s="36"/>
      <c r="AM267" s="40"/>
      <c r="AN267" s="40"/>
    </row>
    <row r="268" spans="1:40" x14ac:dyDescent="0.3">
      <c r="A268" s="70"/>
      <c r="B268" s="70"/>
      <c r="D268" s="40"/>
      <c r="E268" s="40"/>
      <c r="F268" s="40"/>
      <c r="G268" s="40"/>
      <c r="H268" s="40"/>
      <c r="I268" s="36"/>
      <c r="J268" s="36"/>
      <c r="K268" s="36"/>
      <c r="L268" s="36"/>
      <c r="M268" s="36"/>
      <c r="N268" s="36"/>
      <c r="P268" s="59"/>
      <c r="Q268" s="36"/>
      <c r="S268" s="36"/>
      <c r="T268" s="36"/>
      <c r="U268" s="36"/>
      <c r="V268" s="36"/>
      <c r="W268" s="36"/>
      <c r="Z268" s="36"/>
      <c r="AB268" s="36"/>
      <c r="AD268" s="36"/>
      <c r="AE268" s="36"/>
      <c r="AF268" s="36"/>
      <c r="AH268" s="36"/>
      <c r="AM268" s="40"/>
      <c r="AN268" s="40"/>
    </row>
    <row r="269" spans="1:40" x14ac:dyDescent="0.3">
      <c r="A269" s="70"/>
      <c r="B269" s="70"/>
      <c r="D269" s="40"/>
      <c r="E269" s="40"/>
      <c r="F269" s="40"/>
      <c r="G269" s="40"/>
      <c r="H269" s="40"/>
      <c r="I269" s="36"/>
      <c r="J269" s="36"/>
      <c r="K269" s="36"/>
      <c r="L269" s="36"/>
      <c r="M269" s="36"/>
      <c r="N269" s="36"/>
      <c r="P269" s="59"/>
      <c r="Q269" s="36"/>
      <c r="S269" s="36"/>
      <c r="T269" s="36"/>
      <c r="U269" s="36"/>
      <c r="V269" s="36"/>
      <c r="W269" s="36"/>
      <c r="Z269" s="36"/>
      <c r="AB269" s="36"/>
      <c r="AD269" s="36"/>
      <c r="AE269" s="36"/>
      <c r="AF269" s="36"/>
      <c r="AH269" s="36"/>
      <c r="AM269" s="40"/>
      <c r="AN269" s="40"/>
    </row>
    <row r="270" spans="1:40" x14ac:dyDescent="0.3">
      <c r="A270" s="70"/>
      <c r="B270" s="70"/>
      <c r="D270" s="40"/>
      <c r="E270" s="40"/>
      <c r="F270" s="40"/>
      <c r="G270" s="40"/>
      <c r="H270" s="40"/>
      <c r="I270" s="36"/>
      <c r="J270" s="36"/>
      <c r="K270" s="36"/>
      <c r="L270" s="36"/>
      <c r="M270" s="36"/>
      <c r="N270" s="36"/>
      <c r="P270" s="59"/>
      <c r="Q270" s="36"/>
      <c r="S270" s="36"/>
      <c r="T270" s="36"/>
      <c r="U270" s="36"/>
      <c r="V270" s="36"/>
      <c r="W270" s="36"/>
      <c r="Z270" s="36"/>
      <c r="AB270" s="36"/>
      <c r="AD270" s="36"/>
      <c r="AE270" s="36"/>
      <c r="AF270" s="36"/>
      <c r="AH270" s="36"/>
      <c r="AM270" s="40"/>
      <c r="AN270" s="40"/>
    </row>
    <row r="271" spans="1:40" x14ac:dyDescent="0.3">
      <c r="A271" s="70"/>
      <c r="B271" s="70"/>
      <c r="D271" s="40"/>
      <c r="E271" s="40"/>
      <c r="F271" s="40"/>
      <c r="G271" s="40"/>
      <c r="H271" s="40"/>
      <c r="I271" s="36"/>
      <c r="J271" s="36"/>
      <c r="K271" s="36"/>
      <c r="L271" s="36"/>
      <c r="M271" s="36"/>
      <c r="N271" s="36"/>
      <c r="P271" s="59"/>
      <c r="Q271" s="36"/>
      <c r="S271" s="36"/>
      <c r="T271" s="36"/>
      <c r="U271" s="36"/>
      <c r="V271" s="36"/>
      <c r="W271" s="36"/>
      <c r="Z271" s="36"/>
      <c r="AB271" s="36"/>
      <c r="AD271" s="36"/>
      <c r="AE271" s="36"/>
      <c r="AF271" s="36"/>
      <c r="AH271" s="36"/>
      <c r="AM271" s="40"/>
      <c r="AN271" s="40"/>
    </row>
    <row r="272" spans="1:40" x14ac:dyDescent="0.3">
      <c r="A272" s="70"/>
      <c r="B272" s="70"/>
      <c r="D272" s="40"/>
      <c r="E272" s="40"/>
      <c r="F272" s="40"/>
      <c r="G272" s="40"/>
      <c r="H272" s="40"/>
      <c r="I272" s="36"/>
      <c r="J272" s="36"/>
      <c r="K272" s="36"/>
      <c r="L272" s="36"/>
      <c r="M272" s="36"/>
      <c r="N272" s="36"/>
      <c r="P272" s="59"/>
      <c r="Q272" s="36"/>
      <c r="S272" s="36"/>
      <c r="T272" s="36"/>
      <c r="U272" s="36"/>
      <c r="V272" s="36"/>
      <c r="W272" s="36"/>
      <c r="Z272" s="36"/>
      <c r="AB272" s="36"/>
      <c r="AD272" s="36"/>
      <c r="AE272" s="36"/>
      <c r="AF272" s="36"/>
      <c r="AH272" s="36"/>
      <c r="AM272" s="40"/>
      <c r="AN272" s="40"/>
    </row>
    <row r="273" spans="1:40" x14ac:dyDescent="0.3">
      <c r="A273" s="70"/>
      <c r="B273" s="70"/>
      <c r="D273" s="40"/>
      <c r="E273" s="40"/>
      <c r="F273" s="40"/>
      <c r="G273" s="40"/>
      <c r="H273" s="40"/>
      <c r="I273" s="36"/>
      <c r="J273" s="36"/>
      <c r="K273" s="36"/>
      <c r="L273" s="36"/>
      <c r="M273" s="36"/>
      <c r="N273" s="36"/>
      <c r="P273" s="59"/>
      <c r="Q273" s="36"/>
      <c r="S273" s="36"/>
      <c r="T273" s="36"/>
      <c r="U273" s="36"/>
      <c r="V273" s="36"/>
      <c r="W273" s="36"/>
      <c r="Z273" s="36"/>
      <c r="AB273" s="36"/>
      <c r="AD273" s="36"/>
      <c r="AE273" s="36"/>
      <c r="AF273" s="36"/>
      <c r="AH273" s="36"/>
      <c r="AM273" s="40"/>
      <c r="AN273" s="40"/>
    </row>
    <row r="274" spans="1:40" x14ac:dyDescent="0.3">
      <c r="A274" s="70"/>
      <c r="B274" s="70"/>
      <c r="D274" s="40"/>
      <c r="E274" s="40"/>
      <c r="F274" s="40"/>
      <c r="G274" s="40"/>
      <c r="H274" s="40"/>
      <c r="I274" s="36"/>
      <c r="J274" s="36"/>
      <c r="K274" s="36"/>
      <c r="L274" s="36"/>
      <c r="M274" s="36"/>
      <c r="N274" s="36"/>
      <c r="P274" s="59"/>
      <c r="Q274" s="36"/>
      <c r="S274" s="36"/>
      <c r="T274" s="36"/>
      <c r="U274" s="36"/>
      <c r="V274" s="36"/>
      <c r="W274" s="36"/>
      <c r="Z274" s="36"/>
      <c r="AB274" s="36"/>
      <c r="AD274" s="36"/>
      <c r="AE274" s="36"/>
      <c r="AF274" s="36"/>
      <c r="AH274" s="36"/>
      <c r="AM274" s="40"/>
      <c r="AN274" s="40"/>
    </row>
    <row r="275" spans="1:40" x14ac:dyDescent="0.3">
      <c r="A275" s="70"/>
      <c r="B275" s="70"/>
      <c r="D275" s="40"/>
      <c r="E275" s="40"/>
      <c r="F275" s="40"/>
      <c r="G275" s="40"/>
      <c r="H275" s="40"/>
      <c r="I275" s="36"/>
      <c r="J275" s="36"/>
      <c r="K275" s="36"/>
      <c r="L275" s="36"/>
      <c r="M275" s="36"/>
      <c r="N275" s="36"/>
      <c r="P275" s="59"/>
      <c r="Q275" s="36"/>
      <c r="S275" s="36"/>
      <c r="T275" s="36"/>
      <c r="U275" s="36"/>
      <c r="V275" s="36"/>
      <c r="W275" s="36"/>
      <c r="Z275" s="36"/>
      <c r="AB275" s="36"/>
      <c r="AD275" s="36"/>
      <c r="AE275" s="36"/>
      <c r="AF275" s="36"/>
      <c r="AH275" s="36"/>
      <c r="AM275" s="40"/>
      <c r="AN275" s="40"/>
    </row>
    <row r="276" spans="1:40" x14ac:dyDescent="0.3">
      <c r="A276" s="70"/>
      <c r="B276" s="70"/>
      <c r="D276" s="40"/>
      <c r="E276" s="40"/>
      <c r="F276" s="40"/>
      <c r="G276" s="40"/>
      <c r="H276" s="40"/>
      <c r="I276" s="36"/>
      <c r="J276" s="36"/>
      <c r="K276" s="36"/>
      <c r="L276" s="36"/>
      <c r="M276" s="36"/>
      <c r="N276" s="36"/>
      <c r="P276" s="59"/>
      <c r="Q276" s="36"/>
      <c r="S276" s="36"/>
      <c r="T276" s="36"/>
      <c r="U276" s="36"/>
      <c r="V276" s="36"/>
      <c r="W276" s="36"/>
      <c r="Z276" s="36"/>
      <c r="AB276" s="36"/>
      <c r="AD276" s="36"/>
      <c r="AE276" s="36"/>
      <c r="AF276" s="36"/>
      <c r="AH276" s="36"/>
      <c r="AM276" s="40"/>
      <c r="AN276" s="40"/>
    </row>
    <row r="277" spans="1:40" x14ac:dyDescent="0.3">
      <c r="A277" s="70"/>
      <c r="B277" s="70"/>
      <c r="D277" s="40"/>
      <c r="E277" s="40"/>
      <c r="F277" s="40"/>
      <c r="G277" s="40"/>
      <c r="H277" s="40"/>
      <c r="I277" s="36"/>
      <c r="J277" s="36"/>
      <c r="K277" s="36"/>
      <c r="L277" s="36"/>
      <c r="M277" s="36"/>
      <c r="N277" s="36"/>
      <c r="P277" s="59"/>
      <c r="Q277" s="36"/>
      <c r="S277" s="36"/>
      <c r="T277" s="36"/>
      <c r="U277" s="36"/>
      <c r="V277" s="36"/>
      <c r="W277" s="36"/>
      <c r="Z277" s="36"/>
      <c r="AB277" s="36"/>
      <c r="AD277" s="36"/>
      <c r="AE277" s="36"/>
      <c r="AF277" s="36"/>
      <c r="AH277" s="36"/>
      <c r="AM277" s="40"/>
      <c r="AN277" s="40"/>
    </row>
    <row r="278" spans="1:40" x14ac:dyDescent="0.3">
      <c r="A278" s="70"/>
      <c r="B278" s="70"/>
      <c r="D278" s="40"/>
      <c r="E278" s="40"/>
      <c r="F278" s="40"/>
      <c r="G278" s="40"/>
      <c r="H278" s="40"/>
      <c r="I278" s="36"/>
      <c r="J278" s="36"/>
      <c r="K278" s="36"/>
      <c r="L278" s="36"/>
      <c r="M278" s="36"/>
      <c r="N278" s="36"/>
      <c r="P278" s="59"/>
      <c r="Q278" s="36"/>
      <c r="S278" s="36"/>
      <c r="T278" s="36"/>
      <c r="U278" s="36"/>
      <c r="V278" s="36"/>
      <c r="W278" s="36"/>
      <c r="Z278" s="36"/>
      <c r="AB278" s="36"/>
      <c r="AD278" s="36"/>
      <c r="AE278" s="36"/>
      <c r="AF278" s="36"/>
      <c r="AH278" s="36"/>
      <c r="AM278" s="40"/>
      <c r="AN278" s="40"/>
    </row>
    <row r="279" spans="1:40" x14ac:dyDescent="0.3">
      <c r="A279" s="70"/>
      <c r="B279" s="70"/>
      <c r="D279" s="40"/>
      <c r="E279" s="40"/>
      <c r="F279" s="40"/>
      <c r="G279" s="40"/>
      <c r="H279" s="40"/>
      <c r="I279" s="36"/>
      <c r="J279" s="36"/>
      <c r="K279" s="36"/>
      <c r="L279" s="36"/>
      <c r="M279" s="36"/>
      <c r="N279" s="36"/>
      <c r="P279" s="59"/>
      <c r="Q279" s="36"/>
      <c r="S279" s="36"/>
      <c r="T279" s="36"/>
      <c r="U279" s="36"/>
      <c r="V279" s="36"/>
      <c r="W279" s="36"/>
      <c r="Z279" s="36"/>
      <c r="AB279" s="36"/>
      <c r="AD279" s="36"/>
      <c r="AE279" s="36"/>
      <c r="AF279" s="36"/>
      <c r="AH279" s="36"/>
      <c r="AM279" s="40"/>
      <c r="AN279" s="40"/>
    </row>
    <row r="280" spans="1:40" x14ac:dyDescent="0.3">
      <c r="A280" s="70"/>
      <c r="B280" s="70"/>
      <c r="D280" s="40"/>
      <c r="E280" s="40"/>
      <c r="F280" s="40"/>
      <c r="G280" s="40"/>
      <c r="H280" s="40"/>
      <c r="I280" s="36"/>
      <c r="J280" s="36"/>
      <c r="K280" s="36"/>
      <c r="L280" s="36"/>
      <c r="M280" s="36"/>
      <c r="N280" s="36"/>
      <c r="P280" s="59"/>
      <c r="Q280" s="36"/>
      <c r="S280" s="36"/>
      <c r="T280" s="36"/>
      <c r="U280" s="36"/>
      <c r="V280" s="36"/>
      <c r="W280" s="36"/>
      <c r="Z280" s="36"/>
      <c r="AB280" s="36"/>
      <c r="AD280" s="36"/>
      <c r="AE280" s="36"/>
      <c r="AF280" s="36"/>
      <c r="AH280" s="36"/>
      <c r="AM280" s="40"/>
      <c r="AN280" s="40"/>
    </row>
    <row r="281" spans="1:40" x14ac:dyDescent="0.3">
      <c r="A281" s="70"/>
      <c r="B281" s="70"/>
      <c r="D281" s="40"/>
      <c r="E281" s="40"/>
      <c r="F281" s="40"/>
      <c r="G281" s="40"/>
      <c r="H281" s="40"/>
      <c r="I281" s="36"/>
      <c r="J281" s="36"/>
      <c r="K281" s="36"/>
      <c r="L281" s="36"/>
      <c r="M281" s="36"/>
      <c r="N281" s="36"/>
      <c r="P281" s="59"/>
      <c r="Q281" s="36"/>
      <c r="S281" s="36"/>
      <c r="T281" s="36"/>
      <c r="U281" s="36"/>
      <c r="V281" s="36"/>
      <c r="W281" s="36"/>
      <c r="Z281" s="36"/>
      <c r="AB281" s="36"/>
      <c r="AD281" s="36"/>
      <c r="AE281" s="36"/>
      <c r="AF281" s="36"/>
      <c r="AH281" s="36"/>
      <c r="AM281" s="40"/>
      <c r="AN281" s="40"/>
    </row>
    <row r="282" spans="1:40" x14ac:dyDescent="0.3">
      <c r="A282" s="70"/>
      <c r="B282" s="70"/>
      <c r="D282" s="40"/>
      <c r="E282" s="40"/>
      <c r="F282" s="40"/>
      <c r="G282" s="40"/>
      <c r="H282" s="40"/>
      <c r="I282" s="36"/>
      <c r="J282" s="36"/>
      <c r="K282" s="36"/>
      <c r="L282" s="36"/>
      <c r="M282" s="36"/>
      <c r="N282" s="36"/>
      <c r="P282" s="59"/>
      <c r="Q282" s="36"/>
      <c r="S282" s="36"/>
      <c r="T282" s="36"/>
      <c r="U282" s="36"/>
      <c r="V282" s="36"/>
      <c r="W282" s="36"/>
      <c r="Z282" s="36"/>
      <c r="AB282" s="36"/>
      <c r="AD282" s="36"/>
      <c r="AE282" s="36"/>
      <c r="AF282" s="36"/>
      <c r="AH282" s="36"/>
      <c r="AM282" s="40"/>
      <c r="AN282" s="40"/>
    </row>
    <row r="283" spans="1:40" x14ac:dyDescent="0.3">
      <c r="A283" s="70"/>
      <c r="B283" s="70"/>
      <c r="D283" s="40"/>
      <c r="E283" s="40"/>
      <c r="F283" s="40"/>
      <c r="G283" s="40"/>
      <c r="H283" s="40"/>
      <c r="I283" s="36"/>
      <c r="J283" s="36"/>
      <c r="K283" s="36"/>
      <c r="L283" s="36"/>
      <c r="M283" s="36"/>
      <c r="N283" s="36"/>
      <c r="P283" s="59"/>
      <c r="Q283" s="36"/>
      <c r="S283" s="36"/>
      <c r="T283" s="36"/>
      <c r="U283" s="36"/>
      <c r="V283" s="36"/>
      <c r="W283" s="36"/>
      <c r="Z283" s="36"/>
      <c r="AB283" s="36"/>
      <c r="AD283" s="36"/>
      <c r="AE283" s="36"/>
      <c r="AF283" s="36"/>
      <c r="AH283" s="36"/>
      <c r="AM283" s="40"/>
      <c r="AN283" s="40"/>
    </row>
    <row r="284" spans="1:40" x14ac:dyDescent="0.3">
      <c r="A284" s="70"/>
      <c r="B284" s="70"/>
      <c r="D284" s="40"/>
      <c r="E284" s="40"/>
      <c r="F284" s="40"/>
      <c r="G284" s="40"/>
      <c r="H284" s="40"/>
      <c r="I284" s="36"/>
      <c r="J284" s="36"/>
      <c r="K284" s="36"/>
      <c r="L284" s="36"/>
      <c r="M284" s="36"/>
      <c r="N284" s="36"/>
      <c r="P284" s="59"/>
      <c r="Q284" s="36"/>
      <c r="S284" s="36"/>
      <c r="T284" s="36"/>
      <c r="U284" s="36"/>
      <c r="V284" s="36"/>
      <c r="W284" s="36"/>
      <c r="Z284" s="36"/>
      <c r="AB284" s="36"/>
      <c r="AD284" s="36"/>
      <c r="AE284" s="36"/>
      <c r="AF284" s="36"/>
      <c r="AH284" s="36"/>
      <c r="AM284" s="40"/>
      <c r="AN284" s="40"/>
    </row>
    <row r="285" spans="1:40" x14ac:dyDescent="0.3">
      <c r="A285" s="70"/>
      <c r="B285" s="70"/>
      <c r="D285" s="40"/>
      <c r="E285" s="40"/>
      <c r="F285" s="40"/>
      <c r="G285" s="40"/>
      <c r="H285" s="40"/>
      <c r="I285" s="36"/>
      <c r="J285" s="36"/>
      <c r="K285" s="36"/>
      <c r="L285" s="36"/>
      <c r="M285" s="36"/>
      <c r="N285" s="36"/>
      <c r="P285" s="59"/>
      <c r="Q285" s="36"/>
      <c r="S285" s="36"/>
      <c r="T285" s="36"/>
      <c r="U285" s="36"/>
      <c r="V285" s="36"/>
      <c r="W285" s="36"/>
      <c r="Z285" s="36"/>
      <c r="AB285" s="36"/>
      <c r="AD285" s="36"/>
      <c r="AE285" s="36"/>
      <c r="AF285" s="36"/>
      <c r="AH285" s="36"/>
      <c r="AM285" s="40"/>
      <c r="AN285" s="40"/>
    </row>
    <row r="286" spans="1:40" x14ac:dyDescent="0.3">
      <c r="A286" s="70"/>
      <c r="B286" s="70"/>
      <c r="D286" s="40"/>
      <c r="E286" s="40"/>
      <c r="F286" s="40"/>
      <c r="G286" s="40"/>
      <c r="H286" s="40"/>
      <c r="I286" s="36"/>
      <c r="J286" s="36"/>
      <c r="K286" s="36"/>
      <c r="L286" s="36"/>
      <c r="M286" s="36"/>
      <c r="N286" s="36"/>
      <c r="P286" s="59"/>
      <c r="Q286" s="36"/>
      <c r="S286" s="36"/>
      <c r="T286" s="36"/>
      <c r="U286" s="36"/>
      <c r="V286" s="36"/>
      <c r="W286" s="36"/>
      <c r="Z286" s="36"/>
      <c r="AB286" s="36"/>
      <c r="AD286" s="36"/>
      <c r="AE286" s="36"/>
      <c r="AF286" s="36"/>
      <c r="AH286" s="36"/>
      <c r="AM286" s="40"/>
      <c r="AN286" s="40"/>
    </row>
    <row r="287" spans="1:40" x14ac:dyDescent="0.3">
      <c r="A287" s="70"/>
      <c r="B287" s="70"/>
      <c r="D287" s="40"/>
      <c r="E287" s="40"/>
      <c r="F287" s="40"/>
      <c r="G287" s="40"/>
      <c r="H287" s="40"/>
      <c r="I287" s="36"/>
      <c r="J287" s="36"/>
      <c r="K287" s="36"/>
      <c r="L287" s="36"/>
      <c r="M287" s="36"/>
      <c r="N287" s="36"/>
      <c r="P287" s="59"/>
      <c r="Q287" s="36"/>
      <c r="S287" s="36"/>
      <c r="T287" s="36"/>
      <c r="U287" s="36"/>
      <c r="V287" s="36"/>
      <c r="W287" s="36"/>
      <c r="Z287" s="36"/>
      <c r="AB287" s="36"/>
      <c r="AD287" s="36"/>
      <c r="AE287" s="36"/>
      <c r="AF287" s="36"/>
      <c r="AH287" s="36"/>
      <c r="AM287" s="40"/>
      <c r="AN287" s="40"/>
    </row>
    <row r="288" spans="1:40" x14ac:dyDescent="0.3">
      <c r="A288" s="70"/>
      <c r="B288" s="70"/>
      <c r="D288" s="40"/>
      <c r="E288" s="40"/>
      <c r="F288" s="40"/>
      <c r="G288" s="40"/>
      <c r="H288" s="40"/>
      <c r="I288" s="36"/>
      <c r="J288" s="36"/>
      <c r="K288" s="36"/>
      <c r="L288" s="36"/>
      <c r="M288" s="36"/>
      <c r="N288" s="36"/>
      <c r="P288" s="59"/>
      <c r="Q288" s="36"/>
      <c r="S288" s="36"/>
      <c r="T288" s="36"/>
      <c r="U288" s="36"/>
      <c r="V288" s="36"/>
      <c r="W288" s="36"/>
      <c r="Z288" s="36"/>
      <c r="AB288" s="36"/>
      <c r="AD288" s="36"/>
      <c r="AE288" s="36"/>
      <c r="AF288" s="36"/>
      <c r="AH288" s="36"/>
      <c r="AM288" s="40"/>
      <c r="AN288" s="40"/>
    </row>
    <row r="289" spans="1:40" x14ac:dyDescent="0.3">
      <c r="A289" s="70"/>
      <c r="B289" s="70"/>
      <c r="D289" s="40"/>
      <c r="E289" s="40"/>
      <c r="F289" s="40"/>
      <c r="G289" s="40"/>
      <c r="H289" s="40"/>
      <c r="I289" s="36"/>
      <c r="J289" s="36"/>
      <c r="K289" s="36"/>
      <c r="L289" s="36"/>
      <c r="M289" s="36"/>
      <c r="N289" s="36"/>
      <c r="P289" s="59"/>
      <c r="Q289" s="36"/>
      <c r="S289" s="36"/>
      <c r="T289" s="36"/>
      <c r="U289" s="36"/>
      <c r="V289" s="36"/>
      <c r="W289" s="36"/>
      <c r="Z289" s="36"/>
      <c r="AB289" s="36"/>
      <c r="AD289" s="36"/>
      <c r="AE289" s="36"/>
      <c r="AF289" s="36"/>
      <c r="AH289" s="36"/>
      <c r="AM289" s="40"/>
      <c r="AN289" s="40"/>
    </row>
    <row r="290" spans="1:40" x14ac:dyDescent="0.3">
      <c r="A290" s="70"/>
      <c r="B290" s="70"/>
      <c r="D290" s="40"/>
      <c r="E290" s="40"/>
      <c r="F290" s="40"/>
      <c r="G290" s="40"/>
      <c r="H290" s="40"/>
      <c r="I290" s="36"/>
      <c r="J290" s="36"/>
      <c r="K290" s="36"/>
      <c r="L290" s="36"/>
      <c r="M290" s="36"/>
      <c r="N290" s="36"/>
      <c r="P290" s="59"/>
      <c r="Q290" s="36"/>
      <c r="S290" s="36"/>
      <c r="T290" s="36"/>
      <c r="U290" s="36"/>
      <c r="V290" s="36"/>
      <c r="W290" s="36"/>
      <c r="Z290" s="36"/>
      <c r="AB290" s="36"/>
      <c r="AD290" s="36"/>
      <c r="AE290" s="36"/>
      <c r="AF290" s="36"/>
      <c r="AH290" s="36"/>
      <c r="AM290" s="40"/>
      <c r="AN290" s="40"/>
    </row>
    <row r="291" spans="1:40" x14ac:dyDescent="0.3">
      <c r="A291" s="70"/>
      <c r="B291" s="70"/>
      <c r="D291" s="40"/>
      <c r="E291" s="40"/>
      <c r="F291" s="40"/>
      <c r="G291" s="40"/>
      <c r="H291" s="40"/>
      <c r="I291" s="36"/>
      <c r="J291" s="36"/>
      <c r="K291" s="36"/>
      <c r="L291" s="36"/>
      <c r="M291" s="36"/>
      <c r="N291" s="36"/>
      <c r="P291" s="59"/>
      <c r="Q291" s="36"/>
      <c r="S291" s="36"/>
      <c r="T291" s="36"/>
      <c r="U291" s="36"/>
      <c r="V291" s="36"/>
      <c r="W291" s="36"/>
      <c r="Z291" s="36"/>
      <c r="AB291" s="36"/>
      <c r="AD291" s="36"/>
      <c r="AE291" s="36"/>
      <c r="AF291" s="36"/>
      <c r="AH291" s="36"/>
      <c r="AM291" s="40"/>
      <c r="AN291" s="40"/>
    </row>
    <row r="292" spans="1:40" x14ac:dyDescent="0.3">
      <c r="A292" s="70"/>
      <c r="B292" s="70"/>
      <c r="D292" s="40"/>
      <c r="E292" s="40"/>
      <c r="F292" s="40"/>
      <c r="G292" s="40"/>
      <c r="H292" s="40"/>
      <c r="I292" s="36"/>
      <c r="J292" s="36"/>
      <c r="K292" s="36"/>
      <c r="L292" s="36"/>
      <c r="M292" s="36"/>
      <c r="N292" s="36"/>
      <c r="P292" s="59"/>
      <c r="Q292" s="36"/>
      <c r="S292" s="36"/>
      <c r="T292" s="36"/>
      <c r="U292" s="36"/>
      <c r="V292" s="36"/>
      <c r="W292" s="36"/>
      <c r="Z292" s="36"/>
      <c r="AB292" s="36"/>
      <c r="AD292" s="36"/>
      <c r="AE292" s="36"/>
      <c r="AF292" s="36"/>
      <c r="AH292" s="36"/>
      <c r="AM292" s="40"/>
      <c r="AN292" s="40"/>
    </row>
    <row r="293" spans="1:40" x14ac:dyDescent="0.3">
      <c r="A293" s="70"/>
      <c r="B293" s="70"/>
      <c r="D293" s="40"/>
      <c r="E293" s="40"/>
      <c r="F293" s="40"/>
      <c r="G293" s="40"/>
      <c r="H293" s="40"/>
      <c r="I293" s="36"/>
      <c r="J293" s="36"/>
      <c r="K293" s="36"/>
      <c r="L293" s="36"/>
      <c r="M293" s="36"/>
      <c r="N293" s="36"/>
      <c r="P293" s="59"/>
      <c r="Q293" s="36"/>
      <c r="S293" s="36"/>
      <c r="T293" s="36"/>
      <c r="U293" s="36"/>
      <c r="V293" s="36"/>
      <c r="W293" s="36"/>
      <c r="Z293" s="36"/>
      <c r="AB293" s="36"/>
      <c r="AD293" s="36"/>
      <c r="AE293" s="36"/>
      <c r="AF293" s="36"/>
      <c r="AH293" s="36"/>
      <c r="AM293" s="40"/>
      <c r="AN293" s="40"/>
    </row>
    <row r="294" spans="1:40" x14ac:dyDescent="0.3">
      <c r="A294" s="70"/>
      <c r="B294" s="70"/>
      <c r="D294" s="40"/>
      <c r="E294" s="40"/>
      <c r="F294" s="40"/>
      <c r="G294" s="40"/>
      <c r="H294" s="40"/>
      <c r="I294" s="36"/>
      <c r="J294" s="36"/>
      <c r="K294" s="36"/>
      <c r="L294" s="36"/>
      <c r="M294" s="36"/>
      <c r="N294" s="36"/>
      <c r="P294" s="59"/>
      <c r="Q294" s="36"/>
      <c r="S294" s="36"/>
      <c r="T294" s="36"/>
      <c r="U294" s="36"/>
      <c r="V294" s="36"/>
      <c r="W294" s="36"/>
      <c r="Z294" s="36"/>
      <c r="AB294" s="36"/>
      <c r="AD294" s="36"/>
      <c r="AE294" s="36"/>
      <c r="AF294" s="36"/>
      <c r="AH294" s="36"/>
      <c r="AM294" s="40"/>
      <c r="AN294" s="40"/>
    </row>
    <row r="295" spans="1:40" x14ac:dyDescent="0.3">
      <c r="A295" s="70"/>
      <c r="B295" s="70"/>
      <c r="D295" s="40"/>
      <c r="E295" s="40"/>
      <c r="F295" s="40"/>
      <c r="G295" s="40"/>
      <c r="H295" s="40"/>
      <c r="I295" s="36"/>
      <c r="J295" s="36"/>
      <c r="K295" s="36"/>
      <c r="L295" s="36"/>
      <c r="M295" s="36"/>
      <c r="N295" s="36"/>
      <c r="P295" s="59"/>
      <c r="Q295" s="36"/>
      <c r="S295" s="36"/>
      <c r="T295" s="36"/>
      <c r="U295" s="36"/>
      <c r="V295" s="36"/>
      <c r="W295" s="36"/>
      <c r="Z295" s="36"/>
      <c r="AB295" s="36"/>
      <c r="AD295" s="36"/>
      <c r="AE295" s="36"/>
      <c r="AF295" s="36"/>
      <c r="AH295" s="36"/>
      <c r="AM295" s="40"/>
      <c r="AN295" s="40"/>
    </row>
    <row r="296" spans="1:40" x14ac:dyDescent="0.3">
      <c r="A296" s="70"/>
      <c r="B296" s="70"/>
      <c r="D296" s="40"/>
      <c r="E296" s="40"/>
      <c r="F296" s="40"/>
      <c r="G296" s="40"/>
      <c r="H296" s="40"/>
      <c r="I296" s="36"/>
      <c r="J296" s="36"/>
      <c r="K296" s="36"/>
      <c r="L296" s="36"/>
      <c r="M296" s="36"/>
      <c r="N296" s="36"/>
      <c r="P296" s="59"/>
      <c r="Q296" s="36"/>
      <c r="S296" s="36"/>
      <c r="T296" s="36"/>
      <c r="U296" s="36"/>
      <c r="V296" s="36"/>
      <c r="W296" s="36"/>
      <c r="Z296" s="36"/>
      <c r="AB296" s="36"/>
      <c r="AD296" s="36"/>
      <c r="AE296" s="36"/>
      <c r="AF296" s="36"/>
      <c r="AH296" s="36"/>
      <c r="AM296" s="40"/>
      <c r="AN296" s="40"/>
    </row>
    <row r="297" spans="1:40" x14ac:dyDescent="0.3">
      <c r="A297" s="70"/>
      <c r="B297" s="70"/>
      <c r="D297" s="40"/>
      <c r="E297" s="40"/>
      <c r="F297" s="40"/>
      <c r="G297" s="40"/>
      <c r="H297" s="40"/>
      <c r="I297" s="36"/>
      <c r="J297" s="36"/>
      <c r="K297" s="36"/>
      <c r="L297" s="36"/>
      <c r="M297" s="36"/>
      <c r="N297" s="36"/>
      <c r="P297" s="59"/>
      <c r="Q297" s="36"/>
      <c r="S297" s="36"/>
      <c r="T297" s="36"/>
      <c r="U297" s="36"/>
      <c r="V297" s="36"/>
      <c r="W297" s="36"/>
      <c r="Z297" s="36"/>
      <c r="AB297" s="36"/>
      <c r="AD297" s="36"/>
      <c r="AE297" s="36"/>
      <c r="AF297" s="36"/>
      <c r="AH297" s="36"/>
      <c r="AM297" s="40"/>
      <c r="AN297" s="40"/>
    </row>
    <row r="298" spans="1:40" x14ac:dyDescent="0.3">
      <c r="A298" s="70"/>
      <c r="B298" s="70"/>
      <c r="D298" s="40"/>
      <c r="E298" s="40"/>
      <c r="F298" s="40"/>
      <c r="G298" s="40"/>
      <c r="H298" s="40"/>
      <c r="I298" s="36"/>
      <c r="J298" s="36"/>
      <c r="K298" s="36"/>
      <c r="L298" s="36"/>
      <c r="M298" s="36"/>
      <c r="N298" s="36"/>
      <c r="P298" s="59"/>
      <c r="Q298" s="36"/>
      <c r="S298" s="36"/>
      <c r="T298" s="36"/>
      <c r="U298" s="36"/>
      <c r="V298" s="36"/>
      <c r="W298" s="36"/>
      <c r="Z298" s="36"/>
      <c r="AB298" s="36"/>
      <c r="AD298" s="36"/>
      <c r="AE298" s="36"/>
      <c r="AF298" s="36"/>
      <c r="AH298" s="36"/>
      <c r="AM298" s="40"/>
      <c r="AN298" s="40"/>
    </row>
    <row r="299" spans="1:40" x14ac:dyDescent="0.3">
      <c r="A299" s="70"/>
      <c r="B299" s="70"/>
      <c r="D299" s="40"/>
      <c r="E299" s="40"/>
      <c r="F299" s="40"/>
      <c r="G299" s="40"/>
      <c r="H299" s="40"/>
      <c r="I299" s="36"/>
      <c r="J299" s="36"/>
      <c r="K299" s="36"/>
      <c r="L299" s="36"/>
      <c r="M299" s="36"/>
      <c r="N299" s="36"/>
      <c r="P299" s="59"/>
      <c r="Q299" s="36"/>
      <c r="S299" s="36"/>
      <c r="T299" s="36"/>
      <c r="U299" s="36"/>
      <c r="V299" s="36"/>
      <c r="W299" s="36"/>
      <c r="Z299" s="36"/>
      <c r="AB299" s="36"/>
      <c r="AD299" s="36"/>
      <c r="AE299" s="36"/>
      <c r="AF299" s="36"/>
      <c r="AH299" s="36"/>
      <c r="AM299" s="40"/>
      <c r="AN299" s="40"/>
    </row>
    <row r="300" spans="1:40" x14ac:dyDescent="0.3">
      <c r="A300" s="70"/>
      <c r="B300" s="70"/>
      <c r="D300" s="40"/>
      <c r="E300" s="40"/>
      <c r="F300" s="40"/>
      <c r="G300" s="40"/>
      <c r="H300" s="40"/>
      <c r="I300" s="36"/>
      <c r="J300" s="36"/>
      <c r="K300" s="36"/>
      <c r="L300" s="36"/>
      <c r="M300" s="36"/>
      <c r="N300" s="36"/>
      <c r="P300" s="59"/>
      <c r="Q300" s="36"/>
      <c r="S300" s="36"/>
      <c r="T300" s="36"/>
      <c r="U300" s="36"/>
      <c r="V300" s="36"/>
      <c r="W300" s="36"/>
      <c r="Z300" s="36"/>
      <c r="AB300" s="36"/>
      <c r="AD300" s="36"/>
      <c r="AE300" s="36"/>
      <c r="AF300" s="36"/>
      <c r="AH300" s="36"/>
      <c r="AM300" s="40"/>
      <c r="AN300" s="40"/>
    </row>
    <row r="301" spans="1:40" x14ac:dyDescent="0.3">
      <c r="A301" s="70"/>
      <c r="B301" s="70"/>
      <c r="D301" s="40"/>
      <c r="E301" s="40"/>
      <c r="F301" s="40"/>
      <c r="G301" s="40"/>
      <c r="H301" s="40"/>
      <c r="I301" s="36"/>
      <c r="J301" s="36"/>
      <c r="K301" s="36"/>
      <c r="L301" s="36"/>
      <c r="M301" s="36"/>
      <c r="N301" s="36"/>
      <c r="P301" s="59"/>
      <c r="Q301" s="36"/>
      <c r="S301" s="36"/>
      <c r="T301" s="36"/>
      <c r="U301" s="36"/>
      <c r="V301" s="36"/>
      <c r="W301" s="36"/>
      <c r="Z301" s="36"/>
      <c r="AB301" s="36"/>
      <c r="AD301" s="36"/>
      <c r="AE301" s="36"/>
      <c r="AF301" s="36"/>
      <c r="AH301" s="36"/>
      <c r="AM301" s="40"/>
      <c r="AN301" s="40"/>
    </row>
    <row r="302" spans="1:40" x14ac:dyDescent="0.3">
      <c r="A302" s="70"/>
      <c r="B302" s="70"/>
      <c r="D302" s="40"/>
      <c r="E302" s="40"/>
      <c r="F302" s="40"/>
      <c r="G302" s="40"/>
      <c r="H302" s="40"/>
      <c r="I302" s="36"/>
      <c r="J302" s="36"/>
      <c r="K302" s="36"/>
      <c r="L302" s="36"/>
      <c r="M302" s="36"/>
      <c r="N302" s="36"/>
      <c r="P302" s="59"/>
      <c r="Q302" s="36"/>
      <c r="S302" s="36"/>
      <c r="T302" s="36"/>
      <c r="U302" s="36"/>
      <c r="V302" s="36"/>
      <c r="W302" s="36"/>
      <c r="Z302" s="36"/>
      <c r="AB302" s="36"/>
      <c r="AD302" s="36"/>
      <c r="AE302" s="36"/>
      <c r="AF302" s="36"/>
      <c r="AH302" s="36"/>
      <c r="AM302" s="40"/>
      <c r="AN302" s="40"/>
    </row>
    <row r="303" spans="1:40" x14ac:dyDescent="0.3">
      <c r="A303" s="70"/>
      <c r="B303" s="70"/>
      <c r="D303" s="40"/>
      <c r="E303" s="40"/>
      <c r="F303" s="40"/>
      <c r="G303" s="40"/>
      <c r="H303" s="40"/>
      <c r="I303" s="36"/>
      <c r="J303" s="36"/>
      <c r="K303" s="36"/>
      <c r="L303" s="36"/>
      <c r="M303" s="36"/>
      <c r="N303" s="36"/>
      <c r="P303" s="59"/>
      <c r="Q303" s="36"/>
      <c r="S303" s="36"/>
      <c r="T303" s="36"/>
      <c r="U303" s="36"/>
      <c r="V303" s="36"/>
      <c r="W303" s="36"/>
      <c r="Z303" s="36"/>
      <c r="AB303" s="36"/>
      <c r="AD303" s="36"/>
      <c r="AE303" s="36"/>
      <c r="AF303" s="36"/>
      <c r="AH303" s="36"/>
      <c r="AM303" s="40"/>
      <c r="AN303" s="40"/>
    </row>
    <row r="304" spans="1:40" x14ac:dyDescent="0.3">
      <c r="A304" s="70"/>
      <c r="B304" s="70"/>
      <c r="D304" s="40"/>
      <c r="E304" s="40"/>
      <c r="F304" s="40"/>
      <c r="G304" s="40"/>
      <c r="H304" s="40"/>
      <c r="I304" s="36"/>
      <c r="J304" s="36"/>
      <c r="K304" s="36"/>
      <c r="L304" s="36"/>
      <c r="M304" s="36"/>
      <c r="N304" s="36"/>
      <c r="P304" s="59"/>
      <c r="Q304" s="36"/>
      <c r="S304" s="36"/>
      <c r="T304" s="36"/>
      <c r="U304" s="36"/>
      <c r="V304" s="36"/>
      <c r="W304" s="36"/>
      <c r="Z304" s="36"/>
      <c r="AB304" s="36"/>
      <c r="AD304" s="36"/>
      <c r="AE304" s="36"/>
      <c r="AF304" s="36"/>
      <c r="AH304" s="36"/>
      <c r="AM304" s="40"/>
      <c r="AN304" s="40"/>
    </row>
    <row r="305" spans="1:40" x14ac:dyDescent="0.3">
      <c r="A305" s="70"/>
      <c r="B305" s="70"/>
      <c r="D305" s="40"/>
      <c r="E305" s="40"/>
      <c r="F305" s="40"/>
      <c r="G305" s="40"/>
      <c r="H305" s="40"/>
      <c r="I305" s="36"/>
      <c r="J305" s="36"/>
      <c r="K305" s="36"/>
      <c r="L305" s="36"/>
      <c r="M305" s="36"/>
      <c r="N305" s="36"/>
      <c r="P305" s="59"/>
      <c r="Q305" s="36"/>
      <c r="S305" s="36"/>
      <c r="T305" s="36"/>
      <c r="U305" s="36"/>
      <c r="V305" s="36"/>
      <c r="W305" s="36"/>
      <c r="Z305" s="36"/>
      <c r="AB305" s="36"/>
      <c r="AD305" s="36"/>
      <c r="AE305" s="36"/>
      <c r="AF305" s="36"/>
      <c r="AH305" s="36"/>
      <c r="AM305" s="40"/>
      <c r="AN305" s="40"/>
    </row>
    <row r="306" spans="1:40" x14ac:dyDescent="0.3">
      <c r="A306" s="70"/>
      <c r="B306" s="70"/>
      <c r="D306" s="40"/>
      <c r="E306" s="40"/>
      <c r="F306" s="40"/>
      <c r="G306" s="40"/>
      <c r="H306" s="40"/>
      <c r="I306" s="36"/>
      <c r="J306" s="36"/>
      <c r="K306" s="36"/>
      <c r="L306" s="36"/>
      <c r="M306" s="36"/>
      <c r="N306" s="36"/>
      <c r="P306" s="59"/>
      <c r="Q306" s="36"/>
      <c r="S306" s="36"/>
      <c r="T306" s="36"/>
      <c r="U306" s="36"/>
      <c r="V306" s="36"/>
      <c r="W306" s="36"/>
      <c r="Z306" s="36"/>
      <c r="AB306" s="36"/>
      <c r="AD306" s="36"/>
      <c r="AE306" s="36"/>
      <c r="AF306" s="36"/>
      <c r="AH306" s="36"/>
      <c r="AM306" s="40"/>
      <c r="AN306" s="40"/>
    </row>
    <row r="307" spans="1:40" x14ac:dyDescent="0.3">
      <c r="A307" s="70"/>
      <c r="B307" s="70"/>
      <c r="D307" s="40"/>
      <c r="E307" s="40"/>
      <c r="F307" s="40"/>
      <c r="G307" s="40"/>
      <c r="H307" s="40"/>
      <c r="I307" s="36"/>
      <c r="J307" s="36"/>
      <c r="K307" s="36"/>
      <c r="L307" s="36"/>
      <c r="M307" s="36"/>
      <c r="N307" s="36"/>
      <c r="P307" s="59"/>
      <c r="Q307" s="36"/>
      <c r="S307" s="36"/>
      <c r="T307" s="36"/>
      <c r="U307" s="36"/>
      <c r="V307" s="36"/>
      <c r="W307" s="36"/>
      <c r="Z307" s="36"/>
      <c r="AB307" s="36"/>
      <c r="AD307" s="36"/>
      <c r="AE307" s="36"/>
      <c r="AF307" s="36"/>
      <c r="AH307" s="36"/>
      <c r="AM307" s="40"/>
      <c r="AN307" s="40"/>
    </row>
    <row r="308" spans="1:40" x14ac:dyDescent="0.3">
      <c r="A308" s="70"/>
      <c r="B308" s="70"/>
      <c r="D308" s="40"/>
      <c r="E308" s="40"/>
      <c r="F308" s="40"/>
      <c r="G308" s="40"/>
      <c r="H308" s="40"/>
      <c r="I308" s="36"/>
      <c r="J308" s="36"/>
      <c r="K308" s="36"/>
      <c r="L308" s="36"/>
      <c r="M308" s="36"/>
      <c r="N308" s="36"/>
      <c r="P308" s="59"/>
      <c r="Q308" s="36"/>
      <c r="S308" s="36"/>
      <c r="T308" s="36"/>
      <c r="U308" s="36"/>
      <c r="V308" s="36"/>
      <c r="W308" s="36"/>
      <c r="Z308" s="36"/>
      <c r="AB308" s="36"/>
      <c r="AD308" s="36"/>
      <c r="AE308" s="36"/>
      <c r="AF308" s="36"/>
      <c r="AH308" s="36"/>
      <c r="AM308" s="40"/>
      <c r="AN308" s="40"/>
    </row>
    <row r="309" spans="1:40" x14ac:dyDescent="0.3">
      <c r="A309" s="70"/>
      <c r="B309" s="70"/>
      <c r="D309" s="40"/>
      <c r="E309" s="40"/>
      <c r="F309" s="40"/>
      <c r="G309" s="40"/>
      <c r="H309" s="40"/>
      <c r="I309" s="36"/>
      <c r="J309" s="36"/>
      <c r="K309" s="36"/>
      <c r="L309" s="36"/>
      <c r="M309" s="36"/>
      <c r="N309" s="36"/>
      <c r="P309" s="59"/>
      <c r="Q309" s="36"/>
      <c r="S309" s="36"/>
      <c r="T309" s="36"/>
      <c r="U309" s="36"/>
      <c r="W309" s="36"/>
      <c r="Z309" s="36"/>
      <c r="AB309" s="36"/>
      <c r="AD309" s="36"/>
      <c r="AE309" s="36"/>
      <c r="AF309" s="36"/>
      <c r="AH309" s="36"/>
      <c r="AM309" s="40"/>
      <c r="AN309" s="40"/>
    </row>
    <row r="310" spans="1:40" x14ac:dyDescent="0.3">
      <c r="A310" s="70"/>
      <c r="B310" s="70"/>
      <c r="D310" s="40"/>
      <c r="E310" s="40"/>
      <c r="F310" s="40"/>
      <c r="G310" s="40"/>
      <c r="H310" s="40"/>
      <c r="I310" s="36"/>
      <c r="J310" s="36"/>
      <c r="K310" s="36"/>
      <c r="L310" s="36"/>
      <c r="M310" s="36"/>
      <c r="N310" s="36"/>
      <c r="P310" s="59"/>
      <c r="Q310" s="36"/>
      <c r="S310" s="36"/>
      <c r="T310" s="36"/>
      <c r="U310" s="36"/>
      <c r="W310" s="36"/>
      <c r="Z310" s="36"/>
      <c r="AB310" s="36"/>
      <c r="AD310" s="36"/>
      <c r="AE310" s="36"/>
      <c r="AF310" s="36"/>
      <c r="AH310" s="36"/>
      <c r="AM310" s="40"/>
      <c r="AN310" s="40"/>
    </row>
    <row r="311" spans="1:40" x14ac:dyDescent="0.3">
      <c r="A311" s="70"/>
      <c r="B311" s="70"/>
      <c r="D311" s="40"/>
      <c r="E311" s="40"/>
      <c r="F311" s="40"/>
      <c r="G311" s="40"/>
      <c r="H311" s="40"/>
      <c r="I311" s="36"/>
      <c r="J311" s="36"/>
      <c r="K311" s="36"/>
      <c r="L311" s="36"/>
      <c r="M311" s="36"/>
      <c r="N311" s="36"/>
      <c r="P311" s="59"/>
      <c r="Q311" s="36"/>
      <c r="S311" s="36"/>
      <c r="T311" s="36"/>
      <c r="U311" s="36"/>
      <c r="W311" s="36"/>
      <c r="Z311" s="36"/>
      <c r="AB311" s="36"/>
      <c r="AD311" s="36"/>
      <c r="AE311" s="36"/>
      <c r="AF311" s="36"/>
      <c r="AH311" s="36"/>
      <c r="AM311" s="40"/>
      <c r="AN311" s="40"/>
    </row>
    <row r="312" spans="1:40" x14ac:dyDescent="0.3">
      <c r="A312" s="70"/>
      <c r="B312" s="70"/>
      <c r="D312" s="40"/>
      <c r="E312" s="40"/>
      <c r="F312" s="40"/>
      <c r="G312" s="40"/>
      <c r="H312" s="40"/>
      <c r="I312" s="36"/>
      <c r="J312" s="36"/>
      <c r="K312" s="36"/>
      <c r="L312" s="36"/>
      <c r="M312" s="36"/>
      <c r="N312" s="36"/>
      <c r="P312" s="59"/>
      <c r="Q312" s="36"/>
      <c r="S312" s="36"/>
      <c r="T312" s="36"/>
      <c r="U312" s="36"/>
      <c r="W312" s="36"/>
      <c r="Z312" s="36"/>
      <c r="AB312" s="36"/>
      <c r="AD312" s="36"/>
      <c r="AE312" s="36"/>
      <c r="AF312" s="36"/>
      <c r="AH312" s="36"/>
      <c r="AM312" s="40"/>
      <c r="AN312" s="40"/>
    </row>
    <row r="313" spans="1:40" x14ac:dyDescent="0.3">
      <c r="A313" s="70"/>
      <c r="B313" s="70"/>
      <c r="D313" s="40"/>
      <c r="E313" s="40"/>
      <c r="F313" s="40"/>
      <c r="G313" s="40"/>
      <c r="H313" s="40"/>
      <c r="I313" s="36"/>
      <c r="J313" s="36"/>
      <c r="K313" s="36"/>
      <c r="L313" s="36"/>
      <c r="M313" s="36"/>
      <c r="N313" s="36"/>
      <c r="P313" s="59"/>
      <c r="Q313" s="36"/>
      <c r="S313" s="36"/>
      <c r="T313" s="36"/>
      <c r="U313" s="36"/>
      <c r="W313" s="36"/>
      <c r="Z313" s="36"/>
      <c r="AB313" s="36"/>
      <c r="AD313" s="36"/>
      <c r="AE313" s="36"/>
      <c r="AF313" s="36"/>
      <c r="AH313" s="36"/>
      <c r="AM313" s="40"/>
      <c r="AN313" s="40"/>
    </row>
    <row r="314" spans="1:40" x14ac:dyDescent="0.3">
      <c r="A314" s="70"/>
      <c r="B314" s="70"/>
      <c r="D314" s="40"/>
      <c r="E314" s="40"/>
      <c r="F314" s="40"/>
      <c r="G314" s="40"/>
      <c r="H314" s="40"/>
      <c r="I314" s="36"/>
      <c r="J314" s="36"/>
      <c r="K314" s="36"/>
      <c r="L314" s="36"/>
      <c r="M314" s="36"/>
      <c r="N314" s="36"/>
      <c r="P314" s="59"/>
      <c r="Q314" s="36"/>
      <c r="S314" s="36"/>
      <c r="T314" s="36"/>
      <c r="U314" s="36"/>
      <c r="W314" s="36"/>
      <c r="Z314" s="36"/>
      <c r="AB314" s="36"/>
      <c r="AD314" s="36"/>
      <c r="AE314" s="36"/>
      <c r="AF314" s="36"/>
      <c r="AH314" s="36"/>
      <c r="AM314" s="40"/>
      <c r="AN314" s="40"/>
    </row>
    <row r="315" spans="1:40" x14ac:dyDescent="0.3">
      <c r="A315" s="70"/>
      <c r="B315" s="70"/>
      <c r="D315" s="40"/>
      <c r="E315" s="40"/>
      <c r="F315" s="40"/>
      <c r="G315" s="40"/>
      <c r="H315" s="40"/>
      <c r="I315" s="36"/>
      <c r="J315" s="36"/>
      <c r="K315" s="36"/>
      <c r="L315" s="36"/>
      <c r="M315" s="36"/>
      <c r="N315" s="36"/>
      <c r="P315" s="59"/>
      <c r="Q315" s="36"/>
      <c r="S315" s="36"/>
      <c r="T315" s="36"/>
      <c r="U315" s="36"/>
      <c r="W315" s="36"/>
      <c r="Z315" s="36"/>
      <c r="AB315" s="36"/>
      <c r="AD315" s="36"/>
      <c r="AE315" s="36"/>
      <c r="AF315" s="36"/>
      <c r="AH315" s="36"/>
      <c r="AM315" s="40"/>
      <c r="AN315" s="40"/>
    </row>
    <row r="316" spans="1:40" x14ac:dyDescent="0.3">
      <c r="A316" s="70"/>
      <c r="B316" s="70"/>
      <c r="D316" s="40"/>
      <c r="E316" s="40"/>
      <c r="F316" s="40"/>
      <c r="G316" s="40"/>
      <c r="H316" s="40"/>
      <c r="I316" s="36"/>
      <c r="J316" s="36"/>
      <c r="K316" s="36"/>
      <c r="L316" s="36"/>
      <c r="M316" s="36"/>
      <c r="N316" s="36"/>
      <c r="P316" s="59"/>
      <c r="Q316" s="36"/>
      <c r="S316" s="36"/>
      <c r="T316" s="36"/>
      <c r="U316" s="36"/>
      <c r="W316" s="36"/>
      <c r="Z316" s="36"/>
      <c r="AB316" s="36"/>
      <c r="AD316" s="36"/>
      <c r="AE316" s="36"/>
      <c r="AF316" s="36"/>
      <c r="AH316" s="36"/>
      <c r="AM316" s="40"/>
      <c r="AN316" s="40"/>
    </row>
    <row r="317" spans="1:40" x14ac:dyDescent="0.3">
      <c r="A317" s="70"/>
      <c r="B317" s="70"/>
      <c r="D317" s="40"/>
      <c r="E317" s="40"/>
      <c r="F317" s="40"/>
      <c r="G317" s="40"/>
      <c r="H317" s="40"/>
      <c r="I317" s="36"/>
      <c r="J317" s="36"/>
      <c r="K317" s="36"/>
      <c r="L317" s="36"/>
      <c r="M317" s="36"/>
      <c r="N317" s="36"/>
      <c r="P317" s="59"/>
      <c r="Q317" s="36"/>
      <c r="S317" s="36"/>
      <c r="T317" s="36"/>
      <c r="U317" s="36"/>
      <c r="W317" s="36"/>
      <c r="Z317" s="36"/>
      <c r="AB317" s="36"/>
      <c r="AD317" s="36"/>
      <c r="AE317" s="36"/>
      <c r="AF317" s="36"/>
      <c r="AH317" s="36"/>
      <c r="AM317" s="40"/>
      <c r="AN317" s="40"/>
    </row>
    <row r="318" spans="1:40" x14ac:dyDescent="0.3">
      <c r="A318" s="70"/>
      <c r="B318" s="70"/>
      <c r="D318" s="40"/>
      <c r="E318" s="40"/>
      <c r="F318" s="40"/>
      <c r="G318" s="40"/>
      <c r="H318" s="40"/>
      <c r="I318" s="36"/>
      <c r="J318" s="36"/>
      <c r="K318" s="36"/>
      <c r="L318" s="36"/>
      <c r="M318" s="36"/>
      <c r="N318" s="36"/>
      <c r="P318" s="59"/>
      <c r="Q318" s="36"/>
      <c r="S318" s="36"/>
      <c r="T318" s="36"/>
      <c r="U318" s="36"/>
      <c r="W318" s="36"/>
      <c r="Z318" s="36"/>
      <c r="AB318" s="36"/>
      <c r="AD318" s="36"/>
      <c r="AE318" s="36"/>
      <c r="AF318" s="36"/>
      <c r="AH318" s="36"/>
      <c r="AM318" s="40"/>
      <c r="AN318" s="40"/>
    </row>
    <row r="319" spans="1:40" x14ac:dyDescent="0.3">
      <c r="A319" s="70"/>
      <c r="B319" s="70"/>
      <c r="D319" s="40"/>
      <c r="E319" s="40"/>
      <c r="F319" s="40"/>
      <c r="G319" s="40"/>
      <c r="H319" s="40"/>
      <c r="I319" s="36"/>
      <c r="J319" s="36"/>
      <c r="K319" s="36"/>
      <c r="L319" s="36"/>
      <c r="M319" s="36"/>
      <c r="N319" s="36"/>
      <c r="P319" s="59"/>
      <c r="Q319" s="36"/>
      <c r="S319" s="36"/>
      <c r="T319" s="36"/>
      <c r="U319" s="36"/>
      <c r="W319" s="36"/>
      <c r="Z319" s="36"/>
      <c r="AB319" s="36"/>
      <c r="AD319" s="36"/>
      <c r="AE319" s="36"/>
      <c r="AF319" s="36"/>
      <c r="AH319" s="36"/>
      <c r="AM319" s="40"/>
      <c r="AN319" s="40"/>
    </row>
    <row r="320" spans="1:40" x14ac:dyDescent="0.3">
      <c r="A320" s="70"/>
      <c r="B320" s="70"/>
      <c r="D320" s="40"/>
      <c r="E320" s="40"/>
      <c r="F320" s="40"/>
      <c r="G320" s="40"/>
      <c r="H320" s="40"/>
      <c r="I320" s="36"/>
      <c r="J320" s="36"/>
      <c r="K320" s="36"/>
      <c r="L320" s="36"/>
      <c r="M320" s="36"/>
      <c r="N320" s="36"/>
      <c r="P320" s="59"/>
      <c r="Q320" s="36"/>
      <c r="S320" s="36"/>
      <c r="T320" s="36"/>
      <c r="U320" s="36"/>
      <c r="W320" s="36"/>
      <c r="Z320" s="36"/>
      <c r="AB320" s="36"/>
      <c r="AD320" s="36"/>
      <c r="AE320" s="36"/>
      <c r="AF320" s="36"/>
      <c r="AH320" s="36"/>
      <c r="AM320" s="40"/>
      <c r="AN320" s="40"/>
    </row>
    <row r="321" spans="1:40" x14ac:dyDescent="0.3">
      <c r="A321" s="70"/>
      <c r="B321" s="70"/>
      <c r="D321" s="40"/>
      <c r="E321" s="40"/>
      <c r="F321" s="40"/>
      <c r="G321" s="40"/>
      <c r="H321" s="40"/>
      <c r="I321" s="36"/>
      <c r="J321" s="36"/>
      <c r="K321" s="36"/>
      <c r="L321" s="36"/>
      <c r="M321" s="36"/>
      <c r="N321" s="36"/>
      <c r="P321" s="59"/>
      <c r="Q321" s="36"/>
      <c r="S321" s="36"/>
      <c r="T321" s="36"/>
      <c r="U321" s="36"/>
      <c r="W321" s="36"/>
      <c r="Z321" s="36"/>
      <c r="AB321" s="36"/>
      <c r="AD321" s="36"/>
      <c r="AE321" s="36"/>
      <c r="AF321" s="36"/>
      <c r="AH321" s="36"/>
      <c r="AM321" s="40"/>
      <c r="AN321" s="40"/>
    </row>
    <row r="322" spans="1:40" x14ac:dyDescent="0.3">
      <c r="A322" s="70"/>
      <c r="B322" s="70"/>
      <c r="D322" s="40"/>
      <c r="E322" s="40"/>
      <c r="F322" s="40"/>
      <c r="G322" s="40"/>
      <c r="H322" s="40"/>
      <c r="I322" s="36"/>
      <c r="J322" s="36"/>
      <c r="K322" s="36"/>
      <c r="L322" s="36"/>
      <c r="M322" s="36"/>
      <c r="N322" s="36"/>
      <c r="P322" s="59"/>
      <c r="Q322" s="36"/>
      <c r="S322" s="36"/>
      <c r="T322" s="36"/>
      <c r="U322" s="36"/>
      <c r="W322" s="36"/>
      <c r="Z322" s="36"/>
      <c r="AB322" s="36"/>
      <c r="AD322" s="36"/>
      <c r="AE322" s="36"/>
      <c r="AF322" s="36"/>
      <c r="AH322" s="36"/>
      <c r="AM322" s="40"/>
      <c r="AN322" s="40"/>
    </row>
    <row r="323" spans="1:40" x14ac:dyDescent="0.3">
      <c r="A323" s="70"/>
      <c r="B323" s="70"/>
      <c r="D323" s="40"/>
      <c r="E323" s="40"/>
      <c r="F323" s="40"/>
      <c r="G323" s="40"/>
      <c r="H323" s="40"/>
      <c r="I323" s="36"/>
      <c r="J323" s="36"/>
      <c r="K323" s="36"/>
      <c r="L323" s="36"/>
      <c r="M323" s="36"/>
      <c r="N323" s="36"/>
      <c r="P323" s="59"/>
      <c r="Q323" s="36"/>
      <c r="S323" s="36"/>
      <c r="T323" s="36"/>
      <c r="U323" s="36"/>
      <c r="W323" s="36"/>
      <c r="Z323" s="36"/>
      <c r="AB323" s="36"/>
      <c r="AD323" s="36"/>
      <c r="AE323" s="36"/>
      <c r="AF323" s="36"/>
      <c r="AH323" s="36"/>
      <c r="AM323" s="40"/>
      <c r="AN323" s="40"/>
    </row>
    <row r="324" spans="1:40" x14ac:dyDescent="0.3">
      <c r="A324" s="70"/>
      <c r="B324" s="70"/>
      <c r="D324" s="40"/>
      <c r="E324" s="40"/>
      <c r="F324" s="40"/>
      <c r="G324" s="40"/>
      <c r="H324" s="40"/>
      <c r="I324" s="36"/>
      <c r="J324" s="36"/>
      <c r="K324" s="36"/>
      <c r="L324" s="36"/>
      <c r="M324" s="36"/>
      <c r="N324" s="36"/>
      <c r="P324" s="59"/>
      <c r="Q324" s="36"/>
      <c r="S324" s="36"/>
      <c r="T324" s="36"/>
      <c r="U324" s="36"/>
      <c r="W324" s="36"/>
      <c r="Z324" s="36"/>
      <c r="AB324" s="36"/>
      <c r="AD324" s="36"/>
      <c r="AE324" s="36"/>
      <c r="AF324" s="36"/>
      <c r="AH324" s="36"/>
      <c r="AM324" s="40"/>
      <c r="AN324" s="40"/>
    </row>
    <row r="325" spans="1:40" x14ac:dyDescent="0.3">
      <c r="A325" s="70"/>
      <c r="B325" s="70"/>
      <c r="D325" s="40"/>
      <c r="E325" s="40"/>
      <c r="G325" s="40"/>
      <c r="H325" s="40"/>
      <c r="I325" s="36"/>
      <c r="J325" s="36"/>
      <c r="K325" s="36"/>
      <c r="L325" s="36"/>
      <c r="M325" s="36"/>
      <c r="N325" s="36"/>
      <c r="P325" s="59"/>
      <c r="Q325" s="36"/>
      <c r="S325" s="36"/>
      <c r="T325" s="36"/>
      <c r="U325" s="36"/>
      <c r="W325" s="36"/>
      <c r="Z325" s="36"/>
      <c r="AB325" s="36"/>
      <c r="AD325" s="36"/>
      <c r="AE325" s="36"/>
      <c r="AF325" s="36"/>
      <c r="AH325" s="36"/>
      <c r="AM325" s="40"/>
      <c r="AN325" s="40"/>
    </row>
    <row r="326" spans="1:40" x14ac:dyDescent="0.3">
      <c r="A326" s="70"/>
      <c r="B326" s="70"/>
      <c r="D326" s="40"/>
      <c r="E326" s="40"/>
      <c r="G326" s="40"/>
      <c r="H326" s="40"/>
      <c r="I326" s="36"/>
      <c r="J326" s="36"/>
      <c r="K326" s="36"/>
      <c r="L326" s="36"/>
      <c r="M326" s="36"/>
      <c r="N326" s="36"/>
      <c r="P326" s="59"/>
      <c r="Q326" s="36"/>
      <c r="S326" s="36"/>
      <c r="T326" s="36"/>
      <c r="U326" s="36"/>
      <c r="W326" s="36"/>
      <c r="Z326" s="36"/>
      <c r="AB326" s="36"/>
      <c r="AD326" s="36"/>
      <c r="AE326" s="36"/>
      <c r="AF326" s="36"/>
      <c r="AH326" s="36"/>
      <c r="AM326" s="40"/>
      <c r="AN326" s="40"/>
    </row>
    <row r="327" spans="1:40" x14ac:dyDescent="0.3">
      <c r="A327" s="70"/>
      <c r="B327" s="70"/>
      <c r="D327" s="40"/>
      <c r="E327" s="40"/>
      <c r="G327" s="40"/>
      <c r="H327" s="40"/>
      <c r="I327" s="36"/>
      <c r="J327" s="36"/>
      <c r="K327" s="36"/>
      <c r="L327" s="36"/>
      <c r="M327" s="36"/>
      <c r="N327" s="36"/>
      <c r="P327" s="59"/>
      <c r="Q327" s="36"/>
      <c r="S327" s="36"/>
      <c r="T327" s="36"/>
      <c r="U327" s="36"/>
      <c r="W327" s="36"/>
      <c r="Z327" s="36"/>
      <c r="AB327" s="36"/>
      <c r="AD327" s="36"/>
      <c r="AE327" s="36"/>
      <c r="AF327" s="36"/>
      <c r="AH327" s="36"/>
      <c r="AM327" s="40"/>
      <c r="AN327" s="40"/>
    </row>
    <row r="328" spans="1:40" x14ac:dyDescent="0.3">
      <c r="A328" s="70"/>
      <c r="B328" s="70"/>
      <c r="D328" s="40"/>
      <c r="E328" s="40"/>
      <c r="G328" s="40"/>
      <c r="H328" s="40"/>
      <c r="I328" s="36"/>
      <c r="J328" s="36"/>
      <c r="K328" s="36"/>
      <c r="L328" s="36"/>
      <c r="M328" s="36"/>
      <c r="N328" s="36"/>
      <c r="P328" s="59"/>
      <c r="Q328" s="36"/>
      <c r="S328" s="36"/>
      <c r="T328" s="36"/>
      <c r="U328" s="36"/>
      <c r="W328" s="36"/>
      <c r="Z328" s="36"/>
      <c r="AB328" s="36"/>
      <c r="AD328" s="36"/>
      <c r="AE328" s="36"/>
      <c r="AF328" s="36"/>
      <c r="AH328" s="36"/>
      <c r="AM328" s="40"/>
      <c r="AN328" s="40"/>
    </row>
    <row r="329" spans="1:40" x14ac:dyDescent="0.3">
      <c r="A329" s="70"/>
      <c r="B329" s="70"/>
      <c r="D329" s="40"/>
      <c r="E329" s="40"/>
      <c r="G329" s="40"/>
      <c r="H329" s="40"/>
      <c r="I329" s="36"/>
      <c r="J329" s="36"/>
      <c r="K329" s="36"/>
      <c r="L329" s="36"/>
      <c r="M329" s="36"/>
      <c r="N329" s="36"/>
      <c r="P329" s="59"/>
      <c r="Q329" s="36"/>
      <c r="S329" s="36"/>
      <c r="T329" s="36"/>
      <c r="U329" s="36"/>
      <c r="W329" s="36"/>
      <c r="Z329" s="36"/>
      <c r="AB329" s="36"/>
      <c r="AD329" s="36"/>
      <c r="AE329" s="36"/>
      <c r="AF329" s="36"/>
      <c r="AH329" s="36"/>
      <c r="AM329" s="40"/>
      <c r="AN329" s="40"/>
    </row>
    <row r="330" spans="1:40" x14ac:dyDescent="0.3">
      <c r="A330" s="70"/>
      <c r="B330" s="70"/>
      <c r="D330" s="40"/>
      <c r="E330" s="40"/>
      <c r="G330" s="40"/>
      <c r="H330" s="40"/>
      <c r="I330" s="36"/>
      <c r="J330" s="36"/>
      <c r="K330" s="36"/>
      <c r="L330" s="36"/>
      <c r="M330" s="36"/>
      <c r="N330" s="36"/>
      <c r="P330" s="59"/>
      <c r="Q330" s="36"/>
      <c r="S330" s="36"/>
      <c r="T330" s="36"/>
      <c r="U330" s="36"/>
      <c r="W330" s="36"/>
      <c r="Z330" s="36"/>
      <c r="AB330" s="36"/>
      <c r="AD330" s="36"/>
      <c r="AE330" s="36"/>
      <c r="AF330" s="36"/>
      <c r="AH330" s="36"/>
      <c r="AM330" s="40"/>
      <c r="AN330" s="40"/>
    </row>
    <row r="331" spans="1:40" x14ac:dyDescent="0.3">
      <c r="A331" s="70"/>
      <c r="B331" s="70"/>
      <c r="D331" s="40"/>
      <c r="E331" s="40"/>
      <c r="G331" s="40"/>
      <c r="H331" s="40"/>
      <c r="I331" s="36"/>
      <c r="J331" s="36"/>
      <c r="K331" s="36"/>
      <c r="L331" s="36"/>
      <c r="M331" s="36"/>
      <c r="N331" s="36"/>
      <c r="P331" s="59"/>
      <c r="Q331" s="36"/>
      <c r="S331" s="36"/>
      <c r="T331" s="36"/>
      <c r="U331" s="36"/>
      <c r="W331" s="36"/>
      <c r="Z331" s="36"/>
      <c r="AB331" s="36"/>
      <c r="AD331" s="36"/>
      <c r="AE331" s="36"/>
      <c r="AF331" s="36"/>
      <c r="AH331" s="36"/>
      <c r="AM331" s="40"/>
      <c r="AN331" s="40"/>
    </row>
    <row r="332" spans="1:40" x14ac:dyDescent="0.3">
      <c r="A332" s="70"/>
      <c r="B332" s="70"/>
      <c r="D332" s="40"/>
      <c r="E332" s="40"/>
      <c r="G332" s="40"/>
      <c r="H332" s="40"/>
      <c r="I332" s="36"/>
      <c r="J332" s="36"/>
      <c r="K332" s="36"/>
      <c r="L332" s="36"/>
      <c r="M332" s="36"/>
      <c r="N332" s="36"/>
      <c r="P332" s="59"/>
      <c r="Q332" s="36"/>
      <c r="S332" s="36"/>
      <c r="T332" s="36"/>
      <c r="U332" s="36"/>
      <c r="W332" s="36"/>
      <c r="Z332" s="36"/>
      <c r="AB332" s="36"/>
      <c r="AD332" s="36"/>
      <c r="AE332" s="36"/>
      <c r="AF332" s="36"/>
      <c r="AH332" s="36"/>
      <c r="AM332" s="40"/>
      <c r="AN332" s="40"/>
    </row>
    <row r="333" spans="1:40" x14ac:dyDescent="0.3">
      <c r="A333" s="70"/>
      <c r="B333" s="70"/>
      <c r="D333" s="40"/>
      <c r="E333" s="40"/>
      <c r="G333" s="40"/>
      <c r="H333" s="40"/>
      <c r="I333" s="36"/>
      <c r="J333" s="36"/>
      <c r="K333" s="36"/>
      <c r="L333" s="36"/>
      <c r="M333" s="36"/>
      <c r="N333" s="36"/>
      <c r="P333" s="59"/>
      <c r="Q333" s="36"/>
      <c r="S333" s="36"/>
      <c r="T333" s="36"/>
      <c r="U333" s="36"/>
      <c r="W333" s="36"/>
      <c r="Z333" s="36"/>
      <c r="AB333" s="36"/>
      <c r="AD333" s="36"/>
      <c r="AE333" s="36"/>
      <c r="AF333" s="36"/>
      <c r="AH333" s="36"/>
      <c r="AM333" s="40"/>
      <c r="AN333" s="40"/>
    </row>
    <row r="334" spans="1:40" x14ac:dyDescent="0.3">
      <c r="A334" s="70"/>
      <c r="B334" s="70"/>
      <c r="D334" s="40"/>
      <c r="E334" s="40"/>
      <c r="G334" s="40"/>
      <c r="H334" s="40"/>
      <c r="I334" s="36"/>
      <c r="J334" s="36"/>
      <c r="K334" s="36"/>
      <c r="L334" s="36"/>
      <c r="M334" s="36"/>
      <c r="N334" s="36"/>
      <c r="P334" s="59"/>
      <c r="Q334" s="36"/>
      <c r="S334" s="36"/>
      <c r="T334" s="36"/>
      <c r="U334" s="36"/>
      <c r="W334" s="36"/>
      <c r="Z334" s="36"/>
      <c r="AB334" s="36"/>
      <c r="AD334" s="36"/>
      <c r="AE334" s="36"/>
      <c r="AF334" s="36"/>
      <c r="AH334" s="36"/>
      <c r="AM334" s="40"/>
      <c r="AN334" s="40"/>
    </row>
    <row r="335" spans="1:40" x14ac:dyDescent="0.3">
      <c r="A335" s="70"/>
      <c r="B335" s="70"/>
      <c r="D335" s="40"/>
      <c r="E335" s="40"/>
      <c r="G335" s="40"/>
      <c r="H335" s="40"/>
      <c r="I335" s="36"/>
      <c r="J335" s="36"/>
      <c r="K335" s="36"/>
      <c r="L335" s="36"/>
      <c r="M335" s="36"/>
      <c r="N335" s="36"/>
      <c r="P335" s="59"/>
      <c r="Q335" s="36"/>
      <c r="S335" s="36"/>
      <c r="T335" s="36"/>
      <c r="U335" s="36"/>
      <c r="W335" s="36"/>
      <c r="Z335" s="36"/>
      <c r="AB335" s="36"/>
      <c r="AD335" s="36"/>
      <c r="AE335" s="36"/>
      <c r="AF335" s="36"/>
      <c r="AH335" s="36"/>
      <c r="AM335" s="40"/>
      <c r="AN335" s="40"/>
    </row>
    <row r="336" spans="1:40" x14ac:dyDescent="0.3">
      <c r="A336" s="70"/>
      <c r="B336" s="70"/>
      <c r="D336" s="40"/>
      <c r="E336" s="40"/>
      <c r="G336" s="40"/>
      <c r="H336" s="40"/>
      <c r="I336" s="36"/>
      <c r="J336" s="36"/>
      <c r="K336" s="36"/>
      <c r="L336" s="36"/>
      <c r="M336" s="36"/>
      <c r="N336" s="36"/>
      <c r="P336" s="59"/>
      <c r="Q336" s="36"/>
      <c r="S336" s="36"/>
      <c r="T336" s="36"/>
      <c r="U336" s="36"/>
      <c r="W336" s="36"/>
      <c r="Z336" s="36"/>
      <c r="AB336" s="36"/>
      <c r="AD336" s="36"/>
      <c r="AE336" s="36"/>
      <c r="AF336" s="36"/>
      <c r="AH336" s="36"/>
      <c r="AM336" s="40"/>
      <c r="AN336" s="40"/>
    </row>
    <row r="337" spans="1:40" x14ac:dyDescent="0.3">
      <c r="A337" s="70"/>
      <c r="B337" s="70"/>
      <c r="D337" s="40"/>
      <c r="E337" s="40"/>
      <c r="G337" s="40"/>
      <c r="H337" s="40"/>
      <c r="I337" s="36"/>
      <c r="J337" s="36"/>
      <c r="K337" s="36"/>
      <c r="L337" s="36"/>
      <c r="M337" s="36"/>
      <c r="N337" s="36"/>
      <c r="P337" s="59"/>
      <c r="Q337" s="36"/>
      <c r="S337" s="36"/>
      <c r="T337" s="36"/>
      <c r="U337" s="36"/>
      <c r="W337" s="36"/>
      <c r="Z337" s="36"/>
      <c r="AB337" s="36"/>
      <c r="AD337" s="36"/>
      <c r="AE337" s="36"/>
      <c r="AF337" s="36"/>
      <c r="AH337" s="36"/>
      <c r="AM337" s="40"/>
      <c r="AN337" s="40"/>
    </row>
    <row r="338" spans="1:40" x14ac:dyDescent="0.3">
      <c r="A338" s="70"/>
      <c r="B338" s="70"/>
      <c r="D338" s="40"/>
      <c r="E338" s="40"/>
      <c r="G338" s="40"/>
      <c r="H338" s="40"/>
      <c r="I338" s="36"/>
      <c r="J338" s="36"/>
      <c r="K338" s="36"/>
      <c r="L338" s="36"/>
      <c r="M338" s="36"/>
      <c r="N338" s="36"/>
      <c r="P338" s="59"/>
      <c r="Q338" s="36"/>
      <c r="S338" s="36"/>
      <c r="T338" s="36"/>
      <c r="U338" s="36"/>
      <c r="W338" s="36"/>
      <c r="Z338" s="36"/>
      <c r="AB338" s="36"/>
      <c r="AD338" s="36"/>
      <c r="AE338" s="36"/>
      <c r="AF338" s="36"/>
      <c r="AH338" s="36"/>
      <c r="AM338" s="40"/>
      <c r="AN338" s="40"/>
    </row>
    <row r="339" spans="1:40" x14ac:dyDescent="0.3">
      <c r="A339" s="70"/>
      <c r="B339" s="70"/>
      <c r="D339" s="40"/>
      <c r="E339" s="40"/>
      <c r="G339" s="40"/>
      <c r="H339" s="40"/>
      <c r="I339" s="36"/>
      <c r="J339" s="36"/>
      <c r="K339" s="36"/>
      <c r="L339" s="36"/>
      <c r="M339" s="36"/>
      <c r="N339" s="36"/>
      <c r="P339" s="59"/>
      <c r="Q339" s="36"/>
      <c r="S339" s="36"/>
      <c r="T339" s="36"/>
      <c r="U339" s="36"/>
      <c r="W339" s="36"/>
      <c r="Z339" s="36"/>
      <c r="AB339" s="36"/>
      <c r="AD339" s="36"/>
      <c r="AE339" s="36"/>
      <c r="AF339" s="36"/>
      <c r="AH339" s="36"/>
      <c r="AM339" s="40"/>
      <c r="AN339" s="40"/>
    </row>
    <row r="340" spans="1:40" x14ac:dyDescent="0.3">
      <c r="A340" s="70"/>
      <c r="B340" s="70"/>
      <c r="D340" s="40"/>
      <c r="E340" s="40"/>
      <c r="G340" s="40"/>
      <c r="H340" s="40"/>
      <c r="I340" s="36"/>
      <c r="J340" s="36"/>
      <c r="K340" s="36"/>
      <c r="L340" s="36"/>
      <c r="M340" s="36"/>
      <c r="N340" s="36"/>
      <c r="P340" s="59"/>
      <c r="Q340" s="36"/>
      <c r="S340" s="36"/>
      <c r="T340" s="36"/>
      <c r="U340" s="36"/>
      <c r="W340" s="36"/>
      <c r="Z340" s="36"/>
      <c r="AB340" s="36"/>
      <c r="AD340" s="36"/>
      <c r="AE340" s="36"/>
      <c r="AF340" s="36"/>
      <c r="AH340" s="36"/>
      <c r="AM340" s="40"/>
      <c r="AN340" s="40"/>
    </row>
    <row r="341" spans="1:40" x14ac:dyDescent="0.3">
      <c r="A341" s="70"/>
      <c r="B341" s="70"/>
      <c r="D341" s="40"/>
      <c r="E341" s="40"/>
      <c r="G341" s="40"/>
      <c r="H341" s="40"/>
      <c r="I341" s="36"/>
      <c r="J341" s="36"/>
      <c r="K341" s="36"/>
      <c r="L341" s="36"/>
      <c r="M341" s="36"/>
      <c r="N341" s="36"/>
      <c r="P341" s="59"/>
      <c r="Q341" s="36"/>
      <c r="S341" s="36"/>
      <c r="T341" s="36"/>
      <c r="U341" s="36"/>
      <c r="W341" s="36"/>
      <c r="Z341" s="36"/>
      <c r="AB341" s="36"/>
      <c r="AD341" s="36"/>
      <c r="AF341" s="36"/>
      <c r="AH341" s="36"/>
      <c r="AM341" s="40"/>
      <c r="AN341" s="40"/>
    </row>
    <row r="342" spans="1:40" x14ac:dyDescent="0.3">
      <c r="A342" s="70"/>
      <c r="B342" s="70"/>
      <c r="D342" s="40"/>
      <c r="E342" s="40"/>
      <c r="G342" s="40"/>
      <c r="H342" s="40"/>
      <c r="I342" s="36"/>
      <c r="J342" s="36"/>
      <c r="K342" s="36"/>
      <c r="L342" s="36"/>
      <c r="M342" s="36"/>
      <c r="N342" s="36"/>
      <c r="P342" s="59"/>
      <c r="Q342" s="36"/>
      <c r="S342" s="36"/>
      <c r="T342" s="36"/>
      <c r="U342" s="36"/>
      <c r="W342" s="36"/>
      <c r="Z342" s="36"/>
      <c r="AB342" s="36"/>
      <c r="AD342" s="36"/>
      <c r="AF342" s="36"/>
      <c r="AH342" s="36"/>
      <c r="AM342" s="40"/>
      <c r="AN342" s="40"/>
    </row>
    <row r="343" spans="1:40" x14ac:dyDescent="0.3">
      <c r="A343" s="70"/>
      <c r="B343" s="70"/>
      <c r="D343" s="40"/>
      <c r="E343" s="40"/>
      <c r="G343" s="40"/>
      <c r="H343" s="40"/>
      <c r="I343" s="36"/>
      <c r="J343" s="36"/>
      <c r="K343" s="36"/>
      <c r="L343" s="36"/>
      <c r="M343" s="36"/>
      <c r="N343" s="36"/>
      <c r="P343" s="59"/>
      <c r="Q343" s="36"/>
      <c r="S343" s="36"/>
      <c r="T343" s="36"/>
      <c r="U343" s="36"/>
      <c r="W343" s="36"/>
      <c r="Z343" s="36"/>
      <c r="AB343" s="36"/>
      <c r="AD343" s="36"/>
      <c r="AF343" s="36"/>
      <c r="AH343" s="36"/>
      <c r="AM343" s="40"/>
      <c r="AN343" s="40"/>
    </row>
    <row r="344" spans="1:40" x14ac:dyDescent="0.3">
      <c r="A344" s="70"/>
      <c r="B344" s="70"/>
      <c r="D344" s="40"/>
      <c r="E344" s="40"/>
      <c r="G344" s="40"/>
      <c r="H344" s="40"/>
      <c r="I344" s="36"/>
      <c r="J344" s="36"/>
      <c r="K344" s="36"/>
      <c r="L344" s="36"/>
      <c r="M344" s="36"/>
      <c r="N344" s="36"/>
      <c r="P344" s="59"/>
      <c r="Q344" s="36"/>
      <c r="S344" s="36"/>
      <c r="T344" s="36"/>
      <c r="U344" s="36"/>
      <c r="W344" s="36"/>
      <c r="Z344" s="36"/>
      <c r="AB344" s="36"/>
      <c r="AD344" s="36"/>
      <c r="AF344" s="36"/>
      <c r="AH344" s="36"/>
      <c r="AM344" s="40"/>
      <c r="AN344" s="40"/>
    </row>
    <row r="345" spans="1:40" x14ac:dyDescent="0.3">
      <c r="A345" s="70"/>
      <c r="B345" s="70"/>
      <c r="D345" s="40"/>
      <c r="E345" s="40"/>
      <c r="G345" s="40"/>
      <c r="H345" s="40"/>
      <c r="I345" s="36"/>
      <c r="J345" s="36"/>
      <c r="K345" s="36"/>
      <c r="L345" s="36"/>
      <c r="M345" s="36"/>
      <c r="N345" s="36"/>
      <c r="P345" s="59"/>
      <c r="Q345" s="36"/>
      <c r="S345" s="36"/>
      <c r="T345" s="36"/>
      <c r="U345" s="36"/>
      <c r="W345" s="36"/>
      <c r="Z345" s="36"/>
      <c r="AB345" s="36"/>
      <c r="AD345" s="36"/>
      <c r="AF345" s="36"/>
      <c r="AH345" s="36"/>
      <c r="AM345" s="40"/>
      <c r="AN345" s="40"/>
    </row>
    <row r="346" spans="1:40" x14ac:dyDescent="0.3">
      <c r="A346" s="70"/>
      <c r="B346" s="70"/>
      <c r="D346" s="40"/>
      <c r="E346" s="40"/>
      <c r="G346" s="40"/>
      <c r="H346" s="40"/>
      <c r="I346" s="36"/>
      <c r="J346" s="36"/>
      <c r="K346" s="36"/>
      <c r="L346" s="36"/>
      <c r="M346" s="36"/>
      <c r="N346" s="36"/>
      <c r="P346" s="59"/>
      <c r="Q346" s="36"/>
      <c r="S346" s="36"/>
      <c r="T346" s="36"/>
      <c r="U346" s="36"/>
      <c r="W346" s="36"/>
      <c r="Z346" s="36"/>
      <c r="AB346" s="36"/>
      <c r="AD346" s="36"/>
      <c r="AF346" s="36"/>
      <c r="AH346" s="36"/>
      <c r="AM346" s="40"/>
      <c r="AN346" s="40"/>
    </row>
    <row r="347" spans="1:40" x14ac:dyDescent="0.3">
      <c r="A347" s="70"/>
      <c r="B347" s="70"/>
      <c r="D347" s="40"/>
      <c r="E347" s="40"/>
      <c r="G347" s="40"/>
      <c r="H347" s="40"/>
      <c r="I347" s="36"/>
      <c r="J347" s="36"/>
      <c r="K347" s="36"/>
      <c r="L347" s="36"/>
      <c r="M347" s="36"/>
      <c r="N347" s="36"/>
      <c r="P347" s="59"/>
      <c r="Q347" s="36"/>
      <c r="S347" s="36"/>
      <c r="T347" s="36"/>
      <c r="U347" s="36"/>
      <c r="W347" s="36"/>
      <c r="Z347" s="36"/>
      <c r="AB347" s="36"/>
      <c r="AD347" s="36"/>
      <c r="AF347" s="36"/>
      <c r="AH347" s="36"/>
      <c r="AM347" s="40"/>
      <c r="AN347" s="40"/>
    </row>
    <row r="348" spans="1:40" x14ac:dyDescent="0.3">
      <c r="A348" s="70"/>
      <c r="B348" s="70"/>
      <c r="D348" s="40"/>
      <c r="E348" s="40"/>
      <c r="G348" s="40"/>
      <c r="H348" s="40"/>
      <c r="I348" s="36"/>
      <c r="J348" s="36"/>
      <c r="K348" s="36"/>
      <c r="L348" s="36"/>
      <c r="M348" s="36"/>
      <c r="N348" s="36"/>
      <c r="P348" s="59"/>
      <c r="Q348" s="36"/>
      <c r="S348" s="36"/>
      <c r="T348" s="36"/>
      <c r="U348" s="36"/>
      <c r="W348" s="36"/>
      <c r="Z348" s="36"/>
      <c r="AB348" s="36"/>
      <c r="AD348" s="36"/>
      <c r="AF348" s="36"/>
      <c r="AH348" s="36"/>
      <c r="AM348" s="40"/>
      <c r="AN348" s="40"/>
    </row>
    <row r="349" spans="1:40" x14ac:dyDescent="0.3">
      <c r="A349" s="70"/>
      <c r="B349" s="70"/>
      <c r="D349" s="40"/>
      <c r="E349" s="40"/>
      <c r="G349" s="40"/>
      <c r="H349" s="40"/>
      <c r="I349" s="36"/>
      <c r="J349" s="36"/>
      <c r="K349" s="36"/>
      <c r="L349" s="36"/>
      <c r="M349" s="36"/>
      <c r="N349" s="36"/>
      <c r="P349" s="59"/>
      <c r="Q349" s="36"/>
      <c r="S349" s="36"/>
      <c r="T349" s="36"/>
      <c r="U349" s="36"/>
      <c r="W349" s="36"/>
      <c r="Z349" s="36"/>
      <c r="AB349" s="36"/>
      <c r="AD349" s="36"/>
      <c r="AF349" s="36"/>
      <c r="AH349" s="36"/>
      <c r="AM349" s="40"/>
      <c r="AN349" s="40"/>
    </row>
    <row r="350" spans="1:40" x14ac:dyDescent="0.3">
      <c r="A350" s="70"/>
      <c r="B350" s="70"/>
      <c r="D350" s="40"/>
      <c r="E350" s="40"/>
      <c r="G350" s="40"/>
      <c r="H350" s="40"/>
      <c r="I350" s="36"/>
      <c r="J350" s="36"/>
      <c r="K350" s="36"/>
      <c r="L350" s="36"/>
      <c r="M350" s="36"/>
      <c r="N350" s="36"/>
      <c r="P350" s="59"/>
      <c r="Q350" s="36"/>
      <c r="S350" s="36"/>
      <c r="T350" s="36"/>
      <c r="U350" s="36"/>
      <c r="W350" s="36"/>
      <c r="Z350" s="36"/>
      <c r="AB350" s="36"/>
      <c r="AD350" s="36"/>
      <c r="AF350" s="36"/>
      <c r="AH350" s="36"/>
      <c r="AM350" s="40"/>
      <c r="AN350" s="40"/>
    </row>
    <row r="351" spans="1:40" x14ac:dyDescent="0.3">
      <c r="A351" s="70"/>
      <c r="B351" s="70"/>
      <c r="D351" s="40"/>
      <c r="E351" s="40"/>
      <c r="G351" s="40"/>
      <c r="H351" s="40"/>
      <c r="I351" s="36"/>
      <c r="J351" s="36"/>
      <c r="K351" s="36"/>
      <c r="L351" s="36"/>
      <c r="M351" s="36"/>
      <c r="N351" s="36"/>
      <c r="P351" s="59"/>
      <c r="Q351" s="36"/>
      <c r="S351" s="36"/>
      <c r="T351" s="36"/>
      <c r="U351" s="36"/>
      <c r="W351" s="36"/>
      <c r="Z351" s="36"/>
      <c r="AB351" s="36"/>
      <c r="AD351" s="36"/>
      <c r="AF351" s="36"/>
      <c r="AH351" s="36"/>
      <c r="AM351" s="40"/>
      <c r="AN351" s="40"/>
    </row>
    <row r="352" spans="1:40" x14ac:dyDescent="0.3">
      <c r="A352" s="70"/>
      <c r="B352" s="70"/>
      <c r="D352" s="40"/>
      <c r="E352" s="40"/>
      <c r="G352" s="40"/>
      <c r="H352" s="40"/>
      <c r="I352" s="36"/>
      <c r="J352" s="36"/>
      <c r="K352" s="36"/>
      <c r="L352" s="36"/>
      <c r="M352" s="36"/>
      <c r="N352" s="36"/>
      <c r="P352" s="59"/>
      <c r="Q352" s="36"/>
      <c r="S352" s="36"/>
      <c r="T352" s="36"/>
      <c r="U352" s="36"/>
      <c r="W352" s="36"/>
      <c r="Z352" s="36"/>
      <c r="AB352" s="36"/>
      <c r="AD352" s="36"/>
      <c r="AF352" s="36"/>
      <c r="AH352" s="36"/>
      <c r="AM352" s="40"/>
      <c r="AN352" s="40"/>
    </row>
    <row r="353" spans="1:40" x14ac:dyDescent="0.3">
      <c r="A353" s="70"/>
      <c r="B353" s="70"/>
      <c r="D353" s="40"/>
      <c r="E353" s="40"/>
      <c r="G353" s="40"/>
      <c r="H353" s="40"/>
      <c r="I353" s="36"/>
      <c r="J353" s="36"/>
      <c r="K353" s="36"/>
      <c r="L353" s="36"/>
      <c r="M353" s="36"/>
      <c r="N353" s="36"/>
      <c r="P353" s="59"/>
      <c r="Q353" s="36"/>
      <c r="S353" s="36"/>
      <c r="T353" s="36"/>
      <c r="U353" s="36"/>
      <c r="W353" s="36"/>
      <c r="Z353" s="36"/>
      <c r="AB353" s="36"/>
      <c r="AD353" s="36"/>
      <c r="AF353" s="36"/>
      <c r="AH353" s="36"/>
      <c r="AM353" s="40"/>
      <c r="AN353" s="40"/>
    </row>
    <row r="354" spans="1:40" x14ac:dyDescent="0.3">
      <c r="A354" s="70"/>
      <c r="B354" s="70"/>
      <c r="D354" s="40"/>
      <c r="E354" s="40"/>
      <c r="G354" s="40"/>
      <c r="H354" s="40"/>
      <c r="I354" s="36"/>
      <c r="J354" s="36"/>
      <c r="K354" s="36"/>
      <c r="L354" s="36"/>
      <c r="M354" s="36"/>
      <c r="N354" s="36"/>
      <c r="P354" s="59"/>
      <c r="Q354" s="36"/>
      <c r="S354" s="36"/>
      <c r="T354" s="36"/>
      <c r="U354" s="36"/>
      <c r="W354" s="36"/>
      <c r="Z354" s="36"/>
      <c r="AB354" s="36"/>
      <c r="AD354" s="36"/>
      <c r="AF354" s="36"/>
      <c r="AH354" s="36"/>
      <c r="AM354" s="40"/>
      <c r="AN354" s="40"/>
    </row>
    <row r="355" spans="1:40" x14ac:dyDescent="0.3">
      <c r="A355" s="70"/>
      <c r="B355" s="70"/>
      <c r="D355" s="40"/>
      <c r="E355" s="40"/>
      <c r="G355" s="40"/>
      <c r="H355" s="40"/>
      <c r="I355" s="36"/>
      <c r="J355" s="36"/>
      <c r="K355" s="36"/>
      <c r="L355" s="36"/>
      <c r="M355" s="36"/>
      <c r="N355" s="36"/>
      <c r="P355" s="59"/>
      <c r="Q355" s="36"/>
      <c r="S355" s="36"/>
      <c r="T355" s="36"/>
      <c r="U355" s="36"/>
      <c r="W355" s="36"/>
      <c r="Z355" s="36"/>
      <c r="AB355" s="36"/>
      <c r="AD355" s="36"/>
      <c r="AF355" s="36"/>
      <c r="AH355" s="36"/>
      <c r="AM355" s="40"/>
      <c r="AN355" s="40"/>
    </row>
    <row r="356" spans="1:40" x14ac:dyDescent="0.3">
      <c r="A356" s="70"/>
      <c r="B356" s="70"/>
      <c r="D356" s="40"/>
      <c r="E356" s="40"/>
      <c r="G356" s="40"/>
      <c r="H356" s="40"/>
      <c r="I356" s="36"/>
      <c r="J356" s="36"/>
      <c r="K356" s="36"/>
      <c r="L356" s="36"/>
      <c r="M356" s="36"/>
      <c r="N356" s="36"/>
      <c r="P356" s="59"/>
      <c r="Q356" s="36"/>
      <c r="S356" s="36"/>
      <c r="T356" s="36"/>
      <c r="U356" s="36"/>
      <c r="W356" s="36"/>
      <c r="Z356" s="36"/>
      <c r="AB356" s="36"/>
      <c r="AD356" s="36"/>
      <c r="AF356" s="36"/>
      <c r="AH356" s="36"/>
      <c r="AM356" s="40"/>
      <c r="AN356" s="40"/>
    </row>
    <row r="357" spans="1:40" x14ac:dyDescent="0.3">
      <c r="A357" s="70"/>
      <c r="B357" s="70"/>
      <c r="D357" s="40"/>
      <c r="E357" s="40"/>
      <c r="G357" s="40"/>
      <c r="H357" s="40"/>
      <c r="I357" s="36"/>
      <c r="J357" s="36"/>
      <c r="K357" s="36"/>
      <c r="L357" s="36"/>
      <c r="M357" s="36"/>
      <c r="N357" s="36"/>
      <c r="P357" s="59"/>
      <c r="Q357" s="36"/>
      <c r="S357" s="36"/>
      <c r="T357" s="36"/>
      <c r="U357" s="36"/>
      <c r="W357" s="36"/>
      <c r="Z357" s="36"/>
      <c r="AB357" s="36"/>
      <c r="AD357" s="36"/>
      <c r="AF357" s="36"/>
      <c r="AH357" s="36"/>
      <c r="AM357" s="40"/>
      <c r="AN357" s="40"/>
    </row>
    <row r="358" spans="1:40" x14ac:dyDescent="0.3">
      <c r="A358" s="70"/>
      <c r="B358" s="70"/>
      <c r="D358" s="40"/>
      <c r="E358" s="40"/>
      <c r="G358" s="40"/>
      <c r="H358" s="40"/>
      <c r="I358" s="36"/>
      <c r="J358" s="36"/>
      <c r="K358" s="36"/>
      <c r="L358" s="36"/>
      <c r="M358" s="36"/>
      <c r="N358" s="36"/>
      <c r="P358" s="59"/>
      <c r="Q358" s="36"/>
      <c r="S358" s="36"/>
      <c r="T358" s="36"/>
      <c r="U358" s="36"/>
      <c r="W358" s="36"/>
      <c r="Z358" s="36"/>
      <c r="AB358" s="36"/>
      <c r="AD358" s="36"/>
      <c r="AF358" s="36"/>
      <c r="AH358" s="36"/>
      <c r="AM358" s="40"/>
      <c r="AN358" s="40"/>
    </row>
    <row r="359" spans="1:40" x14ac:dyDescent="0.3">
      <c r="A359" s="70"/>
      <c r="B359" s="70"/>
      <c r="D359" s="40"/>
      <c r="E359" s="40"/>
      <c r="G359" s="40"/>
      <c r="H359" s="40"/>
      <c r="I359" s="36"/>
      <c r="J359" s="36"/>
      <c r="K359" s="36"/>
      <c r="L359" s="36"/>
      <c r="M359" s="36"/>
      <c r="N359" s="36"/>
      <c r="P359" s="59"/>
      <c r="Q359" s="36"/>
      <c r="S359" s="36"/>
      <c r="T359" s="36"/>
      <c r="U359" s="36"/>
      <c r="W359" s="36"/>
      <c r="Z359" s="36"/>
      <c r="AB359" s="36"/>
      <c r="AD359" s="36"/>
      <c r="AF359" s="36"/>
      <c r="AH359" s="36"/>
      <c r="AM359" s="40"/>
      <c r="AN359" s="40"/>
    </row>
    <row r="360" spans="1:40" x14ac:dyDescent="0.3">
      <c r="A360" s="70"/>
      <c r="B360" s="70"/>
      <c r="D360" s="40"/>
      <c r="E360" s="40"/>
      <c r="G360" s="40"/>
      <c r="H360" s="40"/>
      <c r="I360" s="36"/>
      <c r="J360" s="36"/>
      <c r="K360" s="36"/>
      <c r="L360" s="36"/>
      <c r="M360" s="36"/>
      <c r="N360" s="36"/>
      <c r="P360" s="59"/>
      <c r="Q360" s="36"/>
      <c r="S360" s="36"/>
      <c r="T360" s="36"/>
      <c r="U360" s="36"/>
      <c r="W360" s="36"/>
      <c r="Z360" s="36"/>
      <c r="AB360" s="36"/>
      <c r="AD360" s="36"/>
      <c r="AF360" s="36"/>
      <c r="AH360" s="36"/>
      <c r="AM360" s="40"/>
      <c r="AN360" s="40"/>
    </row>
    <row r="361" spans="1:40" x14ac:dyDescent="0.3">
      <c r="A361" s="70"/>
      <c r="B361" s="70"/>
      <c r="D361" s="40"/>
      <c r="E361" s="40"/>
      <c r="G361" s="40"/>
      <c r="H361" s="40"/>
      <c r="I361" s="36"/>
      <c r="J361" s="36"/>
      <c r="K361" s="36"/>
      <c r="L361" s="36"/>
      <c r="M361" s="36"/>
      <c r="N361" s="36"/>
      <c r="P361" s="59"/>
      <c r="Q361" s="36"/>
      <c r="S361" s="36"/>
      <c r="T361" s="36"/>
      <c r="U361" s="36"/>
      <c r="W361" s="36"/>
      <c r="Z361" s="36"/>
      <c r="AB361" s="36"/>
      <c r="AD361" s="36"/>
      <c r="AF361" s="36"/>
      <c r="AH361" s="36"/>
      <c r="AM361" s="40"/>
      <c r="AN361" s="40"/>
    </row>
    <row r="362" spans="1:40" x14ac:dyDescent="0.3">
      <c r="A362" s="70"/>
      <c r="B362" s="70"/>
      <c r="D362" s="40"/>
      <c r="E362" s="40"/>
      <c r="G362" s="40"/>
      <c r="H362" s="40"/>
      <c r="I362" s="36"/>
      <c r="J362" s="36"/>
      <c r="K362" s="36"/>
      <c r="L362" s="36"/>
      <c r="M362" s="36"/>
      <c r="N362" s="36"/>
      <c r="P362" s="59"/>
      <c r="Q362" s="36"/>
      <c r="S362" s="36"/>
      <c r="T362" s="36"/>
      <c r="U362" s="36"/>
      <c r="W362" s="36"/>
      <c r="Z362" s="36"/>
      <c r="AB362" s="36"/>
      <c r="AD362" s="36"/>
      <c r="AF362" s="36"/>
      <c r="AH362" s="36"/>
      <c r="AM362" s="40"/>
      <c r="AN362" s="40"/>
    </row>
    <row r="363" spans="1:40" x14ac:dyDescent="0.3">
      <c r="A363" s="70"/>
      <c r="B363" s="70"/>
      <c r="D363" s="40"/>
      <c r="E363" s="40"/>
      <c r="G363" s="40"/>
      <c r="H363" s="40"/>
      <c r="I363" s="36"/>
      <c r="J363" s="36"/>
      <c r="K363" s="36"/>
      <c r="L363" s="36"/>
      <c r="M363" s="36"/>
      <c r="N363" s="36"/>
      <c r="P363" s="59"/>
      <c r="Q363" s="36"/>
      <c r="S363" s="36"/>
      <c r="T363" s="36"/>
      <c r="U363" s="36"/>
      <c r="W363" s="36"/>
      <c r="Z363" s="36"/>
      <c r="AB363" s="36"/>
      <c r="AD363" s="36"/>
      <c r="AF363" s="36"/>
      <c r="AH363" s="36"/>
      <c r="AM363" s="40"/>
      <c r="AN363" s="40"/>
    </row>
    <row r="364" spans="1:40" x14ac:dyDescent="0.3">
      <c r="A364" s="70"/>
      <c r="B364" s="70"/>
      <c r="D364" s="40"/>
      <c r="E364" s="40"/>
      <c r="G364" s="40"/>
      <c r="H364" s="40"/>
      <c r="I364" s="36"/>
      <c r="J364" s="36"/>
      <c r="K364" s="36"/>
      <c r="L364" s="36"/>
      <c r="M364" s="36"/>
      <c r="N364" s="36"/>
      <c r="P364" s="59"/>
      <c r="Q364" s="36"/>
      <c r="S364" s="36"/>
      <c r="T364" s="36"/>
      <c r="U364" s="36"/>
      <c r="W364" s="36"/>
      <c r="AB364" s="36"/>
      <c r="AD364" s="36"/>
      <c r="AF364" s="36"/>
      <c r="AH364" s="36"/>
      <c r="AM364" s="40"/>
      <c r="AN364" s="40"/>
    </row>
    <row r="365" spans="1:40" x14ac:dyDescent="0.3">
      <c r="A365" s="70"/>
      <c r="B365" s="70"/>
      <c r="D365" s="40"/>
      <c r="E365" s="40"/>
      <c r="G365" s="40"/>
      <c r="H365" s="40"/>
      <c r="I365" s="36"/>
      <c r="J365" s="36"/>
      <c r="K365" s="36"/>
      <c r="L365" s="36"/>
      <c r="M365" s="36"/>
      <c r="N365" s="36"/>
      <c r="P365" s="59"/>
      <c r="Q365" s="36"/>
      <c r="S365" s="36"/>
      <c r="T365" s="36"/>
      <c r="U365" s="36"/>
      <c r="W365" s="36"/>
      <c r="AB365" s="36"/>
      <c r="AD365" s="36"/>
      <c r="AF365" s="36"/>
      <c r="AH365" s="36"/>
      <c r="AM365" s="40"/>
      <c r="AN365" s="40"/>
    </row>
    <row r="366" spans="1:40" x14ac:dyDescent="0.3">
      <c r="A366" s="70"/>
      <c r="B366" s="70"/>
      <c r="D366" s="40"/>
      <c r="E366" s="40"/>
      <c r="G366" s="40"/>
      <c r="H366" s="40"/>
      <c r="I366" s="36"/>
      <c r="J366" s="36"/>
      <c r="K366" s="36"/>
      <c r="L366" s="36"/>
      <c r="M366" s="36"/>
      <c r="N366" s="36"/>
      <c r="P366" s="59"/>
      <c r="Q366" s="36"/>
      <c r="S366" s="36"/>
      <c r="T366" s="36"/>
      <c r="U366" s="36"/>
      <c r="W366" s="36"/>
      <c r="AB366" s="36"/>
      <c r="AD366" s="36"/>
      <c r="AF366" s="36"/>
      <c r="AH366" s="36"/>
      <c r="AM366" s="40"/>
      <c r="AN366" s="40"/>
    </row>
    <row r="367" spans="1:40" x14ac:dyDescent="0.3">
      <c r="A367" s="70"/>
      <c r="B367" s="70"/>
      <c r="D367" s="40"/>
      <c r="E367" s="40"/>
      <c r="G367" s="40"/>
      <c r="H367" s="40"/>
      <c r="I367" s="36"/>
      <c r="J367" s="36"/>
      <c r="K367" s="36"/>
      <c r="L367" s="36"/>
      <c r="M367" s="36"/>
      <c r="N367" s="36"/>
      <c r="P367" s="59"/>
      <c r="Q367" s="36"/>
      <c r="S367" s="36"/>
      <c r="T367" s="36"/>
      <c r="U367" s="36"/>
      <c r="W367" s="36"/>
      <c r="AB367" s="36"/>
      <c r="AD367" s="36"/>
      <c r="AF367" s="36"/>
      <c r="AH367" s="36"/>
      <c r="AM367" s="40"/>
      <c r="AN367" s="40"/>
    </row>
    <row r="368" spans="1:40" x14ac:dyDescent="0.3">
      <c r="A368" s="70"/>
      <c r="B368" s="70"/>
      <c r="D368" s="40"/>
      <c r="E368" s="40"/>
      <c r="G368" s="40"/>
      <c r="H368" s="40"/>
      <c r="I368" s="36"/>
      <c r="J368" s="36"/>
      <c r="K368" s="36"/>
      <c r="L368" s="36"/>
      <c r="M368" s="36"/>
      <c r="N368" s="36"/>
      <c r="P368" s="59"/>
      <c r="Q368" s="36"/>
      <c r="S368" s="36"/>
      <c r="T368" s="36"/>
      <c r="U368" s="36"/>
      <c r="W368" s="36"/>
      <c r="AB368" s="36"/>
      <c r="AD368" s="36"/>
      <c r="AF368" s="36"/>
      <c r="AH368" s="36"/>
      <c r="AM368" s="40"/>
      <c r="AN368" s="40"/>
    </row>
    <row r="369" spans="1:40" x14ac:dyDescent="0.3">
      <c r="A369" s="70"/>
      <c r="B369" s="70"/>
      <c r="D369" s="40"/>
      <c r="E369" s="40"/>
      <c r="G369" s="40"/>
      <c r="H369" s="40"/>
      <c r="I369" s="36"/>
      <c r="J369" s="36"/>
      <c r="K369" s="36"/>
      <c r="L369" s="36"/>
      <c r="M369" s="36"/>
      <c r="N369" s="36"/>
      <c r="P369" s="59"/>
      <c r="Q369" s="36"/>
      <c r="S369" s="36"/>
      <c r="T369" s="36"/>
      <c r="U369" s="36"/>
      <c r="W369" s="36"/>
      <c r="AB369" s="36"/>
      <c r="AD369" s="36"/>
      <c r="AF369" s="36"/>
      <c r="AH369" s="36"/>
      <c r="AM369" s="40"/>
      <c r="AN369" s="40"/>
    </row>
    <row r="370" spans="1:40" x14ac:dyDescent="0.3">
      <c r="A370" s="70"/>
      <c r="B370" s="70"/>
      <c r="D370" s="40"/>
      <c r="E370" s="40"/>
      <c r="G370" s="40"/>
      <c r="H370" s="40"/>
      <c r="I370" s="36"/>
      <c r="J370" s="36"/>
      <c r="K370" s="36"/>
      <c r="L370" s="36"/>
      <c r="M370" s="36"/>
      <c r="N370" s="36"/>
      <c r="P370" s="59"/>
      <c r="Q370" s="36"/>
      <c r="S370" s="36"/>
      <c r="T370" s="36"/>
      <c r="U370" s="36"/>
      <c r="W370" s="36"/>
      <c r="AB370" s="36"/>
      <c r="AD370" s="36"/>
      <c r="AF370" s="36"/>
      <c r="AH370" s="36"/>
      <c r="AM370" s="40"/>
      <c r="AN370" s="40"/>
    </row>
    <row r="371" spans="1:40" x14ac:dyDescent="0.3">
      <c r="A371" s="70"/>
      <c r="B371" s="70"/>
      <c r="D371" s="40"/>
      <c r="E371" s="40"/>
      <c r="G371" s="40"/>
      <c r="H371" s="40"/>
      <c r="I371" s="36"/>
      <c r="J371" s="36"/>
      <c r="K371" s="36"/>
      <c r="L371" s="36"/>
      <c r="M371" s="36"/>
      <c r="N371" s="36"/>
      <c r="P371" s="59"/>
      <c r="Q371" s="36"/>
      <c r="S371" s="36"/>
      <c r="T371" s="36"/>
      <c r="U371" s="36"/>
      <c r="W371" s="36"/>
      <c r="AB371" s="36"/>
      <c r="AD371" s="36"/>
      <c r="AF371" s="36"/>
      <c r="AH371" s="36"/>
      <c r="AM371" s="40"/>
      <c r="AN371" s="40"/>
    </row>
    <row r="372" spans="1:40" x14ac:dyDescent="0.3">
      <c r="A372" s="70"/>
      <c r="B372" s="70"/>
      <c r="D372" s="40"/>
      <c r="E372" s="40"/>
      <c r="G372" s="40"/>
      <c r="H372" s="40"/>
      <c r="I372" s="36"/>
      <c r="J372" s="36"/>
      <c r="K372" s="36"/>
      <c r="L372" s="36"/>
      <c r="M372" s="36"/>
      <c r="N372" s="36"/>
      <c r="P372" s="59"/>
      <c r="Q372" s="36"/>
      <c r="S372" s="36"/>
      <c r="T372" s="36"/>
      <c r="U372" s="36"/>
      <c r="W372" s="36"/>
      <c r="AB372" s="36"/>
      <c r="AD372" s="36"/>
      <c r="AF372" s="36"/>
      <c r="AH372" s="36"/>
      <c r="AM372" s="40"/>
      <c r="AN372" s="40"/>
    </row>
    <row r="373" spans="1:40" x14ac:dyDescent="0.3">
      <c r="A373" s="70"/>
      <c r="B373" s="70"/>
      <c r="D373" s="40"/>
      <c r="E373" s="40"/>
      <c r="G373" s="40"/>
      <c r="H373" s="40"/>
      <c r="I373" s="36"/>
      <c r="J373" s="36"/>
      <c r="K373" s="36"/>
      <c r="L373" s="36"/>
      <c r="M373" s="36"/>
      <c r="N373" s="36"/>
      <c r="P373" s="59"/>
      <c r="Q373" s="36"/>
      <c r="S373" s="36"/>
      <c r="T373" s="36"/>
      <c r="U373" s="36"/>
      <c r="W373" s="36"/>
      <c r="AB373" s="36"/>
      <c r="AD373" s="36"/>
      <c r="AF373" s="36"/>
      <c r="AH373" s="36"/>
      <c r="AM373" s="40"/>
      <c r="AN373" s="40"/>
    </row>
    <row r="374" spans="1:40" x14ac:dyDescent="0.3">
      <c r="A374" s="70"/>
      <c r="B374" s="70"/>
      <c r="D374" s="40"/>
      <c r="E374" s="40"/>
      <c r="G374" s="40"/>
      <c r="H374" s="40"/>
      <c r="I374" s="36"/>
      <c r="J374" s="36"/>
      <c r="K374" s="36"/>
      <c r="L374" s="36"/>
      <c r="M374" s="36"/>
      <c r="N374" s="36"/>
      <c r="P374" s="59"/>
      <c r="Q374" s="36"/>
      <c r="S374" s="36"/>
      <c r="T374" s="36"/>
      <c r="U374" s="36"/>
      <c r="W374" s="36"/>
      <c r="AB374" s="36"/>
      <c r="AD374" s="36"/>
      <c r="AF374" s="36"/>
      <c r="AH374" s="36"/>
      <c r="AM374" s="40"/>
      <c r="AN374" s="40"/>
    </row>
    <row r="375" spans="1:40" x14ac:dyDescent="0.3">
      <c r="A375" s="70"/>
      <c r="B375" s="70"/>
      <c r="D375" s="40"/>
      <c r="E375" s="40"/>
      <c r="G375" s="40"/>
      <c r="H375" s="40"/>
      <c r="I375" s="36"/>
      <c r="J375" s="36"/>
      <c r="K375" s="36"/>
      <c r="L375" s="36"/>
      <c r="M375" s="36"/>
      <c r="N375" s="36"/>
      <c r="P375" s="59"/>
      <c r="Q375" s="36"/>
      <c r="S375" s="36"/>
      <c r="T375" s="36"/>
      <c r="U375" s="36"/>
      <c r="W375" s="36"/>
      <c r="AB375" s="36"/>
      <c r="AD375" s="36"/>
      <c r="AF375" s="36"/>
      <c r="AH375" s="36"/>
      <c r="AM375" s="40"/>
      <c r="AN375" s="40"/>
    </row>
    <row r="376" spans="1:40" x14ac:dyDescent="0.3">
      <c r="A376" s="70"/>
      <c r="B376" s="70"/>
      <c r="D376" s="40"/>
      <c r="E376" s="40"/>
      <c r="G376" s="40"/>
      <c r="H376" s="40"/>
      <c r="I376" s="36"/>
      <c r="J376" s="36"/>
      <c r="K376" s="36"/>
      <c r="L376" s="36"/>
      <c r="M376" s="36"/>
      <c r="N376" s="36"/>
      <c r="P376" s="59"/>
      <c r="Q376" s="36"/>
      <c r="S376" s="36"/>
      <c r="T376" s="36"/>
      <c r="U376" s="36"/>
      <c r="W376" s="36"/>
      <c r="AB376" s="36"/>
      <c r="AD376" s="36"/>
      <c r="AF376" s="36"/>
      <c r="AH376" s="36"/>
      <c r="AM376" s="40"/>
      <c r="AN376" s="40"/>
    </row>
    <row r="377" spans="1:40" x14ac:dyDescent="0.3">
      <c r="A377" s="70"/>
      <c r="B377" s="70"/>
      <c r="D377" s="40"/>
      <c r="E377" s="40"/>
      <c r="G377" s="40"/>
      <c r="H377" s="40"/>
      <c r="I377" s="36"/>
      <c r="J377" s="36"/>
      <c r="K377" s="36"/>
      <c r="L377" s="36"/>
      <c r="M377" s="36"/>
      <c r="N377" s="36"/>
      <c r="P377" s="59"/>
      <c r="Q377" s="36"/>
      <c r="S377" s="36"/>
      <c r="T377" s="36"/>
      <c r="U377" s="36"/>
      <c r="W377" s="36"/>
      <c r="AB377" s="36"/>
      <c r="AD377" s="36"/>
      <c r="AF377" s="36"/>
      <c r="AH377" s="36"/>
      <c r="AM377" s="40"/>
      <c r="AN377" s="40"/>
    </row>
    <row r="378" spans="1:40" x14ac:dyDescent="0.3">
      <c r="A378" s="70"/>
      <c r="B378" s="70"/>
      <c r="D378" s="40"/>
      <c r="E378" s="40"/>
      <c r="G378" s="40"/>
      <c r="H378" s="40"/>
      <c r="I378" s="36"/>
      <c r="J378" s="36"/>
      <c r="K378" s="36"/>
      <c r="L378" s="36"/>
      <c r="M378" s="36"/>
      <c r="N378" s="36"/>
      <c r="P378" s="59"/>
      <c r="Q378" s="36"/>
      <c r="S378" s="36"/>
      <c r="T378" s="36"/>
      <c r="U378" s="36"/>
      <c r="W378" s="36"/>
      <c r="AB378" s="36"/>
      <c r="AD378" s="36"/>
      <c r="AF378" s="36"/>
      <c r="AH378" s="36"/>
      <c r="AM378" s="40"/>
      <c r="AN378" s="40"/>
    </row>
    <row r="379" spans="1:40" x14ac:dyDescent="0.3">
      <c r="A379" s="70"/>
      <c r="B379" s="70"/>
      <c r="D379" s="40"/>
      <c r="E379" s="40"/>
      <c r="G379" s="40"/>
      <c r="H379" s="40"/>
      <c r="I379" s="36"/>
      <c r="J379" s="36"/>
      <c r="K379" s="36"/>
      <c r="L379" s="36"/>
      <c r="M379" s="36"/>
      <c r="N379" s="36"/>
      <c r="P379" s="59"/>
      <c r="Q379" s="36"/>
      <c r="S379" s="36"/>
      <c r="T379" s="36"/>
      <c r="U379" s="36"/>
      <c r="W379" s="36"/>
      <c r="AB379" s="36"/>
      <c r="AD379" s="36"/>
      <c r="AF379" s="36"/>
      <c r="AH379" s="36"/>
      <c r="AM379" s="40"/>
      <c r="AN379" s="40"/>
    </row>
    <row r="380" spans="1:40" x14ac:dyDescent="0.3">
      <c r="A380" s="70"/>
      <c r="B380" s="70"/>
      <c r="D380" s="40"/>
      <c r="E380" s="40"/>
      <c r="G380" s="40"/>
      <c r="H380" s="40"/>
      <c r="I380" s="36"/>
      <c r="J380" s="36"/>
      <c r="K380" s="36"/>
      <c r="L380" s="36"/>
      <c r="M380" s="36"/>
      <c r="N380" s="36"/>
      <c r="P380" s="59"/>
      <c r="Q380" s="36"/>
      <c r="S380" s="36"/>
      <c r="T380" s="36"/>
      <c r="U380" s="36"/>
      <c r="W380" s="36"/>
      <c r="AB380" s="36"/>
      <c r="AD380" s="36"/>
      <c r="AF380" s="36"/>
      <c r="AH380" s="36"/>
      <c r="AM380" s="40"/>
      <c r="AN380" s="40"/>
    </row>
    <row r="381" spans="1:40" x14ac:dyDescent="0.3">
      <c r="A381" s="70"/>
      <c r="B381" s="70"/>
      <c r="D381" s="40"/>
      <c r="E381" s="40"/>
      <c r="G381" s="40"/>
      <c r="H381" s="40"/>
      <c r="I381" s="36"/>
      <c r="J381" s="36"/>
      <c r="K381" s="36"/>
      <c r="L381" s="36"/>
      <c r="M381" s="36"/>
      <c r="N381" s="36"/>
      <c r="P381" s="59"/>
      <c r="Q381" s="36"/>
      <c r="S381" s="36"/>
      <c r="T381" s="36"/>
      <c r="U381" s="36"/>
      <c r="W381" s="36"/>
      <c r="AB381" s="36"/>
      <c r="AD381" s="36"/>
      <c r="AF381" s="36"/>
      <c r="AH381" s="36"/>
      <c r="AM381" s="40"/>
      <c r="AN381" s="40"/>
    </row>
    <row r="382" spans="1:40" x14ac:dyDescent="0.3">
      <c r="A382" s="70"/>
      <c r="B382" s="70"/>
      <c r="D382" s="40"/>
      <c r="E382" s="40"/>
      <c r="G382" s="40"/>
      <c r="H382" s="40"/>
      <c r="I382" s="36"/>
      <c r="J382" s="36"/>
      <c r="K382" s="36"/>
      <c r="L382" s="36"/>
      <c r="M382" s="36"/>
      <c r="N382" s="36"/>
      <c r="P382" s="59"/>
      <c r="Q382" s="36"/>
      <c r="S382" s="36"/>
      <c r="T382" s="36"/>
      <c r="U382" s="36"/>
      <c r="W382" s="36"/>
      <c r="AB382" s="36"/>
      <c r="AD382" s="36"/>
      <c r="AF382" s="36"/>
      <c r="AH382" s="36"/>
      <c r="AM382" s="40"/>
      <c r="AN382" s="40"/>
    </row>
    <row r="383" spans="1:40" x14ac:dyDescent="0.3">
      <c r="A383" s="70"/>
      <c r="B383" s="70"/>
      <c r="D383" s="40"/>
      <c r="E383" s="40"/>
      <c r="G383" s="40"/>
      <c r="H383" s="40"/>
      <c r="I383" s="36"/>
      <c r="J383" s="36"/>
      <c r="K383" s="36"/>
      <c r="L383" s="36"/>
      <c r="M383" s="36"/>
      <c r="N383" s="36"/>
      <c r="P383" s="59"/>
      <c r="Q383" s="36"/>
      <c r="S383" s="36"/>
      <c r="T383" s="36"/>
      <c r="U383" s="36"/>
      <c r="W383" s="36"/>
      <c r="AB383" s="36"/>
      <c r="AD383" s="36"/>
      <c r="AF383" s="36"/>
      <c r="AH383" s="36"/>
      <c r="AM383" s="40"/>
      <c r="AN383" s="40"/>
    </row>
    <row r="384" spans="1:40" x14ac:dyDescent="0.3">
      <c r="A384" s="70"/>
      <c r="B384" s="70"/>
      <c r="D384" s="40"/>
      <c r="E384" s="40"/>
      <c r="G384" s="40"/>
      <c r="H384" s="40"/>
      <c r="I384" s="36"/>
      <c r="J384" s="36"/>
      <c r="K384" s="36"/>
      <c r="L384" s="36"/>
      <c r="M384" s="36"/>
      <c r="N384" s="36"/>
      <c r="P384" s="59"/>
      <c r="Q384" s="36"/>
      <c r="S384" s="36"/>
      <c r="T384" s="36"/>
      <c r="U384" s="36"/>
      <c r="W384" s="36"/>
      <c r="AB384" s="36"/>
      <c r="AD384" s="36"/>
      <c r="AF384" s="36"/>
      <c r="AH384" s="36"/>
      <c r="AM384" s="40"/>
      <c r="AN384" s="40"/>
    </row>
    <row r="385" spans="1:40" x14ac:dyDescent="0.3">
      <c r="A385" s="70"/>
      <c r="B385" s="70"/>
      <c r="D385" s="40"/>
      <c r="E385" s="40"/>
      <c r="G385" s="40"/>
      <c r="H385" s="40"/>
      <c r="I385" s="36"/>
      <c r="J385" s="36"/>
      <c r="K385" s="36"/>
      <c r="L385" s="36"/>
      <c r="M385" s="36"/>
      <c r="N385" s="36"/>
      <c r="P385" s="59"/>
      <c r="Q385" s="36"/>
      <c r="S385" s="36"/>
      <c r="T385" s="36"/>
      <c r="U385" s="36"/>
      <c r="W385" s="36"/>
      <c r="AB385" s="36"/>
      <c r="AD385" s="36"/>
      <c r="AF385" s="36"/>
      <c r="AH385" s="36"/>
      <c r="AM385" s="40"/>
      <c r="AN385" s="40"/>
    </row>
    <row r="386" spans="1:40" x14ac:dyDescent="0.3">
      <c r="A386" s="70"/>
      <c r="B386" s="70"/>
      <c r="D386" s="40"/>
      <c r="E386" s="40"/>
      <c r="G386" s="40"/>
      <c r="H386" s="40"/>
      <c r="I386" s="36"/>
      <c r="J386" s="36"/>
      <c r="K386" s="36"/>
      <c r="L386" s="36"/>
      <c r="M386" s="36"/>
      <c r="N386" s="36"/>
      <c r="P386" s="59"/>
      <c r="Q386" s="36"/>
      <c r="S386" s="36"/>
      <c r="T386" s="36"/>
      <c r="U386" s="36"/>
      <c r="W386" s="36"/>
      <c r="AB386" s="36"/>
      <c r="AD386" s="36"/>
      <c r="AF386" s="36"/>
      <c r="AH386" s="36"/>
      <c r="AM386" s="40"/>
      <c r="AN386" s="40"/>
    </row>
    <row r="387" spans="1:40" x14ac:dyDescent="0.3">
      <c r="A387" s="70"/>
      <c r="B387" s="70"/>
      <c r="D387" s="40"/>
      <c r="E387" s="40"/>
      <c r="G387" s="40"/>
      <c r="H387" s="40"/>
      <c r="I387" s="36"/>
      <c r="J387" s="36"/>
      <c r="K387" s="36"/>
      <c r="L387" s="36"/>
      <c r="M387" s="36"/>
      <c r="N387" s="36"/>
      <c r="P387" s="59"/>
      <c r="Q387" s="36"/>
      <c r="S387" s="36"/>
      <c r="T387" s="36"/>
      <c r="U387" s="36"/>
      <c r="W387" s="36"/>
      <c r="AB387" s="36"/>
      <c r="AD387" s="36"/>
      <c r="AF387" s="36"/>
      <c r="AH387" s="36"/>
      <c r="AM387" s="40"/>
      <c r="AN387" s="40"/>
    </row>
    <row r="388" spans="1:40" x14ac:dyDescent="0.3">
      <c r="A388" s="70"/>
      <c r="B388" s="70"/>
      <c r="D388" s="40"/>
      <c r="E388" s="40"/>
      <c r="G388" s="40"/>
      <c r="H388" s="40"/>
      <c r="I388" s="36"/>
      <c r="J388" s="36"/>
      <c r="K388" s="36"/>
      <c r="L388" s="36"/>
      <c r="M388" s="36"/>
      <c r="N388" s="36"/>
      <c r="P388" s="59"/>
      <c r="Q388" s="36"/>
      <c r="S388" s="36"/>
      <c r="T388" s="36"/>
      <c r="U388" s="36"/>
      <c r="W388" s="36"/>
      <c r="AB388" s="36"/>
      <c r="AD388" s="36"/>
      <c r="AF388" s="36"/>
      <c r="AH388" s="36"/>
      <c r="AM388" s="40"/>
      <c r="AN388" s="40"/>
    </row>
    <row r="389" spans="1:40" x14ac:dyDescent="0.3">
      <c r="A389" s="70"/>
      <c r="B389" s="70"/>
      <c r="D389" s="40"/>
      <c r="E389" s="40"/>
      <c r="G389" s="40"/>
      <c r="H389" s="40"/>
      <c r="I389" s="36"/>
      <c r="J389" s="36"/>
      <c r="K389" s="36"/>
      <c r="L389" s="36"/>
      <c r="M389" s="36"/>
      <c r="N389" s="36"/>
      <c r="P389" s="59"/>
      <c r="Q389" s="36"/>
      <c r="S389" s="36"/>
      <c r="T389" s="36"/>
      <c r="U389" s="36"/>
      <c r="W389" s="36"/>
      <c r="AB389" s="36"/>
      <c r="AD389" s="36"/>
      <c r="AF389" s="36"/>
      <c r="AH389" s="36"/>
      <c r="AM389" s="40"/>
      <c r="AN389" s="40"/>
    </row>
    <row r="390" spans="1:40" x14ac:dyDescent="0.3">
      <c r="A390" s="70"/>
      <c r="B390" s="70"/>
      <c r="D390" s="40"/>
      <c r="E390" s="40"/>
      <c r="G390" s="40"/>
      <c r="H390" s="40"/>
      <c r="I390" s="36"/>
      <c r="J390" s="36"/>
      <c r="K390" s="36"/>
      <c r="L390" s="36"/>
      <c r="M390" s="36"/>
      <c r="N390" s="36"/>
      <c r="P390" s="59"/>
      <c r="Q390" s="36"/>
      <c r="S390" s="36"/>
      <c r="T390" s="36"/>
      <c r="U390" s="36"/>
      <c r="W390" s="36"/>
      <c r="AB390" s="36"/>
      <c r="AD390" s="36"/>
      <c r="AF390" s="36"/>
      <c r="AH390" s="36"/>
      <c r="AM390" s="40"/>
      <c r="AN390" s="40"/>
    </row>
    <row r="391" spans="1:40" x14ac:dyDescent="0.3">
      <c r="A391" s="70"/>
      <c r="B391" s="70"/>
      <c r="D391" s="40"/>
      <c r="E391" s="40"/>
      <c r="G391" s="40"/>
      <c r="H391" s="40"/>
      <c r="I391" s="36"/>
      <c r="J391" s="36"/>
      <c r="K391" s="36"/>
      <c r="L391" s="36"/>
      <c r="M391" s="36"/>
      <c r="N391" s="36"/>
      <c r="P391" s="59"/>
      <c r="Q391" s="36"/>
      <c r="S391" s="36"/>
      <c r="T391" s="36"/>
      <c r="U391" s="36"/>
      <c r="W391" s="36"/>
      <c r="AB391" s="36"/>
      <c r="AD391" s="36"/>
      <c r="AF391" s="36"/>
      <c r="AH391" s="36"/>
      <c r="AM391" s="40"/>
      <c r="AN391" s="40"/>
    </row>
    <row r="392" spans="1:40" x14ac:dyDescent="0.3">
      <c r="A392" s="70"/>
      <c r="B392" s="70"/>
      <c r="D392" s="40"/>
      <c r="E392" s="40"/>
      <c r="G392" s="40"/>
      <c r="H392" s="40"/>
      <c r="I392" s="36"/>
      <c r="J392" s="36"/>
      <c r="K392" s="36"/>
      <c r="L392" s="36"/>
      <c r="M392" s="36"/>
      <c r="N392" s="36"/>
      <c r="P392" s="59"/>
      <c r="Q392" s="36"/>
      <c r="S392" s="36"/>
      <c r="T392" s="36"/>
      <c r="U392" s="36"/>
      <c r="W392" s="36"/>
      <c r="AB392" s="36"/>
      <c r="AD392" s="36"/>
      <c r="AF392" s="36"/>
      <c r="AH392" s="36"/>
      <c r="AM392" s="40"/>
      <c r="AN392" s="40"/>
    </row>
    <row r="393" spans="1:40" x14ac:dyDescent="0.3">
      <c r="A393" s="70"/>
      <c r="B393" s="70"/>
      <c r="D393" s="40"/>
      <c r="E393" s="40"/>
      <c r="G393" s="40"/>
      <c r="H393" s="40"/>
      <c r="I393" s="36"/>
      <c r="J393" s="36"/>
      <c r="K393" s="36"/>
      <c r="L393" s="36"/>
      <c r="M393" s="36"/>
      <c r="N393" s="36"/>
      <c r="P393" s="59"/>
      <c r="Q393" s="36"/>
      <c r="S393" s="36"/>
      <c r="T393" s="36"/>
      <c r="U393" s="36"/>
      <c r="W393" s="36"/>
      <c r="AB393" s="36"/>
      <c r="AD393" s="36"/>
      <c r="AF393" s="36"/>
      <c r="AH393" s="36"/>
      <c r="AM393" s="40"/>
      <c r="AN393" s="40"/>
    </row>
    <row r="394" spans="1:40" x14ac:dyDescent="0.3">
      <c r="A394" s="70"/>
      <c r="B394" s="70"/>
      <c r="D394" s="40"/>
      <c r="E394" s="40"/>
      <c r="G394" s="40"/>
      <c r="H394" s="40"/>
      <c r="I394" s="36"/>
      <c r="J394" s="36"/>
      <c r="K394" s="36"/>
      <c r="L394" s="36"/>
      <c r="M394" s="36"/>
      <c r="N394" s="36"/>
      <c r="P394" s="59"/>
      <c r="Q394" s="36"/>
      <c r="S394" s="36"/>
      <c r="T394" s="36"/>
      <c r="U394" s="36"/>
      <c r="W394" s="36"/>
      <c r="AB394" s="36"/>
      <c r="AD394" s="36"/>
      <c r="AF394" s="36"/>
      <c r="AH394" s="36"/>
      <c r="AM394" s="40"/>
      <c r="AN394" s="40"/>
    </row>
    <row r="395" spans="1:40" x14ac:dyDescent="0.3">
      <c r="A395" s="70"/>
      <c r="B395" s="70"/>
      <c r="D395" s="40"/>
      <c r="E395" s="40"/>
      <c r="G395" s="40"/>
      <c r="H395" s="40"/>
      <c r="I395" s="36"/>
      <c r="J395" s="36"/>
      <c r="K395" s="36"/>
      <c r="L395" s="36"/>
      <c r="M395" s="36"/>
      <c r="N395" s="36"/>
      <c r="P395" s="59"/>
      <c r="Q395" s="36"/>
      <c r="S395" s="36"/>
      <c r="T395" s="36"/>
      <c r="U395" s="36"/>
      <c r="W395" s="36"/>
      <c r="AB395" s="36"/>
      <c r="AD395" s="36"/>
      <c r="AF395" s="36"/>
      <c r="AH395" s="36"/>
      <c r="AM395" s="40"/>
      <c r="AN395" s="40"/>
    </row>
    <row r="396" spans="1:40" x14ac:dyDescent="0.3">
      <c r="A396" s="70"/>
      <c r="B396" s="70"/>
      <c r="D396" s="40"/>
      <c r="E396" s="40"/>
      <c r="G396" s="40"/>
      <c r="H396" s="40"/>
      <c r="I396" s="36"/>
      <c r="J396" s="36"/>
      <c r="K396" s="36"/>
      <c r="L396" s="36"/>
      <c r="M396" s="36"/>
      <c r="N396" s="36"/>
      <c r="P396" s="59"/>
      <c r="Q396" s="36"/>
      <c r="S396" s="36"/>
      <c r="T396" s="36"/>
      <c r="U396" s="36"/>
      <c r="W396" s="36"/>
      <c r="AB396" s="36"/>
      <c r="AD396" s="36"/>
      <c r="AF396" s="36"/>
      <c r="AH396" s="36"/>
      <c r="AM396" s="40"/>
      <c r="AN396" s="40"/>
    </row>
    <row r="397" spans="1:40" x14ac:dyDescent="0.3">
      <c r="A397" s="70"/>
      <c r="B397" s="70"/>
      <c r="D397" s="40"/>
      <c r="E397" s="40"/>
      <c r="G397" s="40"/>
      <c r="H397" s="40"/>
      <c r="I397" s="36"/>
      <c r="J397" s="36"/>
      <c r="K397" s="36"/>
      <c r="L397" s="36"/>
      <c r="M397" s="36"/>
      <c r="N397" s="36"/>
      <c r="P397" s="59"/>
      <c r="Q397" s="36"/>
      <c r="S397" s="36"/>
      <c r="T397" s="36"/>
      <c r="U397" s="36"/>
      <c r="W397" s="36"/>
      <c r="AB397" s="36"/>
      <c r="AD397" s="36"/>
      <c r="AF397" s="36"/>
      <c r="AH397" s="36"/>
      <c r="AM397" s="40"/>
      <c r="AN397" s="40"/>
    </row>
    <row r="398" spans="1:40" x14ac:dyDescent="0.3">
      <c r="A398" s="70"/>
      <c r="B398" s="70"/>
      <c r="D398" s="40"/>
      <c r="E398" s="40"/>
      <c r="G398" s="40"/>
      <c r="H398" s="40"/>
      <c r="I398" s="36"/>
      <c r="J398" s="36"/>
      <c r="K398" s="36"/>
      <c r="L398" s="36"/>
      <c r="M398" s="36"/>
      <c r="N398" s="36"/>
      <c r="P398" s="59"/>
      <c r="Q398" s="36"/>
      <c r="S398" s="36"/>
      <c r="T398" s="36"/>
      <c r="U398" s="36"/>
      <c r="W398" s="36"/>
      <c r="AB398" s="36"/>
      <c r="AD398" s="36"/>
      <c r="AF398" s="36"/>
      <c r="AH398" s="36"/>
      <c r="AM398" s="40"/>
      <c r="AN398" s="40"/>
    </row>
    <row r="399" spans="1:40" x14ac:dyDescent="0.3">
      <c r="A399" s="70"/>
      <c r="B399" s="70"/>
      <c r="D399" s="40"/>
      <c r="E399" s="40"/>
      <c r="G399" s="40"/>
      <c r="H399" s="40"/>
      <c r="I399" s="36"/>
      <c r="J399" s="36"/>
      <c r="K399" s="36"/>
      <c r="L399" s="36"/>
      <c r="M399" s="36"/>
      <c r="N399" s="36"/>
      <c r="P399" s="59"/>
      <c r="Q399" s="36"/>
      <c r="S399" s="36"/>
      <c r="T399" s="36"/>
      <c r="U399" s="36"/>
      <c r="W399" s="36"/>
      <c r="AB399" s="36"/>
      <c r="AD399" s="36"/>
      <c r="AF399" s="36"/>
      <c r="AH399" s="36"/>
      <c r="AM399" s="40"/>
      <c r="AN399" s="40"/>
    </row>
    <row r="400" spans="1:40" x14ac:dyDescent="0.3">
      <c r="A400" s="70"/>
      <c r="B400" s="70"/>
      <c r="D400" s="40"/>
      <c r="E400" s="40"/>
      <c r="G400" s="40"/>
      <c r="H400" s="40"/>
      <c r="I400" s="36"/>
      <c r="J400" s="36"/>
      <c r="K400" s="36"/>
      <c r="L400" s="36"/>
      <c r="M400" s="36"/>
      <c r="N400" s="36"/>
      <c r="P400" s="59"/>
      <c r="Q400" s="36"/>
      <c r="S400" s="36"/>
      <c r="T400" s="36"/>
      <c r="U400" s="36"/>
      <c r="W400" s="36"/>
      <c r="AB400" s="36"/>
      <c r="AD400" s="36"/>
      <c r="AF400" s="36"/>
      <c r="AH400" s="36"/>
      <c r="AM400" s="40"/>
      <c r="AN400" s="40"/>
    </row>
    <row r="401" spans="1:40" x14ac:dyDescent="0.3">
      <c r="A401" s="70"/>
      <c r="B401" s="70"/>
      <c r="D401" s="40"/>
      <c r="E401" s="40"/>
      <c r="G401" s="40"/>
      <c r="H401" s="40"/>
      <c r="I401" s="36"/>
      <c r="J401" s="36"/>
      <c r="K401" s="36"/>
      <c r="L401" s="36"/>
      <c r="M401" s="36"/>
      <c r="N401" s="36"/>
      <c r="P401" s="59"/>
      <c r="Q401" s="36"/>
      <c r="S401" s="36"/>
      <c r="T401" s="36"/>
      <c r="U401" s="36"/>
      <c r="W401" s="36"/>
      <c r="AB401" s="36"/>
      <c r="AD401" s="36"/>
      <c r="AF401" s="36"/>
      <c r="AH401" s="36"/>
      <c r="AM401" s="40"/>
      <c r="AN401" s="40"/>
    </row>
    <row r="402" spans="1:40" x14ac:dyDescent="0.3">
      <c r="A402" s="70"/>
      <c r="B402" s="70"/>
      <c r="D402" s="40"/>
      <c r="E402" s="40"/>
      <c r="G402" s="40"/>
      <c r="H402" s="40"/>
      <c r="I402" s="36"/>
      <c r="J402" s="36"/>
      <c r="K402" s="36"/>
      <c r="L402" s="36"/>
      <c r="M402" s="36"/>
      <c r="N402" s="36"/>
      <c r="P402" s="59"/>
      <c r="Q402" s="36"/>
      <c r="S402" s="36"/>
      <c r="T402" s="36"/>
      <c r="U402" s="36"/>
      <c r="W402" s="36"/>
      <c r="AB402" s="36"/>
      <c r="AD402" s="36"/>
      <c r="AF402" s="36"/>
      <c r="AH402" s="36"/>
      <c r="AM402" s="40"/>
      <c r="AN402" s="40"/>
    </row>
    <row r="403" spans="1:40" x14ac:dyDescent="0.3">
      <c r="A403" s="70"/>
      <c r="B403" s="70"/>
      <c r="D403" s="40"/>
      <c r="E403" s="40"/>
      <c r="G403" s="40"/>
      <c r="H403" s="40"/>
      <c r="I403" s="36"/>
      <c r="J403" s="36"/>
      <c r="K403" s="36"/>
      <c r="L403" s="36"/>
      <c r="M403" s="36"/>
      <c r="N403" s="36"/>
      <c r="P403" s="59"/>
      <c r="Q403" s="36"/>
      <c r="S403" s="36"/>
      <c r="T403" s="36"/>
      <c r="U403" s="36"/>
      <c r="W403" s="36"/>
      <c r="AB403" s="36"/>
      <c r="AD403" s="36"/>
      <c r="AF403" s="36"/>
      <c r="AH403" s="36"/>
      <c r="AM403" s="40"/>
      <c r="AN403" s="40"/>
    </row>
    <row r="404" spans="1:40" x14ac:dyDescent="0.3">
      <c r="A404" s="70"/>
      <c r="B404" s="70"/>
      <c r="D404" s="40"/>
      <c r="E404" s="40"/>
      <c r="G404" s="40"/>
      <c r="H404" s="40"/>
      <c r="I404" s="36"/>
      <c r="J404" s="36"/>
      <c r="K404" s="36"/>
      <c r="L404" s="36"/>
      <c r="M404" s="36"/>
      <c r="N404" s="36"/>
      <c r="P404" s="59"/>
      <c r="Q404" s="36"/>
      <c r="S404" s="36"/>
      <c r="T404" s="36"/>
      <c r="U404" s="36"/>
      <c r="W404" s="36"/>
      <c r="AB404" s="36"/>
      <c r="AD404" s="36"/>
      <c r="AF404" s="36"/>
      <c r="AH404" s="36"/>
      <c r="AM404" s="40"/>
      <c r="AN404" s="40"/>
    </row>
    <row r="405" spans="1:40" x14ac:dyDescent="0.3">
      <c r="A405" s="70"/>
      <c r="B405" s="70"/>
      <c r="D405" s="40"/>
      <c r="E405" s="40"/>
      <c r="G405" s="40"/>
      <c r="H405" s="40"/>
      <c r="I405" s="36"/>
      <c r="J405" s="36"/>
      <c r="K405" s="36"/>
      <c r="L405" s="36"/>
      <c r="M405" s="36"/>
      <c r="N405" s="36"/>
      <c r="P405" s="59"/>
      <c r="Q405" s="36"/>
      <c r="S405" s="36"/>
      <c r="T405" s="36"/>
      <c r="U405" s="36"/>
      <c r="W405" s="36"/>
      <c r="AB405" s="36"/>
      <c r="AD405" s="36"/>
      <c r="AF405" s="36"/>
      <c r="AH405" s="36"/>
      <c r="AM405" s="40"/>
      <c r="AN405" s="40"/>
    </row>
    <row r="406" spans="1:40" x14ac:dyDescent="0.3">
      <c r="A406" s="70"/>
      <c r="B406" s="70"/>
      <c r="D406" s="40"/>
      <c r="E406" s="40"/>
      <c r="G406" s="40"/>
      <c r="H406" s="40"/>
      <c r="I406" s="36"/>
      <c r="J406" s="36"/>
      <c r="K406" s="36"/>
      <c r="L406" s="36"/>
      <c r="M406" s="36"/>
      <c r="N406" s="36"/>
      <c r="P406" s="59"/>
      <c r="Q406" s="36"/>
      <c r="S406" s="36"/>
      <c r="T406" s="36"/>
      <c r="U406" s="36"/>
      <c r="W406" s="36"/>
      <c r="AB406" s="36"/>
      <c r="AD406" s="36"/>
      <c r="AF406" s="36"/>
      <c r="AH406" s="36"/>
      <c r="AM406" s="40"/>
      <c r="AN406" s="40"/>
    </row>
    <row r="407" spans="1:40" x14ac:dyDescent="0.3">
      <c r="A407" s="70"/>
      <c r="B407" s="70"/>
      <c r="D407" s="40"/>
      <c r="E407" s="40"/>
      <c r="G407" s="40"/>
      <c r="H407" s="40"/>
      <c r="I407" s="36"/>
      <c r="J407" s="36"/>
      <c r="K407" s="36"/>
      <c r="L407" s="36"/>
      <c r="M407" s="36"/>
      <c r="N407" s="36"/>
      <c r="P407" s="59"/>
      <c r="Q407" s="36"/>
      <c r="S407" s="36"/>
      <c r="T407" s="36"/>
      <c r="U407" s="36"/>
      <c r="W407" s="36"/>
      <c r="AB407" s="36"/>
      <c r="AD407" s="36"/>
      <c r="AF407" s="36"/>
      <c r="AH407" s="36"/>
      <c r="AM407" s="40"/>
      <c r="AN407" s="40"/>
    </row>
    <row r="408" spans="1:40" x14ac:dyDescent="0.3">
      <c r="A408" s="70"/>
      <c r="B408" s="70"/>
      <c r="D408" s="40"/>
      <c r="E408" s="40"/>
      <c r="G408" s="40"/>
      <c r="H408" s="40"/>
      <c r="I408" s="36"/>
      <c r="J408" s="36"/>
      <c r="K408" s="36"/>
      <c r="L408" s="36"/>
      <c r="M408" s="36"/>
      <c r="N408" s="36"/>
      <c r="P408" s="59"/>
      <c r="Q408" s="36"/>
      <c r="S408" s="36"/>
      <c r="T408" s="36"/>
      <c r="U408" s="36"/>
      <c r="W408" s="36"/>
      <c r="AB408" s="36"/>
      <c r="AD408" s="36"/>
      <c r="AF408" s="36"/>
      <c r="AH408" s="36"/>
      <c r="AM408" s="40"/>
      <c r="AN408" s="40"/>
    </row>
    <row r="409" spans="1:40" x14ac:dyDescent="0.3">
      <c r="A409" s="70"/>
      <c r="B409" s="70"/>
      <c r="D409" s="40"/>
      <c r="E409" s="40"/>
      <c r="G409" s="40"/>
      <c r="H409" s="40"/>
      <c r="I409" s="36"/>
      <c r="J409" s="36"/>
      <c r="K409" s="36"/>
      <c r="L409" s="36"/>
      <c r="M409" s="36"/>
      <c r="N409" s="36"/>
      <c r="P409" s="59"/>
      <c r="Q409" s="36"/>
      <c r="S409" s="36"/>
      <c r="T409" s="36"/>
      <c r="U409" s="36"/>
      <c r="W409" s="36"/>
      <c r="AB409" s="36"/>
      <c r="AD409" s="36"/>
      <c r="AF409" s="36"/>
      <c r="AH409" s="36"/>
      <c r="AM409" s="40"/>
      <c r="AN409" s="40"/>
    </row>
    <row r="410" spans="1:40" x14ac:dyDescent="0.3">
      <c r="A410" s="70"/>
      <c r="B410" s="70"/>
      <c r="D410" s="40"/>
      <c r="E410" s="40"/>
      <c r="G410" s="40"/>
      <c r="H410" s="40"/>
      <c r="I410" s="36"/>
      <c r="J410" s="36"/>
      <c r="K410" s="36"/>
      <c r="L410" s="36"/>
      <c r="M410" s="36"/>
      <c r="N410" s="36"/>
      <c r="P410" s="59"/>
      <c r="Q410" s="36"/>
      <c r="S410" s="36"/>
      <c r="T410" s="36"/>
      <c r="U410" s="36"/>
      <c r="W410" s="36"/>
      <c r="AB410" s="36"/>
      <c r="AD410" s="36"/>
      <c r="AF410" s="36"/>
      <c r="AH410" s="36"/>
      <c r="AM410" s="40"/>
      <c r="AN410" s="40"/>
    </row>
    <row r="411" spans="1:40" x14ac:dyDescent="0.3">
      <c r="A411" s="70"/>
      <c r="B411" s="70"/>
      <c r="D411" s="40"/>
      <c r="E411" s="40"/>
      <c r="G411" s="40"/>
      <c r="H411" s="40"/>
      <c r="I411" s="36"/>
      <c r="J411" s="36"/>
      <c r="K411" s="36"/>
      <c r="L411" s="36"/>
      <c r="M411" s="36"/>
      <c r="N411" s="36"/>
      <c r="P411" s="59"/>
      <c r="Q411" s="36"/>
      <c r="S411" s="36"/>
      <c r="T411" s="36"/>
      <c r="U411" s="36"/>
      <c r="W411" s="36"/>
      <c r="AB411" s="36"/>
      <c r="AD411" s="36"/>
      <c r="AF411" s="36"/>
      <c r="AH411" s="36"/>
      <c r="AM411" s="40"/>
      <c r="AN411" s="40"/>
    </row>
    <row r="412" spans="1:40" x14ac:dyDescent="0.3">
      <c r="A412" s="70"/>
      <c r="B412" s="70"/>
      <c r="D412" s="40"/>
      <c r="E412" s="40"/>
      <c r="G412" s="40"/>
      <c r="H412" s="40"/>
      <c r="I412" s="36"/>
      <c r="J412" s="36"/>
      <c r="K412" s="36"/>
      <c r="L412" s="36"/>
      <c r="M412" s="36"/>
      <c r="N412" s="36"/>
      <c r="P412" s="59"/>
      <c r="Q412" s="36"/>
      <c r="S412" s="36"/>
      <c r="T412" s="36"/>
      <c r="U412" s="36"/>
      <c r="W412" s="36"/>
      <c r="AB412" s="36"/>
      <c r="AD412" s="36"/>
      <c r="AF412" s="36"/>
      <c r="AH412" s="36"/>
      <c r="AM412" s="40"/>
      <c r="AN412" s="40"/>
    </row>
    <row r="413" spans="1:40" x14ac:dyDescent="0.3">
      <c r="A413" s="70"/>
      <c r="B413" s="70"/>
      <c r="D413" s="40"/>
      <c r="E413" s="40"/>
      <c r="G413" s="40"/>
      <c r="H413" s="40"/>
      <c r="I413" s="36"/>
      <c r="J413" s="36"/>
      <c r="K413" s="36"/>
      <c r="L413" s="36"/>
      <c r="M413" s="36"/>
      <c r="N413" s="36"/>
      <c r="P413" s="59"/>
      <c r="Q413" s="36"/>
      <c r="S413" s="36"/>
      <c r="T413" s="36"/>
      <c r="U413" s="36"/>
      <c r="W413" s="36"/>
      <c r="AB413" s="36"/>
      <c r="AD413" s="36"/>
      <c r="AF413" s="36"/>
      <c r="AH413" s="36"/>
      <c r="AM413" s="40"/>
      <c r="AN413" s="40"/>
    </row>
    <row r="414" spans="1:40" x14ac:dyDescent="0.3">
      <c r="A414" s="70"/>
      <c r="B414" s="70"/>
      <c r="D414" s="40"/>
      <c r="E414" s="40"/>
      <c r="G414" s="40"/>
      <c r="H414" s="40"/>
      <c r="I414" s="36"/>
      <c r="J414" s="36"/>
      <c r="K414" s="36"/>
      <c r="L414" s="36"/>
      <c r="M414" s="36"/>
      <c r="N414" s="36"/>
      <c r="P414" s="59"/>
      <c r="Q414" s="36"/>
      <c r="S414" s="36"/>
      <c r="T414" s="36"/>
      <c r="U414" s="36"/>
      <c r="W414" s="36"/>
      <c r="AB414" s="36"/>
      <c r="AD414" s="36"/>
      <c r="AF414" s="36"/>
      <c r="AH414" s="36"/>
      <c r="AM414" s="40"/>
      <c r="AN414" s="40"/>
    </row>
    <row r="415" spans="1:40" x14ac:dyDescent="0.3">
      <c r="A415" s="70"/>
      <c r="B415" s="70"/>
      <c r="D415" s="40"/>
      <c r="E415" s="40"/>
      <c r="G415" s="40"/>
      <c r="H415" s="40"/>
      <c r="I415" s="36"/>
      <c r="J415" s="36"/>
      <c r="K415" s="36"/>
      <c r="L415" s="36"/>
      <c r="M415" s="36"/>
      <c r="N415" s="36"/>
      <c r="P415" s="59"/>
      <c r="Q415" s="36"/>
      <c r="S415" s="36"/>
      <c r="T415" s="36"/>
      <c r="U415" s="36"/>
      <c r="W415" s="36"/>
      <c r="AB415" s="36"/>
      <c r="AD415" s="36"/>
      <c r="AF415" s="36"/>
      <c r="AH415" s="36"/>
      <c r="AM415" s="40"/>
      <c r="AN415" s="40"/>
    </row>
    <row r="416" spans="1:40" x14ac:dyDescent="0.3">
      <c r="A416" s="70"/>
      <c r="B416" s="70"/>
      <c r="D416" s="40"/>
      <c r="E416" s="40"/>
      <c r="G416" s="40"/>
      <c r="H416" s="40"/>
      <c r="I416" s="36"/>
      <c r="J416" s="36"/>
      <c r="K416" s="36"/>
      <c r="L416" s="36"/>
      <c r="M416" s="36"/>
      <c r="N416" s="36"/>
      <c r="P416" s="59"/>
      <c r="Q416" s="36"/>
      <c r="S416" s="36"/>
      <c r="T416" s="36"/>
      <c r="U416" s="36"/>
      <c r="W416" s="36"/>
      <c r="AB416" s="36"/>
      <c r="AD416" s="36"/>
      <c r="AF416" s="36"/>
      <c r="AH416" s="36"/>
      <c r="AM416" s="40"/>
      <c r="AN416" s="40"/>
    </row>
    <row r="417" spans="1:40" x14ac:dyDescent="0.3">
      <c r="A417" s="70"/>
      <c r="B417" s="70"/>
      <c r="D417" s="40"/>
      <c r="E417" s="40"/>
      <c r="G417" s="40"/>
      <c r="H417" s="40"/>
      <c r="I417" s="36"/>
      <c r="J417" s="36"/>
      <c r="K417" s="36"/>
      <c r="L417" s="36"/>
      <c r="M417" s="36"/>
      <c r="N417" s="36"/>
      <c r="P417" s="59"/>
      <c r="Q417" s="36"/>
      <c r="S417" s="36"/>
      <c r="T417" s="36"/>
      <c r="U417" s="36"/>
      <c r="W417" s="36"/>
      <c r="AB417" s="36"/>
      <c r="AD417" s="36"/>
      <c r="AF417" s="36"/>
      <c r="AH417" s="36"/>
      <c r="AM417" s="40"/>
      <c r="AN417" s="40"/>
    </row>
    <row r="418" spans="1:40" x14ac:dyDescent="0.3">
      <c r="A418" s="70"/>
      <c r="B418" s="70"/>
      <c r="D418" s="40"/>
      <c r="E418" s="40"/>
      <c r="G418" s="40"/>
      <c r="H418" s="40"/>
      <c r="I418" s="36"/>
      <c r="J418" s="36"/>
      <c r="K418" s="36"/>
      <c r="L418" s="36"/>
      <c r="M418" s="36"/>
      <c r="N418" s="36"/>
      <c r="P418" s="59"/>
      <c r="Q418" s="36"/>
      <c r="S418" s="36"/>
      <c r="T418" s="36"/>
      <c r="U418" s="36"/>
      <c r="W418" s="36"/>
      <c r="AB418" s="36"/>
      <c r="AD418" s="36"/>
      <c r="AF418" s="36"/>
      <c r="AH418" s="36"/>
      <c r="AM418" s="40"/>
      <c r="AN418" s="40"/>
    </row>
    <row r="419" spans="1:40" x14ac:dyDescent="0.3">
      <c r="A419" s="70"/>
      <c r="B419" s="70"/>
      <c r="D419" s="40"/>
      <c r="E419" s="40"/>
      <c r="G419" s="40"/>
      <c r="H419" s="40"/>
      <c r="I419" s="36"/>
      <c r="J419" s="36"/>
      <c r="K419" s="36"/>
      <c r="L419" s="36"/>
      <c r="M419" s="36"/>
      <c r="N419" s="36"/>
      <c r="P419" s="59"/>
      <c r="Q419" s="36"/>
      <c r="S419" s="36"/>
      <c r="T419" s="36"/>
      <c r="U419" s="36"/>
      <c r="W419" s="36"/>
      <c r="AB419" s="36"/>
      <c r="AD419" s="36"/>
      <c r="AF419" s="36"/>
      <c r="AH419" s="36"/>
      <c r="AM419" s="40"/>
      <c r="AN419" s="40"/>
    </row>
    <row r="420" spans="1:40" x14ac:dyDescent="0.3">
      <c r="A420" s="70"/>
      <c r="B420" s="70"/>
      <c r="D420" s="40"/>
      <c r="E420" s="40"/>
      <c r="G420" s="40"/>
      <c r="H420" s="40"/>
      <c r="I420" s="36"/>
      <c r="J420" s="36"/>
      <c r="K420" s="36"/>
      <c r="L420" s="36"/>
      <c r="M420" s="36"/>
      <c r="N420" s="36"/>
      <c r="P420" s="59"/>
      <c r="Q420" s="36"/>
      <c r="S420" s="36"/>
      <c r="T420" s="36"/>
      <c r="U420" s="36"/>
      <c r="W420" s="36"/>
      <c r="AB420" s="36"/>
      <c r="AD420" s="36"/>
      <c r="AF420" s="36"/>
      <c r="AH420" s="36"/>
      <c r="AM420" s="40"/>
      <c r="AN420" s="40"/>
    </row>
    <row r="421" spans="1:40" x14ac:dyDescent="0.3">
      <c r="A421" s="70"/>
      <c r="B421" s="70"/>
      <c r="D421" s="40"/>
      <c r="E421" s="40"/>
      <c r="G421" s="40"/>
      <c r="H421" s="40"/>
      <c r="I421" s="36"/>
      <c r="J421" s="36"/>
      <c r="K421" s="36"/>
      <c r="L421" s="36"/>
      <c r="M421" s="36"/>
      <c r="N421" s="36"/>
      <c r="P421" s="59"/>
      <c r="Q421" s="36"/>
      <c r="S421" s="36"/>
      <c r="T421" s="36"/>
      <c r="U421" s="36"/>
      <c r="W421" s="36"/>
      <c r="AB421" s="36"/>
      <c r="AD421" s="36"/>
      <c r="AF421" s="36"/>
      <c r="AH421" s="36"/>
      <c r="AM421" s="40"/>
      <c r="AN421" s="40"/>
    </row>
    <row r="422" spans="1:40" x14ac:dyDescent="0.3">
      <c r="A422" s="70"/>
      <c r="B422" s="70"/>
      <c r="D422" s="40"/>
      <c r="E422" s="40"/>
      <c r="G422" s="40"/>
      <c r="H422" s="40"/>
      <c r="I422" s="36"/>
      <c r="J422" s="36"/>
      <c r="K422" s="36"/>
      <c r="L422" s="36"/>
      <c r="M422" s="36"/>
      <c r="N422" s="36"/>
      <c r="P422" s="59"/>
      <c r="Q422" s="36"/>
      <c r="S422" s="36"/>
      <c r="T422" s="36"/>
      <c r="U422" s="36"/>
      <c r="W422" s="36"/>
      <c r="AB422" s="36"/>
      <c r="AD422" s="36"/>
      <c r="AF422" s="36"/>
      <c r="AH422" s="36"/>
      <c r="AM422" s="40"/>
      <c r="AN422" s="40"/>
    </row>
    <row r="423" spans="1:40" x14ac:dyDescent="0.3">
      <c r="A423" s="70"/>
      <c r="B423" s="70"/>
      <c r="D423" s="40"/>
      <c r="E423" s="40"/>
      <c r="G423" s="40"/>
      <c r="H423" s="40"/>
      <c r="I423" s="36"/>
      <c r="J423" s="36"/>
      <c r="K423" s="36"/>
      <c r="L423" s="36"/>
      <c r="M423" s="36"/>
      <c r="N423" s="36"/>
      <c r="P423" s="59"/>
      <c r="Q423" s="36"/>
      <c r="S423" s="36"/>
      <c r="T423" s="36"/>
      <c r="U423" s="36"/>
      <c r="W423" s="36"/>
      <c r="AB423" s="36"/>
      <c r="AD423" s="36"/>
      <c r="AF423" s="36"/>
      <c r="AH423" s="36"/>
      <c r="AM423" s="40"/>
      <c r="AN423" s="40"/>
    </row>
    <row r="424" spans="1:40" x14ac:dyDescent="0.3">
      <c r="A424" s="70"/>
      <c r="B424" s="70"/>
      <c r="D424" s="40"/>
      <c r="E424" s="40"/>
      <c r="G424" s="40"/>
      <c r="H424" s="40"/>
      <c r="I424" s="36"/>
      <c r="J424" s="36"/>
      <c r="K424" s="36"/>
      <c r="L424" s="36"/>
      <c r="M424" s="36"/>
      <c r="N424" s="36"/>
      <c r="P424" s="59"/>
      <c r="Q424" s="36"/>
      <c r="S424" s="36"/>
      <c r="T424" s="36"/>
      <c r="U424" s="36"/>
      <c r="W424" s="36"/>
      <c r="AB424" s="36"/>
      <c r="AD424" s="36"/>
      <c r="AF424" s="36"/>
      <c r="AH424" s="36"/>
      <c r="AM424" s="40"/>
      <c r="AN424" s="40"/>
    </row>
    <row r="425" spans="1:40" x14ac:dyDescent="0.3">
      <c r="A425" s="70"/>
      <c r="B425" s="70"/>
      <c r="D425" s="40"/>
      <c r="E425" s="40"/>
      <c r="G425" s="40"/>
      <c r="H425" s="40"/>
      <c r="I425" s="36"/>
      <c r="J425" s="36"/>
      <c r="K425" s="36"/>
      <c r="L425" s="36"/>
      <c r="M425" s="36"/>
      <c r="N425" s="36"/>
      <c r="P425" s="59"/>
      <c r="Q425" s="36"/>
      <c r="S425" s="36"/>
      <c r="T425" s="36"/>
      <c r="U425" s="36"/>
      <c r="W425" s="36"/>
      <c r="AB425" s="36"/>
      <c r="AD425" s="36"/>
      <c r="AF425" s="36"/>
      <c r="AH425" s="36"/>
      <c r="AM425" s="40"/>
      <c r="AN425" s="40"/>
    </row>
    <row r="426" spans="1:40" x14ac:dyDescent="0.3">
      <c r="A426" s="70"/>
      <c r="B426" s="70"/>
      <c r="D426" s="40"/>
      <c r="E426" s="40"/>
      <c r="G426" s="40"/>
      <c r="H426" s="40"/>
      <c r="I426" s="36"/>
      <c r="J426" s="36"/>
      <c r="K426" s="36"/>
      <c r="L426" s="36"/>
      <c r="M426" s="36"/>
      <c r="N426" s="36"/>
      <c r="P426" s="59"/>
      <c r="Q426" s="36"/>
      <c r="S426" s="36"/>
      <c r="T426" s="36"/>
      <c r="U426" s="36"/>
      <c r="W426" s="36"/>
      <c r="AB426" s="36"/>
      <c r="AD426" s="36"/>
      <c r="AF426" s="36"/>
      <c r="AH426" s="36"/>
      <c r="AM426" s="40"/>
      <c r="AN426" s="40"/>
    </row>
    <row r="427" spans="1:40" x14ac:dyDescent="0.3">
      <c r="A427" s="70"/>
      <c r="B427" s="70"/>
      <c r="D427" s="40"/>
      <c r="E427" s="40"/>
      <c r="G427" s="40"/>
      <c r="H427" s="40"/>
      <c r="I427" s="36"/>
      <c r="J427" s="36"/>
      <c r="K427" s="36"/>
      <c r="L427" s="36"/>
      <c r="M427" s="36"/>
      <c r="N427" s="36"/>
      <c r="P427" s="59"/>
      <c r="Q427" s="36"/>
      <c r="S427" s="36"/>
      <c r="T427" s="36"/>
      <c r="U427" s="36"/>
      <c r="W427" s="36"/>
      <c r="AB427" s="36"/>
      <c r="AD427" s="36"/>
      <c r="AF427" s="36"/>
      <c r="AH427" s="36"/>
      <c r="AM427" s="40"/>
      <c r="AN427" s="40"/>
    </row>
    <row r="428" spans="1:40" x14ac:dyDescent="0.3">
      <c r="A428" s="70"/>
      <c r="B428" s="70"/>
      <c r="D428" s="40"/>
      <c r="E428" s="40"/>
      <c r="G428" s="40"/>
      <c r="H428" s="40"/>
      <c r="I428" s="36"/>
      <c r="J428" s="36"/>
      <c r="K428" s="36"/>
      <c r="L428" s="36"/>
      <c r="M428" s="36"/>
      <c r="N428" s="36"/>
      <c r="P428" s="59"/>
      <c r="Q428" s="36"/>
      <c r="S428" s="36"/>
      <c r="T428" s="36"/>
      <c r="U428" s="36"/>
      <c r="W428" s="36"/>
      <c r="AB428" s="36"/>
      <c r="AD428" s="36"/>
      <c r="AF428" s="36"/>
      <c r="AH428" s="36"/>
      <c r="AM428" s="40"/>
      <c r="AN428" s="40"/>
    </row>
    <row r="429" spans="1:40" x14ac:dyDescent="0.3">
      <c r="A429" s="70"/>
      <c r="B429" s="70"/>
      <c r="D429" s="40"/>
      <c r="E429" s="40"/>
      <c r="G429" s="40"/>
      <c r="H429" s="40"/>
      <c r="I429" s="36"/>
      <c r="J429" s="36"/>
      <c r="K429" s="36"/>
      <c r="L429" s="36"/>
      <c r="M429" s="36"/>
      <c r="N429" s="36"/>
      <c r="P429" s="59"/>
      <c r="Q429" s="36"/>
      <c r="S429" s="36"/>
      <c r="T429" s="36"/>
      <c r="U429" s="36"/>
      <c r="W429" s="36"/>
      <c r="AB429" s="36"/>
      <c r="AD429" s="36"/>
      <c r="AF429" s="36"/>
      <c r="AH429" s="36"/>
      <c r="AM429" s="40"/>
      <c r="AN429" s="40"/>
    </row>
    <row r="430" spans="1:40" x14ac:dyDescent="0.3">
      <c r="A430" s="70"/>
      <c r="B430" s="70"/>
      <c r="D430" s="40"/>
      <c r="E430" s="40"/>
      <c r="G430" s="40"/>
      <c r="H430" s="40"/>
      <c r="I430" s="36"/>
      <c r="J430" s="36"/>
      <c r="K430" s="36"/>
      <c r="L430" s="36"/>
      <c r="M430" s="36"/>
      <c r="N430" s="36"/>
      <c r="P430" s="59"/>
      <c r="Q430" s="36"/>
      <c r="S430" s="36"/>
      <c r="T430" s="36"/>
      <c r="U430" s="36"/>
      <c r="W430" s="36"/>
      <c r="AB430" s="36"/>
      <c r="AD430" s="36"/>
      <c r="AF430" s="36"/>
      <c r="AH430" s="36"/>
      <c r="AM430" s="40"/>
      <c r="AN430" s="40"/>
    </row>
    <row r="431" spans="1:40" x14ac:dyDescent="0.3">
      <c r="A431" s="70"/>
      <c r="B431" s="70"/>
      <c r="D431" s="40"/>
      <c r="E431" s="40"/>
      <c r="G431" s="40"/>
      <c r="H431" s="40"/>
      <c r="I431" s="36"/>
      <c r="J431" s="36"/>
      <c r="K431" s="36"/>
      <c r="L431" s="36"/>
      <c r="M431" s="36"/>
      <c r="N431" s="36"/>
      <c r="P431" s="59"/>
      <c r="Q431" s="36"/>
      <c r="S431" s="36"/>
      <c r="T431" s="36"/>
      <c r="U431" s="36"/>
      <c r="W431" s="36"/>
      <c r="AB431" s="36"/>
      <c r="AD431" s="36"/>
      <c r="AF431" s="36"/>
      <c r="AH431" s="36"/>
      <c r="AM431" s="40"/>
      <c r="AN431" s="40"/>
    </row>
    <row r="432" spans="1:40" x14ac:dyDescent="0.3">
      <c r="A432" s="70"/>
      <c r="B432" s="70"/>
      <c r="D432" s="40"/>
      <c r="E432" s="40"/>
      <c r="G432" s="40"/>
      <c r="H432" s="40"/>
      <c r="I432" s="36"/>
      <c r="J432" s="36"/>
      <c r="K432" s="36"/>
      <c r="L432" s="36"/>
      <c r="M432" s="36"/>
      <c r="N432" s="36"/>
      <c r="P432" s="59"/>
      <c r="Q432" s="36"/>
      <c r="S432" s="36"/>
      <c r="T432" s="36"/>
      <c r="U432" s="36"/>
      <c r="W432" s="36"/>
      <c r="AB432" s="36"/>
      <c r="AD432" s="36"/>
      <c r="AF432" s="36"/>
      <c r="AH432" s="36"/>
      <c r="AM432" s="40"/>
      <c r="AN432" s="40"/>
    </row>
    <row r="433" spans="1:40" x14ac:dyDescent="0.3">
      <c r="A433" s="70"/>
      <c r="B433" s="70"/>
      <c r="D433" s="40"/>
      <c r="E433" s="40"/>
      <c r="G433" s="40"/>
      <c r="H433" s="40"/>
      <c r="I433" s="36"/>
      <c r="J433" s="36"/>
      <c r="K433" s="36"/>
      <c r="L433" s="36"/>
      <c r="M433" s="36"/>
      <c r="N433" s="36"/>
      <c r="P433" s="59"/>
      <c r="Q433" s="36"/>
      <c r="S433" s="36"/>
      <c r="T433" s="36"/>
      <c r="U433" s="36"/>
      <c r="W433" s="36"/>
      <c r="AD433" s="36"/>
      <c r="AF433" s="36"/>
      <c r="AH433" s="36"/>
      <c r="AM433" s="40"/>
      <c r="AN433" s="40"/>
    </row>
    <row r="434" spans="1:40" x14ac:dyDescent="0.3">
      <c r="A434" s="70"/>
      <c r="B434" s="70"/>
      <c r="D434" s="40"/>
      <c r="E434" s="40"/>
      <c r="G434" s="40"/>
      <c r="H434" s="40"/>
      <c r="I434" s="36"/>
      <c r="J434" s="36"/>
      <c r="K434" s="36"/>
      <c r="L434" s="36"/>
      <c r="M434" s="36"/>
      <c r="N434" s="36"/>
      <c r="P434" s="59"/>
      <c r="Q434" s="36"/>
      <c r="S434" s="36"/>
      <c r="T434" s="36"/>
      <c r="U434" s="36"/>
      <c r="W434" s="36"/>
      <c r="AD434" s="36"/>
      <c r="AF434" s="36"/>
      <c r="AH434" s="36"/>
      <c r="AM434" s="40"/>
      <c r="AN434" s="40"/>
    </row>
    <row r="435" spans="1:40" x14ac:dyDescent="0.3">
      <c r="A435" s="70"/>
      <c r="B435" s="70"/>
      <c r="D435" s="40"/>
      <c r="E435" s="40"/>
      <c r="G435" s="40"/>
      <c r="H435" s="40"/>
      <c r="I435" s="36"/>
      <c r="J435" s="36"/>
      <c r="K435" s="36"/>
      <c r="L435" s="36"/>
      <c r="M435" s="36"/>
      <c r="N435" s="36"/>
      <c r="P435" s="59"/>
      <c r="Q435" s="36"/>
      <c r="S435" s="36"/>
      <c r="T435" s="36"/>
      <c r="U435" s="36"/>
      <c r="W435" s="36"/>
      <c r="AD435" s="36"/>
      <c r="AF435" s="36"/>
      <c r="AH435" s="36"/>
      <c r="AM435" s="40"/>
      <c r="AN435" s="40"/>
    </row>
    <row r="436" spans="1:40" x14ac:dyDescent="0.3">
      <c r="A436" s="70"/>
      <c r="B436" s="70"/>
      <c r="D436" s="40"/>
      <c r="E436" s="40"/>
      <c r="G436" s="40"/>
      <c r="H436" s="40"/>
      <c r="I436" s="36"/>
      <c r="J436" s="36"/>
      <c r="K436" s="36"/>
      <c r="L436" s="36"/>
      <c r="M436" s="36"/>
      <c r="N436" s="36"/>
      <c r="P436" s="59"/>
      <c r="Q436" s="36"/>
      <c r="S436" s="36"/>
      <c r="T436" s="36"/>
      <c r="U436" s="36"/>
      <c r="W436" s="36"/>
      <c r="AD436" s="36"/>
      <c r="AF436" s="36"/>
      <c r="AH436" s="36"/>
      <c r="AM436" s="40"/>
      <c r="AN436" s="40"/>
    </row>
    <row r="437" spans="1:40" x14ac:dyDescent="0.3">
      <c r="A437" s="70"/>
      <c r="B437" s="70"/>
      <c r="D437" s="40"/>
      <c r="E437" s="40"/>
      <c r="G437" s="40"/>
      <c r="H437" s="40"/>
      <c r="I437" s="36"/>
      <c r="J437" s="36"/>
      <c r="K437" s="36"/>
      <c r="L437" s="36"/>
      <c r="M437" s="36"/>
      <c r="N437" s="36"/>
      <c r="P437" s="59"/>
      <c r="Q437" s="36"/>
      <c r="S437" s="36"/>
      <c r="T437" s="36"/>
      <c r="U437" s="36"/>
      <c r="W437" s="36"/>
      <c r="AD437" s="36"/>
      <c r="AF437" s="36"/>
      <c r="AH437" s="36"/>
      <c r="AM437" s="40"/>
      <c r="AN437" s="40"/>
    </row>
    <row r="438" spans="1:40" x14ac:dyDescent="0.3">
      <c r="A438" s="70"/>
      <c r="B438" s="70"/>
      <c r="D438" s="40"/>
      <c r="E438" s="40"/>
      <c r="G438" s="40"/>
      <c r="H438" s="40"/>
      <c r="I438" s="36"/>
      <c r="J438" s="36"/>
      <c r="K438" s="36"/>
      <c r="L438" s="36"/>
      <c r="M438" s="36"/>
      <c r="N438" s="36"/>
      <c r="P438" s="59"/>
      <c r="Q438" s="36"/>
      <c r="S438" s="36"/>
      <c r="T438" s="36"/>
      <c r="U438" s="36"/>
      <c r="W438" s="36"/>
      <c r="AD438" s="36"/>
      <c r="AF438" s="36"/>
      <c r="AH438" s="36"/>
      <c r="AM438" s="40"/>
      <c r="AN438" s="40"/>
    </row>
    <row r="439" spans="1:40" x14ac:dyDescent="0.3">
      <c r="A439" s="70"/>
      <c r="B439" s="70"/>
      <c r="D439" s="40"/>
      <c r="E439" s="40"/>
      <c r="G439" s="40"/>
      <c r="H439" s="40"/>
      <c r="I439" s="36"/>
      <c r="J439" s="36"/>
      <c r="K439" s="36"/>
      <c r="L439" s="36"/>
      <c r="M439" s="36"/>
      <c r="N439" s="36"/>
      <c r="P439" s="59"/>
      <c r="Q439" s="36"/>
      <c r="S439" s="36"/>
      <c r="T439" s="36"/>
      <c r="U439" s="36"/>
      <c r="W439" s="36"/>
      <c r="AD439" s="36"/>
      <c r="AF439" s="36"/>
      <c r="AH439" s="36"/>
      <c r="AM439" s="40"/>
      <c r="AN439" s="40"/>
    </row>
    <row r="440" spans="1:40" x14ac:dyDescent="0.3">
      <c r="A440" s="70"/>
      <c r="B440" s="70"/>
      <c r="D440" s="40"/>
      <c r="E440" s="40"/>
      <c r="G440" s="40"/>
      <c r="H440" s="40"/>
      <c r="I440" s="36"/>
      <c r="J440" s="36"/>
      <c r="K440" s="36"/>
      <c r="L440" s="36"/>
      <c r="M440" s="36"/>
      <c r="N440" s="36"/>
      <c r="P440" s="59"/>
      <c r="Q440" s="36"/>
      <c r="S440" s="36"/>
      <c r="T440" s="36"/>
      <c r="U440" s="36"/>
      <c r="W440" s="36"/>
      <c r="AD440" s="36"/>
      <c r="AF440" s="36"/>
      <c r="AH440" s="36"/>
      <c r="AM440" s="40"/>
      <c r="AN440" s="40"/>
    </row>
    <row r="441" spans="1:40" x14ac:dyDescent="0.3">
      <c r="A441" s="70"/>
      <c r="B441" s="70"/>
      <c r="D441" s="40"/>
      <c r="E441" s="40"/>
      <c r="G441" s="40"/>
      <c r="H441" s="40"/>
      <c r="I441" s="36"/>
      <c r="J441" s="36"/>
      <c r="K441" s="36"/>
      <c r="L441" s="36"/>
      <c r="M441" s="36"/>
      <c r="N441" s="36"/>
      <c r="P441" s="59"/>
      <c r="Q441" s="36"/>
      <c r="S441" s="36"/>
      <c r="T441" s="36"/>
      <c r="U441" s="36"/>
      <c r="W441" s="36"/>
      <c r="AD441" s="36"/>
      <c r="AF441" s="36"/>
      <c r="AH441" s="36"/>
      <c r="AM441" s="40"/>
      <c r="AN441" s="40"/>
    </row>
    <row r="442" spans="1:40" x14ac:dyDescent="0.3">
      <c r="A442" s="70"/>
      <c r="B442" s="70"/>
      <c r="D442" s="40"/>
      <c r="E442" s="40"/>
      <c r="G442" s="40"/>
      <c r="H442" s="40"/>
      <c r="I442" s="36"/>
      <c r="J442" s="36"/>
      <c r="K442" s="36"/>
      <c r="L442" s="36"/>
      <c r="M442" s="36"/>
      <c r="N442" s="36"/>
      <c r="P442" s="59"/>
      <c r="Q442" s="36"/>
      <c r="S442" s="36"/>
      <c r="T442" s="36"/>
      <c r="U442" s="36"/>
      <c r="W442" s="36"/>
      <c r="AD442" s="36"/>
      <c r="AF442" s="36"/>
      <c r="AH442" s="36"/>
      <c r="AM442" s="40"/>
      <c r="AN442" s="40"/>
    </row>
    <row r="443" spans="1:40" x14ac:dyDescent="0.3">
      <c r="A443" s="70"/>
      <c r="B443" s="70"/>
      <c r="D443" s="40"/>
      <c r="E443" s="40"/>
      <c r="G443" s="40"/>
      <c r="H443" s="40"/>
      <c r="I443" s="36"/>
      <c r="J443" s="36"/>
      <c r="K443" s="36"/>
      <c r="L443" s="36"/>
      <c r="M443" s="36"/>
      <c r="N443" s="36"/>
      <c r="P443" s="59"/>
      <c r="Q443" s="36"/>
      <c r="S443" s="36"/>
      <c r="T443" s="36"/>
      <c r="U443" s="36"/>
      <c r="W443" s="36"/>
      <c r="AD443" s="36"/>
      <c r="AF443" s="36"/>
      <c r="AH443" s="36"/>
      <c r="AM443" s="40"/>
      <c r="AN443" s="40"/>
    </row>
    <row r="444" spans="1:40" x14ac:dyDescent="0.3">
      <c r="A444" s="70"/>
      <c r="B444" s="70"/>
      <c r="D444" s="40"/>
      <c r="E444" s="40"/>
      <c r="G444" s="40"/>
      <c r="H444" s="40"/>
      <c r="I444" s="36"/>
      <c r="J444" s="36"/>
      <c r="K444" s="36"/>
      <c r="L444" s="36"/>
      <c r="M444" s="36"/>
      <c r="N444" s="36"/>
      <c r="P444" s="59"/>
      <c r="Q444" s="36"/>
      <c r="S444" s="36"/>
      <c r="T444" s="36"/>
      <c r="U444" s="36"/>
      <c r="W444" s="36"/>
      <c r="AD444" s="36"/>
      <c r="AF444" s="36"/>
      <c r="AH444" s="36"/>
      <c r="AM444" s="40"/>
      <c r="AN444" s="40"/>
    </row>
    <row r="445" spans="1:40" x14ac:dyDescent="0.3">
      <c r="A445" s="70"/>
      <c r="B445" s="70"/>
      <c r="D445" s="40"/>
      <c r="E445" s="40"/>
      <c r="G445" s="40"/>
      <c r="H445" s="40"/>
      <c r="I445" s="36"/>
      <c r="J445" s="36"/>
      <c r="K445" s="36"/>
      <c r="L445" s="36"/>
      <c r="M445" s="36"/>
      <c r="N445" s="36"/>
      <c r="P445" s="59"/>
      <c r="Q445" s="36"/>
      <c r="S445" s="36"/>
      <c r="T445" s="36"/>
      <c r="U445" s="36"/>
      <c r="W445" s="36"/>
      <c r="AD445" s="36"/>
      <c r="AF445" s="36"/>
      <c r="AH445" s="36"/>
      <c r="AM445" s="40"/>
      <c r="AN445" s="40"/>
    </row>
    <row r="446" spans="1:40" x14ac:dyDescent="0.3">
      <c r="A446" s="70"/>
      <c r="B446" s="70"/>
      <c r="D446" s="40"/>
      <c r="E446" s="40"/>
      <c r="G446" s="40"/>
      <c r="H446" s="40"/>
      <c r="I446" s="36"/>
      <c r="J446" s="36"/>
      <c r="K446" s="36"/>
      <c r="L446" s="36"/>
      <c r="M446" s="36"/>
      <c r="N446" s="36"/>
      <c r="P446" s="59"/>
      <c r="Q446" s="36"/>
      <c r="S446" s="36"/>
      <c r="T446" s="36"/>
      <c r="U446" s="36"/>
      <c r="W446" s="36"/>
      <c r="AD446" s="36"/>
      <c r="AF446" s="36"/>
      <c r="AH446" s="36"/>
      <c r="AM446" s="40"/>
      <c r="AN446" s="40"/>
    </row>
    <row r="447" spans="1:40" x14ac:dyDescent="0.3">
      <c r="A447" s="70"/>
      <c r="B447" s="70"/>
      <c r="D447" s="40"/>
      <c r="E447" s="40"/>
      <c r="G447" s="40"/>
      <c r="H447" s="40"/>
      <c r="I447" s="36"/>
      <c r="J447" s="36"/>
      <c r="K447" s="36"/>
      <c r="L447" s="36"/>
      <c r="M447" s="36"/>
      <c r="N447" s="36"/>
      <c r="P447" s="59"/>
      <c r="Q447" s="36"/>
      <c r="S447" s="36"/>
      <c r="T447" s="36"/>
      <c r="U447" s="36"/>
      <c r="W447" s="36"/>
      <c r="AD447" s="36"/>
      <c r="AF447" s="36"/>
      <c r="AH447" s="36"/>
      <c r="AM447" s="40"/>
      <c r="AN447" s="40"/>
    </row>
    <row r="448" spans="1:40" x14ac:dyDescent="0.3">
      <c r="A448" s="70"/>
      <c r="B448" s="70"/>
      <c r="D448" s="40"/>
      <c r="E448" s="40"/>
      <c r="G448" s="40"/>
      <c r="H448" s="40"/>
      <c r="I448" s="36"/>
      <c r="J448" s="36"/>
      <c r="K448" s="36"/>
      <c r="L448" s="36"/>
      <c r="M448" s="36"/>
      <c r="N448" s="36"/>
      <c r="P448" s="59"/>
      <c r="Q448" s="36"/>
      <c r="S448" s="36"/>
      <c r="T448" s="36"/>
      <c r="U448" s="36"/>
      <c r="W448" s="36"/>
      <c r="AD448" s="36"/>
      <c r="AF448" s="36"/>
      <c r="AH448" s="36"/>
      <c r="AM448" s="40"/>
      <c r="AN448" s="40"/>
    </row>
    <row r="449" spans="1:40" x14ac:dyDescent="0.3">
      <c r="A449" s="70"/>
      <c r="B449" s="70"/>
      <c r="D449" s="40"/>
      <c r="E449" s="40"/>
      <c r="G449" s="40"/>
      <c r="H449" s="40"/>
      <c r="I449" s="36"/>
      <c r="J449" s="36"/>
      <c r="K449" s="36"/>
      <c r="L449" s="36"/>
      <c r="M449" s="36"/>
      <c r="N449" s="36"/>
      <c r="P449" s="59"/>
      <c r="Q449" s="36"/>
      <c r="S449" s="36"/>
      <c r="T449" s="36"/>
      <c r="U449" s="36"/>
      <c r="W449" s="36"/>
      <c r="AD449" s="36"/>
      <c r="AF449" s="36"/>
      <c r="AH449" s="36"/>
      <c r="AM449" s="40"/>
      <c r="AN449" s="40"/>
    </row>
    <row r="450" spans="1:40" x14ac:dyDescent="0.3">
      <c r="A450" s="70"/>
      <c r="B450" s="70"/>
      <c r="D450" s="40"/>
      <c r="E450" s="40"/>
      <c r="G450" s="40"/>
      <c r="H450" s="40"/>
      <c r="I450" s="36"/>
      <c r="J450" s="36"/>
      <c r="K450" s="36"/>
      <c r="L450" s="36"/>
      <c r="M450" s="36"/>
      <c r="N450" s="36"/>
      <c r="P450" s="59"/>
      <c r="Q450" s="36"/>
      <c r="S450" s="36"/>
      <c r="T450" s="36"/>
      <c r="U450" s="36"/>
      <c r="W450" s="36"/>
      <c r="AD450" s="36"/>
      <c r="AF450" s="36"/>
      <c r="AH450" s="36"/>
      <c r="AM450" s="40"/>
      <c r="AN450" s="40"/>
    </row>
    <row r="451" spans="1:40" x14ac:dyDescent="0.3">
      <c r="A451" s="70"/>
      <c r="B451" s="70"/>
      <c r="D451" s="40"/>
      <c r="E451" s="40"/>
      <c r="G451" s="40"/>
      <c r="H451" s="40"/>
      <c r="I451" s="36"/>
      <c r="J451" s="36"/>
      <c r="K451" s="36"/>
      <c r="L451" s="36"/>
      <c r="M451" s="36"/>
      <c r="N451" s="36"/>
      <c r="P451" s="59"/>
      <c r="Q451" s="36"/>
      <c r="S451" s="36"/>
      <c r="T451" s="36"/>
      <c r="U451" s="36"/>
      <c r="W451" s="36"/>
      <c r="AD451" s="36"/>
      <c r="AF451" s="36"/>
      <c r="AH451" s="36"/>
      <c r="AM451" s="40"/>
      <c r="AN451" s="40"/>
    </row>
    <row r="452" spans="1:40" x14ac:dyDescent="0.3">
      <c r="A452" s="70"/>
      <c r="B452" s="70"/>
      <c r="D452" s="40"/>
      <c r="E452" s="40"/>
      <c r="G452" s="40"/>
      <c r="H452" s="40"/>
      <c r="I452" s="36"/>
      <c r="J452" s="36"/>
      <c r="K452" s="36"/>
      <c r="L452" s="36"/>
      <c r="M452" s="36"/>
      <c r="N452" s="36"/>
      <c r="P452" s="59"/>
      <c r="Q452" s="36"/>
      <c r="S452" s="36"/>
      <c r="T452" s="36"/>
      <c r="U452" s="36"/>
      <c r="W452" s="36"/>
      <c r="AD452" s="36"/>
      <c r="AF452" s="36"/>
      <c r="AH452" s="36"/>
      <c r="AM452" s="40"/>
      <c r="AN452" s="40"/>
    </row>
    <row r="453" spans="1:40" x14ac:dyDescent="0.3">
      <c r="A453" s="70"/>
      <c r="B453" s="70"/>
      <c r="D453" s="40"/>
      <c r="E453" s="40"/>
      <c r="G453" s="40"/>
      <c r="H453" s="40"/>
      <c r="I453" s="36"/>
      <c r="J453" s="36"/>
      <c r="K453" s="36"/>
      <c r="L453" s="36"/>
      <c r="M453" s="36"/>
      <c r="N453" s="36"/>
      <c r="P453" s="59"/>
      <c r="Q453" s="36"/>
      <c r="S453" s="36"/>
      <c r="T453" s="36"/>
      <c r="U453" s="36"/>
      <c r="W453" s="36"/>
      <c r="AD453" s="36"/>
      <c r="AF453" s="36"/>
      <c r="AH453" s="36"/>
      <c r="AM453" s="40"/>
      <c r="AN453" s="40"/>
    </row>
    <row r="454" spans="1:40" x14ac:dyDescent="0.3">
      <c r="A454" s="70"/>
      <c r="B454" s="70"/>
      <c r="D454" s="40"/>
      <c r="E454" s="40"/>
      <c r="G454" s="40"/>
      <c r="H454" s="40"/>
      <c r="I454" s="36"/>
      <c r="J454" s="36"/>
      <c r="K454" s="36"/>
      <c r="L454" s="36"/>
      <c r="M454" s="36"/>
      <c r="N454" s="36"/>
      <c r="P454" s="59"/>
      <c r="Q454" s="36"/>
      <c r="S454" s="36"/>
      <c r="T454" s="36"/>
      <c r="U454" s="36"/>
      <c r="W454" s="36"/>
      <c r="AD454" s="36"/>
      <c r="AF454" s="36"/>
      <c r="AH454" s="36"/>
      <c r="AM454" s="40"/>
      <c r="AN454" s="40"/>
    </row>
    <row r="455" spans="1:40" x14ac:dyDescent="0.3">
      <c r="A455" s="70"/>
      <c r="B455" s="70"/>
      <c r="D455" s="40"/>
      <c r="E455" s="40"/>
      <c r="G455" s="40"/>
      <c r="H455" s="40"/>
      <c r="I455" s="36"/>
      <c r="J455" s="36"/>
      <c r="K455" s="36"/>
      <c r="L455" s="36"/>
      <c r="M455" s="36"/>
      <c r="N455" s="36"/>
      <c r="P455" s="59"/>
      <c r="Q455" s="36"/>
      <c r="S455" s="36"/>
      <c r="T455" s="36"/>
      <c r="U455" s="36"/>
      <c r="W455" s="36"/>
      <c r="AD455" s="36"/>
      <c r="AF455" s="36"/>
      <c r="AH455" s="36"/>
      <c r="AM455" s="40"/>
      <c r="AN455" s="40"/>
    </row>
    <row r="456" spans="1:40" x14ac:dyDescent="0.3">
      <c r="A456" s="70"/>
      <c r="B456" s="70"/>
      <c r="D456" s="40"/>
      <c r="E456" s="40"/>
      <c r="G456" s="40"/>
      <c r="H456" s="40"/>
      <c r="I456" s="36"/>
      <c r="J456" s="36"/>
      <c r="K456" s="36"/>
      <c r="L456" s="36"/>
      <c r="M456" s="36"/>
      <c r="N456" s="36"/>
      <c r="P456" s="59"/>
      <c r="Q456" s="36"/>
      <c r="S456" s="36"/>
      <c r="T456" s="36"/>
      <c r="U456" s="36"/>
      <c r="W456" s="36"/>
      <c r="AD456" s="36"/>
      <c r="AF456" s="36"/>
      <c r="AH456" s="36"/>
      <c r="AM456" s="40"/>
      <c r="AN456" s="40"/>
    </row>
    <row r="457" spans="1:40" x14ac:dyDescent="0.3">
      <c r="A457" s="70"/>
      <c r="B457" s="70"/>
      <c r="D457" s="40"/>
      <c r="E457" s="40"/>
      <c r="G457" s="40"/>
      <c r="H457" s="40"/>
      <c r="I457" s="36"/>
      <c r="J457" s="36"/>
      <c r="K457" s="36"/>
      <c r="L457" s="36"/>
      <c r="M457" s="36"/>
      <c r="N457" s="36"/>
      <c r="P457" s="59"/>
      <c r="Q457" s="36"/>
      <c r="S457" s="36"/>
      <c r="T457" s="36"/>
      <c r="U457" s="36"/>
      <c r="W457" s="36"/>
      <c r="AD457" s="36"/>
      <c r="AF457" s="36"/>
      <c r="AH457" s="36"/>
      <c r="AM457" s="40"/>
      <c r="AN457" s="40"/>
    </row>
    <row r="458" spans="1:40" x14ac:dyDescent="0.3">
      <c r="A458" s="70"/>
      <c r="B458" s="70"/>
      <c r="D458" s="40"/>
      <c r="E458" s="40"/>
      <c r="G458" s="40"/>
      <c r="H458" s="40"/>
      <c r="I458" s="36"/>
      <c r="J458" s="36"/>
      <c r="K458" s="36"/>
      <c r="L458" s="36"/>
      <c r="M458" s="36"/>
      <c r="N458" s="36"/>
      <c r="P458" s="59"/>
      <c r="Q458" s="36"/>
      <c r="S458" s="36"/>
      <c r="T458" s="36"/>
      <c r="U458" s="36"/>
      <c r="W458" s="36"/>
      <c r="AD458" s="36"/>
      <c r="AF458" s="36"/>
      <c r="AH458" s="36"/>
      <c r="AM458" s="40"/>
      <c r="AN458" s="40"/>
    </row>
    <row r="459" spans="1:40" x14ac:dyDescent="0.3">
      <c r="A459" s="70"/>
      <c r="B459" s="70"/>
      <c r="D459" s="40"/>
      <c r="E459" s="40"/>
      <c r="G459" s="40"/>
      <c r="H459" s="40"/>
      <c r="I459" s="36"/>
      <c r="J459" s="36"/>
      <c r="K459" s="36"/>
      <c r="L459" s="36"/>
      <c r="M459" s="36"/>
      <c r="N459" s="36"/>
      <c r="P459" s="59"/>
      <c r="Q459" s="36"/>
      <c r="S459" s="36"/>
      <c r="T459" s="36"/>
      <c r="U459" s="36"/>
      <c r="W459" s="36"/>
      <c r="AD459" s="36"/>
      <c r="AF459" s="36"/>
      <c r="AH459" s="36"/>
      <c r="AM459" s="40"/>
      <c r="AN459" s="40"/>
    </row>
    <row r="460" spans="1:40" x14ac:dyDescent="0.3">
      <c r="A460" s="70"/>
      <c r="B460" s="70"/>
      <c r="D460" s="40"/>
      <c r="E460" s="40"/>
      <c r="G460" s="40"/>
      <c r="H460" s="40"/>
      <c r="I460" s="36"/>
      <c r="J460" s="36"/>
      <c r="K460" s="36"/>
      <c r="L460" s="36"/>
      <c r="M460" s="36"/>
      <c r="N460" s="36"/>
      <c r="P460" s="59"/>
      <c r="Q460" s="36"/>
      <c r="S460" s="36"/>
      <c r="T460" s="36"/>
      <c r="U460" s="36"/>
      <c r="W460" s="36"/>
      <c r="AD460" s="36"/>
      <c r="AF460" s="36"/>
      <c r="AH460" s="36"/>
      <c r="AM460" s="40"/>
      <c r="AN460" s="40"/>
    </row>
    <row r="461" spans="1:40" x14ac:dyDescent="0.3">
      <c r="A461" s="70"/>
      <c r="B461" s="70"/>
      <c r="D461" s="40"/>
      <c r="E461" s="40"/>
      <c r="G461" s="40"/>
      <c r="H461" s="40"/>
      <c r="I461" s="36"/>
      <c r="J461" s="36"/>
      <c r="K461" s="36"/>
      <c r="L461" s="36"/>
      <c r="M461" s="36"/>
      <c r="N461" s="36"/>
      <c r="P461" s="59"/>
      <c r="Q461" s="36"/>
      <c r="S461" s="36"/>
      <c r="T461" s="36"/>
      <c r="U461" s="36"/>
      <c r="W461" s="36"/>
      <c r="AD461" s="36"/>
      <c r="AF461" s="36"/>
      <c r="AH461" s="36"/>
      <c r="AM461" s="40"/>
      <c r="AN461" s="40"/>
    </row>
    <row r="462" spans="1:40" x14ac:dyDescent="0.3">
      <c r="A462" s="70"/>
      <c r="B462" s="70"/>
      <c r="D462" s="40"/>
      <c r="E462" s="40"/>
      <c r="G462" s="40"/>
      <c r="H462" s="40"/>
      <c r="I462" s="36"/>
      <c r="J462" s="36"/>
      <c r="K462" s="36"/>
      <c r="L462" s="36"/>
      <c r="M462" s="36"/>
      <c r="N462" s="36"/>
      <c r="P462" s="59"/>
      <c r="Q462" s="36"/>
      <c r="S462" s="36"/>
      <c r="T462" s="36"/>
      <c r="U462" s="36"/>
      <c r="W462" s="36"/>
      <c r="AD462" s="36"/>
      <c r="AF462" s="36"/>
      <c r="AH462" s="36"/>
      <c r="AM462" s="40"/>
      <c r="AN462" s="40"/>
    </row>
    <row r="463" spans="1:40" x14ac:dyDescent="0.3">
      <c r="A463" s="70"/>
      <c r="B463" s="70"/>
      <c r="D463" s="40"/>
      <c r="E463" s="40"/>
      <c r="G463" s="40"/>
      <c r="H463" s="40"/>
      <c r="I463" s="36"/>
      <c r="J463" s="36"/>
      <c r="K463" s="36"/>
      <c r="L463" s="36"/>
      <c r="M463" s="36"/>
      <c r="N463" s="36"/>
      <c r="P463" s="59"/>
      <c r="Q463" s="36"/>
      <c r="S463" s="36"/>
      <c r="T463" s="36"/>
      <c r="U463" s="36"/>
      <c r="W463" s="36"/>
      <c r="AD463" s="36"/>
      <c r="AF463" s="36"/>
      <c r="AH463" s="36"/>
      <c r="AM463" s="40"/>
      <c r="AN463" s="40"/>
    </row>
    <row r="464" spans="1:40" x14ac:dyDescent="0.3">
      <c r="A464" s="70"/>
      <c r="B464" s="70"/>
      <c r="D464" s="40"/>
      <c r="E464" s="40"/>
      <c r="G464" s="40"/>
      <c r="H464" s="40"/>
      <c r="I464" s="36"/>
      <c r="J464" s="36"/>
      <c r="K464" s="36"/>
      <c r="L464" s="36"/>
      <c r="M464" s="36"/>
      <c r="N464" s="36"/>
      <c r="P464" s="59"/>
      <c r="Q464" s="36"/>
      <c r="S464" s="36"/>
      <c r="T464" s="36"/>
      <c r="U464" s="36"/>
      <c r="W464" s="36"/>
      <c r="AD464" s="36"/>
      <c r="AF464" s="36"/>
      <c r="AH464" s="36"/>
      <c r="AM464" s="40"/>
      <c r="AN464" s="40"/>
    </row>
    <row r="465" spans="1:40" x14ac:dyDescent="0.3">
      <c r="A465" s="70"/>
      <c r="B465" s="70"/>
      <c r="D465" s="40"/>
      <c r="E465" s="40"/>
      <c r="G465" s="40"/>
      <c r="H465" s="40"/>
      <c r="I465" s="36"/>
      <c r="J465" s="36"/>
      <c r="K465" s="36"/>
      <c r="L465" s="36"/>
      <c r="M465" s="36"/>
      <c r="N465" s="36"/>
      <c r="P465" s="59"/>
      <c r="Q465" s="36"/>
      <c r="S465" s="36"/>
      <c r="T465" s="36"/>
      <c r="U465" s="36"/>
      <c r="W465" s="36"/>
      <c r="AD465" s="36"/>
      <c r="AF465" s="36"/>
      <c r="AH465" s="36"/>
      <c r="AM465" s="40"/>
      <c r="AN465" s="40"/>
    </row>
    <row r="466" spans="1:40" x14ac:dyDescent="0.3">
      <c r="A466" s="70"/>
      <c r="B466" s="70"/>
      <c r="D466" s="40"/>
      <c r="E466" s="40"/>
      <c r="G466" s="40"/>
      <c r="H466" s="40"/>
      <c r="I466" s="36"/>
      <c r="J466" s="36"/>
      <c r="K466" s="36"/>
      <c r="L466" s="36"/>
      <c r="M466" s="36"/>
      <c r="N466" s="36"/>
      <c r="P466" s="59"/>
      <c r="Q466" s="36"/>
      <c r="S466" s="36"/>
      <c r="T466" s="36"/>
      <c r="U466" s="36"/>
      <c r="W466" s="36"/>
      <c r="AD466" s="36"/>
      <c r="AF466" s="36"/>
      <c r="AH466" s="36"/>
      <c r="AM466" s="40"/>
      <c r="AN466" s="40"/>
    </row>
    <row r="467" spans="1:40" x14ac:dyDescent="0.3">
      <c r="A467" s="70"/>
      <c r="B467" s="70"/>
      <c r="D467" s="40"/>
      <c r="E467" s="40"/>
      <c r="G467" s="40"/>
      <c r="H467" s="40"/>
      <c r="I467" s="36"/>
      <c r="J467" s="36"/>
      <c r="K467" s="36"/>
      <c r="L467" s="36"/>
      <c r="M467" s="36"/>
      <c r="N467" s="36"/>
      <c r="P467" s="59"/>
      <c r="Q467" s="36"/>
      <c r="S467" s="36"/>
      <c r="T467" s="36"/>
      <c r="U467" s="36"/>
      <c r="W467" s="36"/>
      <c r="AD467" s="36"/>
      <c r="AF467" s="36"/>
      <c r="AH467" s="36"/>
      <c r="AM467" s="40"/>
      <c r="AN467" s="40"/>
    </row>
    <row r="468" spans="1:40" x14ac:dyDescent="0.3">
      <c r="A468" s="70"/>
      <c r="B468" s="70"/>
      <c r="D468" s="40"/>
      <c r="E468" s="40"/>
      <c r="G468" s="40"/>
      <c r="H468" s="40"/>
      <c r="I468" s="36"/>
      <c r="J468" s="36"/>
      <c r="K468" s="36"/>
      <c r="L468" s="36"/>
      <c r="M468" s="36"/>
      <c r="N468" s="36"/>
      <c r="P468" s="59"/>
      <c r="Q468" s="36"/>
      <c r="S468" s="36"/>
      <c r="T468" s="36"/>
      <c r="U468" s="36"/>
      <c r="W468" s="36"/>
      <c r="AD468" s="36"/>
      <c r="AF468" s="36"/>
      <c r="AH468" s="36"/>
      <c r="AM468" s="40"/>
      <c r="AN468" s="40"/>
    </row>
    <row r="469" spans="1:40" x14ac:dyDescent="0.3">
      <c r="A469" s="70"/>
      <c r="B469" s="70"/>
      <c r="D469" s="40"/>
      <c r="E469" s="40"/>
      <c r="G469" s="40"/>
      <c r="H469" s="40"/>
      <c r="I469" s="36"/>
      <c r="J469" s="36"/>
      <c r="K469" s="36"/>
      <c r="L469" s="36"/>
      <c r="M469" s="36"/>
      <c r="N469" s="36"/>
      <c r="P469" s="59"/>
      <c r="Q469" s="36"/>
      <c r="S469" s="36"/>
      <c r="T469" s="36"/>
      <c r="U469" s="36"/>
      <c r="W469" s="36"/>
      <c r="AD469" s="36"/>
      <c r="AF469" s="36"/>
      <c r="AH469" s="36"/>
      <c r="AM469" s="40"/>
      <c r="AN469" s="40"/>
    </row>
    <row r="470" spans="1:40" x14ac:dyDescent="0.3">
      <c r="A470" s="70"/>
      <c r="B470" s="70"/>
      <c r="D470" s="40"/>
      <c r="E470" s="40"/>
      <c r="G470" s="40"/>
      <c r="H470" s="40"/>
      <c r="I470" s="36"/>
      <c r="J470" s="36"/>
      <c r="K470" s="36"/>
      <c r="L470" s="36"/>
      <c r="M470" s="36"/>
      <c r="N470" s="36"/>
      <c r="P470" s="59"/>
      <c r="Q470" s="36"/>
      <c r="S470" s="36"/>
      <c r="T470" s="36"/>
      <c r="U470" s="36"/>
      <c r="W470" s="36"/>
      <c r="AD470" s="36"/>
      <c r="AF470" s="36"/>
      <c r="AH470" s="36"/>
      <c r="AM470" s="40"/>
      <c r="AN470" s="40"/>
    </row>
    <row r="471" spans="1:40" x14ac:dyDescent="0.3">
      <c r="A471" s="70"/>
      <c r="B471" s="70"/>
      <c r="D471" s="40"/>
      <c r="E471" s="40"/>
      <c r="G471" s="40"/>
      <c r="H471" s="40"/>
      <c r="I471" s="36"/>
      <c r="J471" s="36"/>
      <c r="K471" s="36"/>
      <c r="L471" s="36"/>
      <c r="M471" s="36"/>
      <c r="N471" s="36"/>
      <c r="P471" s="59"/>
      <c r="Q471" s="36"/>
      <c r="S471" s="36"/>
      <c r="T471" s="36"/>
      <c r="U471" s="36"/>
      <c r="W471" s="36"/>
      <c r="AD471" s="36"/>
      <c r="AF471" s="36"/>
      <c r="AH471" s="36"/>
      <c r="AM471" s="40"/>
      <c r="AN471" s="40"/>
    </row>
    <row r="472" spans="1:40" x14ac:dyDescent="0.3">
      <c r="A472" s="70"/>
      <c r="B472" s="70"/>
      <c r="D472" s="40"/>
      <c r="E472" s="40"/>
      <c r="G472" s="40"/>
      <c r="H472" s="40"/>
      <c r="I472" s="36"/>
      <c r="J472" s="36"/>
      <c r="K472" s="36"/>
      <c r="L472" s="36"/>
      <c r="M472" s="36"/>
      <c r="N472" s="36"/>
      <c r="P472" s="59"/>
      <c r="Q472" s="36"/>
      <c r="S472" s="36"/>
      <c r="T472" s="36"/>
      <c r="U472" s="36"/>
      <c r="W472" s="36"/>
      <c r="AD472" s="36"/>
      <c r="AF472" s="36"/>
      <c r="AH472" s="36"/>
      <c r="AM472" s="40"/>
      <c r="AN472" s="40"/>
    </row>
    <row r="473" spans="1:40" x14ac:dyDescent="0.3">
      <c r="A473" s="70"/>
      <c r="B473" s="70"/>
      <c r="D473" s="40"/>
      <c r="E473" s="40"/>
      <c r="G473" s="40"/>
      <c r="H473" s="40"/>
      <c r="I473" s="36"/>
      <c r="J473" s="36"/>
      <c r="K473" s="36"/>
      <c r="L473" s="36"/>
      <c r="M473" s="36"/>
      <c r="N473" s="36"/>
      <c r="P473" s="59"/>
      <c r="Q473" s="36"/>
      <c r="S473" s="36"/>
      <c r="T473" s="36"/>
      <c r="U473" s="36"/>
      <c r="W473" s="36"/>
      <c r="AD473" s="36"/>
      <c r="AF473" s="36"/>
      <c r="AH473" s="36"/>
      <c r="AM473" s="40"/>
      <c r="AN473" s="40"/>
    </row>
    <row r="474" spans="1:40" x14ac:dyDescent="0.3">
      <c r="A474" s="70"/>
      <c r="B474" s="70"/>
      <c r="D474" s="40"/>
      <c r="E474" s="40"/>
      <c r="G474" s="40"/>
      <c r="H474" s="40"/>
      <c r="I474" s="36"/>
      <c r="J474" s="36"/>
      <c r="K474" s="36"/>
      <c r="L474" s="36"/>
      <c r="M474" s="36"/>
      <c r="N474" s="36"/>
      <c r="P474" s="59"/>
      <c r="Q474" s="36"/>
      <c r="S474" s="36"/>
      <c r="T474" s="36"/>
      <c r="U474" s="36"/>
      <c r="W474" s="36"/>
      <c r="AD474" s="36"/>
      <c r="AF474" s="36"/>
      <c r="AH474" s="36"/>
      <c r="AM474" s="40"/>
      <c r="AN474" s="40"/>
    </row>
    <row r="475" spans="1:40" x14ac:dyDescent="0.3">
      <c r="A475" s="70"/>
      <c r="B475" s="70"/>
      <c r="D475" s="40"/>
      <c r="E475" s="40"/>
      <c r="G475" s="40"/>
      <c r="H475" s="40"/>
      <c r="I475" s="36"/>
      <c r="J475" s="36"/>
      <c r="K475" s="36"/>
      <c r="L475" s="36"/>
      <c r="M475" s="36"/>
      <c r="N475" s="36"/>
      <c r="P475" s="59"/>
      <c r="Q475" s="36"/>
      <c r="S475" s="36"/>
      <c r="T475" s="36"/>
      <c r="U475" s="36"/>
      <c r="W475" s="36"/>
      <c r="AD475" s="36"/>
      <c r="AF475" s="36"/>
      <c r="AH475" s="36"/>
      <c r="AM475" s="40"/>
      <c r="AN475" s="40"/>
    </row>
    <row r="476" spans="1:40" x14ac:dyDescent="0.3">
      <c r="A476" s="70"/>
      <c r="B476" s="70"/>
      <c r="D476" s="40"/>
      <c r="E476" s="40"/>
      <c r="G476" s="40"/>
      <c r="H476" s="40"/>
      <c r="I476" s="36"/>
      <c r="J476" s="36"/>
      <c r="K476" s="36"/>
      <c r="L476" s="36"/>
      <c r="M476" s="36"/>
      <c r="N476" s="36"/>
      <c r="P476" s="59"/>
      <c r="Q476" s="36"/>
      <c r="S476" s="36"/>
      <c r="T476" s="36"/>
      <c r="U476" s="36"/>
      <c r="W476" s="36"/>
      <c r="AD476" s="36"/>
      <c r="AF476" s="36"/>
      <c r="AH476" s="36"/>
      <c r="AM476" s="40"/>
      <c r="AN476" s="40"/>
    </row>
    <row r="477" spans="1:40" x14ac:dyDescent="0.3">
      <c r="A477" s="70"/>
      <c r="B477" s="70"/>
      <c r="D477" s="40"/>
      <c r="E477" s="40"/>
      <c r="G477" s="40"/>
      <c r="H477" s="40"/>
      <c r="I477" s="36"/>
      <c r="J477" s="36"/>
      <c r="K477" s="36"/>
      <c r="L477" s="36"/>
      <c r="M477" s="36"/>
      <c r="N477" s="36"/>
      <c r="P477" s="59"/>
      <c r="Q477" s="36"/>
      <c r="S477" s="36"/>
      <c r="T477" s="36"/>
      <c r="U477" s="36"/>
      <c r="W477" s="36"/>
      <c r="AD477" s="36"/>
      <c r="AF477" s="36"/>
      <c r="AH477" s="36"/>
      <c r="AM477" s="40"/>
      <c r="AN477" s="40"/>
    </row>
    <row r="478" spans="1:40" x14ac:dyDescent="0.3">
      <c r="A478" s="70"/>
      <c r="B478" s="70"/>
      <c r="D478" s="40"/>
      <c r="E478" s="40"/>
      <c r="G478" s="40"/>
      <c r="H478" s="40"/>
      <c r="I478" s="36"/>
      <c r="J478" s="36"/>
      <c r="K478" s="36"/>
      <c r="L478" s="36"/>
      <c r="M478" s="36"/>
      <c r="N478" s="36"/>
      <c r="P478" s="59"/>
      <c r="Q478" s="36"/>
      <c r="S478" s="36"/>
      <c r="T478" s="36"/>
      <c r="U478" s="36"/>
      <c r="W478" s="36"/>
      <c r="AD478" s="36"/>
      <c r="AF478" s="36"/>
      <c r="AH478" s="36"/>
      <c r="AM478" s="40"/>
      <c r="AN478" s="40"/>
    </row>
    <row r="479" spans="1:40" x14ac:dyDescent="0.3">
      <c r="A479" s="70"/>
      <c r="B479" s="70"/>
      <c r="D479" s="40"/>
      <c r="E479" s="40"/>
      <c r="G479" s="40"/>
      <c r="H479" s="40"/>
      <c r="I479" s="36"/>
      <c r="J479" s="36"/>
      <c r="K479" s="36"/>
      <c r="L479" s="36"/>
      <c r="M479" s="36"/>
      <c r="N479" s="36"/>
      <c r="P479" s="59"/>
      <c r="Q479" s="36"/>
      <c r="S479" s="36"/>
      <c r="T479" s="36"/>
      <c r="U479" s="36"/>
      <c r="W479" s="36"/>
      <c r="AD479" s="36"/>
      <c r="AF479" s="36"/>
      <c r="AH479" s="36"/>
      <c r="AM479" s="40"/>
      <c r="AN479" s="40"/>
    </row>
    <row r="480" spans="1:40" x14ac:dyDescent="0.3">
      <c r="A480" s="70"/>
      <c r="B480" s="70"/>
      <c r="D480" s="40"/>
      <c r="E480" s="40"/>
      <c r="G480" s="40"/>
      <c r="H480" s="40"/>
      <c r="I480" s="36"/>
      <c r="J480" s="36"/>
      <c r="K480" s="36"/>
      <c r="L480" s="36"/>
      <c r="M480" s="36"/>
      <c r="N480" s="36"/>
      <c r="P480" s="59"/>
      <c r="Q480" s="36"/>
      <c r="S480" s="36"/>
      <c r="T480" s="36"/>
      <c r="U480" s="36"/>
      <c r="W480" s="36"/>
      <c r="AD480" s="36"/>
      <c r="AF480" s="36"/>
      <c r="AH480" s="36"/>
      <c r="AM480" s="40"/>
      <c r="AN480" s="40"/>
    </row>
    <row r="481" spans="1:40" x14ac:dyDescent="0.3">
      <c r="A481" s="70"/>
      <c r="B481" s="70"/>
      <c r="D481" s="40"/>
      <c r="E481" s="40"/>
      <c r="G481" s="40"/>
      <c r="H481" s="40"/>
      <c r="I481" s="36"/>
      <c r="J481" s="36"/>
      <c r="K481" s="36"/>
      <c r="L481" s="36"/>
      <c r="M481" s="36"/>
      <c r="N481" s="36"/>
      <c r="P481" s="59"/>
      <c r="Q481" s="36"/>
      <c r="S481" s="36"/>
      <c r="T481" s="36"/>
      <c r="U481" s="36"/>
      <c r="W481" s="36"/>
      <c r="AD481" s="36"/>
      <c r="AF481" s="36"/>
      <c r="AH481" s="36"/>
      <c r="AM481" s="40"/>
      <c r="AN481" s="40"/>
    </row>
    <row r="482" spans="1:40" x14ac:dyDescent="0.3">
      <c r="A482" s="70"/>
      <c r="B482" s="70"/>
      <c r="D482" s="40"/>
      <c r="E482" s="40"/>
      <c r="G482" s="40"/>
      <c r="H482" s="40"/>
      <c r="I482" s="36"/>
      <c r="J482" s="36"/>
      <c r="K482" s="36"/>
      <c r="L482" s="36"/>
      <c r="M482" s="36"/>
      <c r="N482" s="36"/>
      <c r="P482" s="59"/>
      <c r="Q482" s="36"/>
      <c r="S482" s="36"/>
      <c r="T482" s="36"/>
      <c r="U482" s="36"/>
      <c r="W482" s="36"/>
      <c r="AD482" s="36"/>
      <c r="AF482" s="36"/>
      <c r="AH482" s="36"/>
      <c r="AM482" s="40"/>
      <c r="AN482" s="40"/>
    </row>
    <row r="483" spans="1:40" x14ac:dyDescent="0.3">
      <c r="A483" s="70"/>
      <c r="B483" s="70"/>
      <c r="D483" s="40"/>
      <c r="E483" s="40"/>
      <c r="G483" s="40"/>
      <c r="H483" s="40"/>
      <c r="I483" s="36"/>
      <c r="J483" s="36"/>
      <c r="K483" s="36"/>
      <c r="L483" s="36"/>
      <c r="M483" s="36"/>
      <c r="N483" s="36"/>
      <c r="P483" s="59"/>
      <c r="Q483" s="36"/>
      <c r="S483" s="36"/>
      <c r="T483" s="36"/>
      <c r="U483" s="36"/>
      <c r="W483" s="36"/>
      <c r="AD483" s="36"/>
      <c r="AF483" s="36"/>
      <c r="AH483" s="36"/>
      <c r="AM483" s="40"/>
      <c r="AN483" s="40"/>
    </row>
    <row r="484" spans="1:40" x14ac:dyDescent="0.3">
      <c r="A484" s="70"/>
      <c r="B484" s="70"/>
      <c r="D484" s="40"/>
      <c r="E484" s="40"/>
      <c r="G484" s="40"/>
      <c r="H484" s="40"/>
      <c r="I484" s="36"/>
      <c r="J484" s="36"/>
      <c r="K484" s="36"/>
      <c r="L484" s="36"/>
      <c r="M484" s="36"/>
      <c r="N484" s="36"/>
      <c r="P484" s="59"/>
      <c r="Q484" s="36"/>
      <c r="S484" s="36"/>
      <c r="T484" s="36"/>
      <c r="U484" s="36"/>
      <c r="W484" s="36"/>
      <c r="AD484" s="36"/>
      <c r="AF484" s="36"/>
      <c r="AH484" s="36"/>
      <c r="AM484" s="40"/>
      <c r="AN484" s="40"/>
    </row>
    <row r="485" spans="1:40" x14ac:dyDescent="0.3">
      <c r="A485" s="70"/>
      <c r="B485" s="70"/>
      <c r="D485" s="40"/>
      <c r="E485" s="40"/>
      <c r="G485" s="40"/>
      <c r="H485" s="40"/>
      <c r="I485" s="36"/>
      <c r="J485" s="36"/>
      <c r="K485" s="36"/>
      <c r="L485" s="36"/>
      <c r="M485" s="36"/>
      <c r="N485" s="36"/>
      <c r="P485" s="59"/>
      <c r="Q485" s="36"/>
      <c r="S485" s="36"/>
      <c r="T485" s="36"/>
      <c r="U485" s="36"/>
      <c r="W485" s="36"/>
      <c r="AD485" s="36"/>
      <c r="AF485" s="36"/>
      <c r="AH485" s="36"/>
      <c r="AM485" s="40"/>
      <c r="AN485" s="40"/>
    </row>
    <row r="486" spans="1:40" x14ac:dyDescent="0.3">
      <c r="A486" s="70"/>
      <c r="B486" s="70"/>
      <c r="D486" s="40"/>
      <c r="E486" s="40"/>
      <c r="G486" s="40"/>
      <c r="H486" s="40"/>
      <c r="I486" s="36"/>
      <c r="J486" s="36"/>
      <c r="K486" s="36"/>
      <c r="L486" s="36"/>
      <c r="M486" s="36"/>
      <c r="N486" s="36"/>
      <c r="P486" s="59"/>
      <c r="Q486" s="36"/>
      <c r="S486" s="36"/>
      <c r="T486" s="36"/>
      <c r="U486" s="36"/>
      <c r="W486" s="36"/>
      <c r="AD486" s="36"/>
      <c r="AF486" s="36"/>
      <c r="AH486" s="36"/>
      <c r="AM486" s="40"/>
      <c r="AN486" s="40"/>
    </row>
    <row r="487" spans="1:40" x14ac:dyDescent="0.3">
      <c r="A487" s="70"/>
      <c r="B487" s="70"/>
      <c r="D487" s="40"/>
      <c r="E487" s="40"/>
      <c r="G487" s="40"/>
      <c r="H487" s="40"/>
      <c r="I487" s="36"/>
      <c r="J487" s="36"/>
      <c r="K487" s="36"/>
      <c r="L487" s="36"/>
      <c r="M487" s="36"/>
      <c r="N487" s="36"/>
      <c r="P487" s="59"/>
      <c r="Q487" s="36"/>
      <c r="S487" s="36"/>
      <c r="T487" s="36"/>
      <c r="U487" s="36"/>
      <c r="W487" s="36"/>
      <c r="AD487" s="36"/>
      <c r="AF487" s="36"/>
      <c r="AH487" s="36"/>
      <c r="AM487" s="40"/>
      <c r="AN487" s="40"/>
    </row>
    <row r="488" spans="1:40" x14ac:dyDescent="0.3">
      <c r="A488" s="70"/>
      <c r="B488" s="70"/>
      <c r="D488" s="40"/>
      <c r="E488" s="40"/>
      <c r="G488" s="40"/>
      <c r="H488" s="40"/>
      <c r="I488" s="36"/>
      <c r="J488" s="36"/>
      <c r="K488" s="36"/>
      <c r="L488" s="36"/>
      <c r="M488" s="36"/>
      <c r="N488" s="36"/>
      <c r="P488" s="59"/>
      <c r="Q488" s="36"/>
      <c r="S488" s="36"/>
      <c r="T488" s="36"/>
      <c r="U488" s="36"/>
      <c r="W488" s="36"/>
      <c r="AD488" s="36"/>
      <c r="AF488" s="36"/>
      <c r="AH488" s="36"/>
      <c r="AM488" s="40"/>
      <c r="AN488" s="40"/>
    </row>
    <row r="489" spans="1:40" x14ac:dyDescent="0.3">
      <c r="A489" s="70"/>
      <c r="B489" s="70"/>
      <c r="D489" s="40"/>
      <c r="E489" s="40"/>
      <c r="G489" s="40"/>
      <c r="H489" s="40"/>
      <c r="I489" s="36"/>
      <c r="J489" s="36"/>
      <c r="K489" s="36"/>
      <c r="L489" s="36"/>
      <c r="M489" s="36"/>
      <c r="N489" s="36"/>
      <c r="P489" s="59"/>
      <c r="Q489" s="36"/>
      <c r="S489" s="36"/>
      <c r="T489" s="36"/>
      <c r="U489" s="36"/>
      <c r="W489" s="36"/>
      <c r="AD489" s="36"/>
      <c r="AF489" s="36"/>
      <c r="AH489" s="36"/>
      <c r="AM489" s="40"/>
      <c r="AN489" s="40"/>
    </row>
    <row r="490" spans="1:40" x14ac:dyDescent="0.3">
      <c r="A490" s="70"/>
      <c r="B490" s="70"/>
      <c r="D490" s="40"/>
      <c r="E490" s="40"/>
      <c r="G490" s="40"/>
      <c r="H490" s="40"/>
      <c r="I490" s="36"/>
      <c r="J490" s="36"/>
      <c r="K490" s="36"/>
      <c r="L490" s="36"/>
      <c r="M490" s="36"/>
      <c r="N490" s="36"/>
      <c r="P490" s="59"/>
      <c r="Q490" s="36"/>
      <c r="S490" s="36"/>
      <c r="T490" s="36"/>
      <c r="U490" s="36"/>
      <c r="W490" s="36"/>
      <c r="AD490" s="36"/>
      <c r="AF490" s="36"/>
      <c r="AH490" s="36"/>
      <c r="AM490" s="40"/>
      <c r="AN490" s="40"/>
    </row>
    <row r="491" spans="1:40" x14ac:dyDescent="0.3">
      <c r="A491" s="70"/>
      <c r="B491" s="70"/>
      <c r="D491" s="40"/>
      <c r="E491" s="40"/>
      <c r="G491" s="40"/>
      <c r="H491" s="40"/>
      <c r="I491" s="36"/>
      <c r="J491" s="36"/>
      <c r="K491" s="36"/>
      <c r="L491" s="36"/>
      <c r="M491" s="36"/>
      <c r="N491" s="36"/>
      <c r="P491" s="59"/>
      <c r="Q491" s="36"/>
      <c r="S491" s="36"/>
      <c r="T491" s="36"/>
      <c r="U491" s="36"/>
      <c r="W491" s="36"/>
      <c r="AD491" s="36"/>
      <c r="AF491" s="36"/>
      <c r="AH491" s="36"/>
      <c r="AM491" s="40"/>
      <c r="AN491" s="40"/>
    </row>
    <row r="492" spans="1:40" x14ac:dyDescent="0.3">
      <c r="A492" s="70"/>
      <c r="B492" s="70"/>
      <c r="D492" s="40"/>
      <c r="E492" s="40"/>
      <c r="G492" s="40"/>
      <c r="H492" s="40"/>
      <c r="I492" s="36"/>
      <c r="J492" s="36"/>
      <c r="K492" s="36"/>
      <c r="L492" s="36"/>
      <c r="M492" s="36"/>
      <c r="N492" s="36"/>
      <c r="P492" s="59"/>
      <c r="Q492" s="36"/>
      <c r="S492" s="36"/>
      <c r="T492" s="36"/>
      <c r="U492" s="36"/>
      <c r="W492" s="36"/>
      <c r="AD492" s="36"/>
      <c r="AF492" s="36"/>
      <c r="AH492" s="36"/>
      <c r="AM492" s="40"/>
      <c r="AN492" s="40"/>
    </row>
    <row r="493" spans="1:40" x14ac:dyDescent="0.3">
      <c r="A493" s="70"/>
      <c r="B493" s="70"/>
      <c r="D493" s="40"/>
      <c r="E493" s="40"/>
      <c r="G493" s="40"/>
      <c r="H493" s="40"/>
      <c r="I493" s="36"/>
      <c r="J493" s="36"/>
      <c r="K493" s="36"/>
      <c r="L493" s="36"/>
      <c r="M493" s="36"/>
      <c r="N493" s="36"/>
      <c r="P493" s="59"/>
      <c r="Q493" s="36"/>
      <c r="S493" s="36"/>
      <c r="T493" s="36"/>
      <c r="U493" s="36"/>
      <c r="W493" s="36"/>
      <c r="AD493" s="36"/>
      <c r="AF493" s="36"/>
      <c r="AH493" s="36"/>
      <c r="AM493" s="40"/>
      <c r="AN493" s="40"/>
    </row>
    <row r="494" spans="1:40" x14ac:dyDescent="0.3">
      <c r="A494" s="70"/>
      <c r="B494" s="70"/>
      <c r="D494" s="40"/>
      <c r="E494" s="40"/>
      <c r="G494" s="40"/>
      <c r="H494" s="40"/>
      <c r="I494" s="36"/>
      <c r="J494" s="36"/>
      <c r="K494" s="36"/>
      <c r="L494" s="36"/>
      <c r="M494" s="36"/>
      <c r="N494" s="36"/>
      <c r="P494" s="59"/>
      <c r="Q494" s="36"/>
      <c r="S494" s="36"/>
      <c r="T494" s="36"/>
      <c r="U494" s="36"/>
      <c r="W494" s="36"/>
      <c r="AD494" s="36"/>
      <c r="AF494" s="36"/>
      <c r="AH494" s="36"/>
      <c r="AM494" s="40"/>
      <c r="AN494" s="40"/>
    </row>
    <row r="495" spans="1:40" x14ac:dyDescent="0.3">
      <c r="A495" s="70"/>
      <c r="B495" s="70"/>
      <c r="D495" s="40"/>
      <c r="E495" s="40"/>
      <c r="G495" s="40"/>
      <c r="H495" s="40"/>
      <c r="I495" s="36"/>
      <c r="J495" s="36"/>
      <c r="K495" s="36"/>
      <c r="L495" s="36"/>
      <c r="M495" s="36"/>
      <c r="N495" s="36"/>
      <c r="P495" s="59"/>
      <c r="Q495" s="36"/>
      <c r="S495" s="36"/>
      <c r="T495" s="36"/>
      <c r="U495" s="36"/>
      <c r="W495" s="36"/>
      <c r="AD495" s="36"/>
      <c r="AF495" s="36"/>
      <c r="AH495" s="36"/>
      <c r="AM495" s="40"/>
      <c r="AN495" s="40"/>
    </row>
    <row r="496" spans="1:40" x14ac:dyDescent="0.3">
      <c r="A496" s="70"/>
      <c r="B496" s="70"/>
      <c r="D496" s="40"/>
      <c r="E496" s="40"/>
      <c r="G496" s="40"/>
      <c r="H496" s="40"/>
      <c r="I496" s="36"/>
      <c r="J496" s="36"/>
      <c r="K496" s="36"/>
      <c r="L496" s="36"/>
      <c r="M496" s="36"/>
      <c r="N496" s="36"/>
      <c r="P496" s="59"/>
      <c r="Q496" s="36"/>
      <c r="S496" s="36"/>
      <c r="T496" s="36"/>
      <c r="U496" s="36"/>
      <c r="W496" s="36"/>
      <c r="AD496" s="36"/>
      <c r="AF496" s="36"/>
      <c r="AH496" s="36"/>
      <c r="AM496" s="40"/>
      <c r="AN496" s="40"/>
    </row>
    <row r="497" spans="1:40" x14ac:dyDescent="0.3">
      <c r="A497" s="70"/>
      <c r="B497" s="70"/>
      <c r="D497" s="40"/>
      <c r="E497" s="40"/>
      <c r="G497" s="40"/>
      <c r="H497" s="40"/>
      <c r="I497" s="36"/>
      <c r="J497" s="36"/>
      <c r="K497" s="36"/>
      <c r="L497" s="36"/>
      <c r="M497" s="36"/>
      <c r="N497" s="36"/>
      <c r="P497" s="59"/>
      <c r="Q497" s="36"/>
      <c r="S497" s="36"/>
      <c r="T497" s="36"/>
      <c r="U497" s="36"/>
      <c r="W497" s="36"/>
      <c r="AD497" s="36"/>
      <c r="AF497" s="36"/>
      <c r="AH497" s="36"/>
      <c r="AM497" s="40"/>
      <c r="AN497" s="40"/>
    </row>
    <row r="498" spans="1:40" x14ac:dyDescent="0.3">
      <c r="A498" s="70"/>
      <c r="B498" s="70"/>
      <c r="D498" s="40"/>
      <c r="E498" s="40"/>
      <c r="G498" s="40"/>
      <c r="H498" s="40"/>
      <c r="I498" s="36"/>
      <c r="J498" s="36"/>
      <c r="K498" s="36"/>
      <c r="L498" s="36"/>
      <c r="M498" s="36"/>
      <c r="N498" s="36"/>
      <c r="P498" s="59"/>
      <c r="Q498" s="36"/>
      <c r="S498" s="36"/>
      <c r="T498" s="36"/>
      <c r="U498" s="36"/>
      <c r="AD498" s="36"/>
      <c r="AF498" s="36"/>
      <c r="AH498" s="36"/>
      <c r="AM498" s="40"/>
      <c r="AN498" s="40"/>
    </row>
    <row r="499" spans="1:40" x14ac:dyDescent="0.3">
      <c r="A499" s="70"/>
      <c r="B499" s="70"/>
      <c r="D499" s="40"/>
      <c r="E499" s="40"/>
      <c r="G499" s="40"/>
      <c r="H499" s="40"/>
      <c r="I499" s="36"/>
      <c r="J499" s="36"/>
      <c r="K499" s="36"/>
      <c r="L499" s="36"/>
      <c r="M499" s="36"/>
      <c r="N499" s="36"/>
      <c r="P499" s="59"/>
      <c r="Q499" s="36"/>
      <c r="S499" s="36"/>
      <c r="T499" s="36"/>
      <c r="U499" s="36"/>
      <c r="AD499" s="36"/>
      <c r="AF499" s="36"/>
      <c r="AH499" s="36"/>
      <c r="AM499" s="40"/>
      <c r="AN499" s="40"/>
    </row>
    <row r="500" spans="1:40" x14ac:dyDescent="0.3">
      <c r="A500" s="70"/>
      <c r="B500" s="70"/>
      <c r="D500" s="40"/>
      <c r="E500" s="40"/>
      <c r="G500" s="40"/>
      <c r="H500" s="40"/>
      <c r="I500" s="36"/>
      <c r="J500" s="36"/>
      <c r="K500" s="36"/>
      <c r="L500" s="36"/>
      <c r="M500" s="36"/>
      <c r="N500" s="36"/>
      <c r="P500" s="59"/>
      <c r="Q500" s="36"/>
      <c r="S500" s="36"/>
      <c r="T500" s="36"/>
      <c r="U500" s="36"/>
      <c r="AD500" s="36"/>
      <c r="AF500" s="36"/>
      <c r="AH500" s="36"/>
      <c r="AM500" s="40"/>
      <c r="AN500" s="40"/>
    </row>
    <row r="501" spans="1:40" x14ac:dyDescent="0.3">
      <c r="A501" s="70"/>
      <c r="B501" s="70"/>
      <c r="D501" s="40"/>
      <c r="E501" s="40"/>
      <c r="G501" s="40"/>
      <c r="H501" s="40"/>
      <c r="I501" s="36"/>
      <c r="J501" s="36"/>
      <c r="K501" s="36"/>
      <c r="L501" s="36"/>
      <c r="M501" s="36"/>
      <c r="N501" s="36"/>
      <c r="P501" s="59"/>
      <c r="Q501" s="36"/>
      <c r="S501" s="36"/>
      <c r="T501" s="36"/>
      <c r="U501" s="36"/>
      <c r="AD501" s="36"/>
      <c r="AF501" s="36"/>
      <c r="AH501" s="36"/>
      <c r="AM501" s="40"/>
      <c r="AN501" s="40"/>
    </row>
    <row r="502" spans="1:40" x14ac:dyDescent="0.3">
      <c r="A502" s="70"/>
      <c r="B502" s="70"/>
      <c r="D502" s="40"/>
      <c r="E502" s="40"/>
      <c r="G502" s="40"/>
      <c r="H502" s="40"/>
      <c r="I502" s="36"/>
      <c r="J502" s="36"/>
      <c r="K502" s="36"/>
      <c r="L502" s="36"/>
      <c r="M502" s="36"/>
      <c r="N502" s="36"/>
      <c r="P502" s="59"/>
      <c r="Q502" s="36"/>
      <c r="S502" s="36"/>
      <c r="T502" s="36"/>
      <c r="U502" s="36"/>
      <c r="AD502" s="36"/>
      <c r="AF502" s="36"/>
      <c r="AH502" s="36"/>
      <c r="AM502" s="40"/>
      <c r="AN502" s="40"/>
    </row>
    <row r="503" spans="1:40" x14ac:dyDescent="0.3">
      <c r="A503" s="70"/>
      <c r="B503" s="70"/>
      <c r="D503" s="40"/>
      <c r="E503" s="40"/>
      <c r="G503" s="40"/>
      <c r="H503" s="40"/>
      <c r="I503" s="36"/>
      <c r="J503" s="36"/>
      <c r="K503" s="36"/>
      <c r="L503" s="36"/>
      <c r="M503" s="36"/>
      <c r="N503" s="36"/>
      <c r="P503" s="59"/>
      <c r="Q503" s="36"/>
      <c r="S503" s="36"/>
      <c r="T503" s="36"/>
      <c r="U503" s="36"/>
      <c r="AD503" s="36"/>
      <c r="AF503" s="36"/>
      <c r="AH503" s="36"/>
      <c r="AM503" s="40"/>
      <c r="AN503" s="40"/>
    </row>
    <row r="504" spans="1:40" x14ac:dyDescent="0.3">
      <c r="A504" s="70"/>
      <c r="B504" s="70"/>
      <c r="D504" s="40"/>
      <c r="E504" s="40"/>
      <c r="G504" s="40"/>
      <c r="H504" s="40"/>
      <c r="I504" s="36"/>
      <c r="J504" s="36"/>
      <c r="K504" s="36"/>
      <c r="L504" s="36"/>
      <c r="M504" s="36"/>
      <c r="N504" s="36"/>
      <c r="P504" s="59"/>
      <c r="Q504" s="36"/>
      <c r="S504" s="36"/>
      <c r="T504" s="36"/>
      <c r="U504" s="36"/>
      <c r="AD504" s="36"/>
      <c r="AF504" s="36"/>
      <c r="AH504" s="36"/>
      <c r="AM504" s="40"/>
      <c r="AN504" s="40"/>
    </row>
    <row r="505" spans="1:40" x14ac:dyDescent="0.3">
      <c r="A505" s="70"/>
      <c r="B505" s="70"/>
      <c r="D505" s="40"/>
      <c r="E505" s="40"/>
      <c r="G505" s="40"/>
      <c r="H505" s="40"/>
      <c r="I505" s="36"/>
      <c r="J505" s="36"/>
      <c r="K505" s="36"/>
      <c r="L505" s="36"/>
      <c r="M505" s="36"/>
      <c r="N505" s="36"/>
      <c r="P505" s="59"/>
      <c r="Q505" s="36"/>
      <c r="S505" s="36"/>
      <c r="T505" s="36"/>
      <c r="U505" s="36"/>
      <c r="AD505" s="36"/>
      <c r="AF505" s="36"/>
      <c r="AH505" s="36"/>
      <c r="AM505" s="40"/>
      <c r="AN505" s="40"/>
    </row>
    <row r="506" spans="1:40" x14ac:dyDescent="0.3">
      <c r="A506" s="70"/>
      <c r="B506" s="70"/>
      <c r="D506" s="40"/>
      <c r="E506" s="40"/>
      <c r="G506" s="40"/>
      <c r="H506" s="40"/>
      <c r="I506" s="36"/>
      <c r="J506" s="36"/>
      <c r="K506" s="36"/>
      <c r="L506" s="36"/>
      <c r="M506" s="36"/>
      <c r="N506" s="36"/>
      <c r="P506" s="59"/>
      <c r="Q506" s="36"/>
      <c r="S506" s="36"/>
      <c r="T506" s="36"/>
      <c r="U506" s="36"/>
      <c r="AD506" s="36"/>
      <c r="AF506" s="36"/>
      <c r="AH506" s="36"/>
      <c r="AM506" s="40"/>
      <c r="AN506" s="40"/>
    </row>
    <row r="507" spans="1:40" x14ac:dyDescent="0.3">
      <c r="A507" s="70"/>
      <c r="B507" s="70"/>
      <c r="D507" s="40"/>
      <c r="E507" s="40"/>
      <c r="G507" s="40"/>
      <c r="H507" s="40"/>
      <c r="I507" s="36"/>
      <c r="J507" s="36"/>
      <c r="K507" s="36"/>
      <c r="L507" s="36"/>
      <c r="M507" s="36"/>
      <c r="N507" s="36"/>
      <c r="P507" s="59"/>
      <c r="Q507" s="36"/>
      <c r="S507" s="36"/>
      <c r="T507" s="36"/>
      <c r="U507" s="36"/>
      <c r="AD507" s="36"/>
      <c r="AF507" s="36"/>
      <c r="AH507" s="36"/>
      <c r="AM507" s="40"/>
      <c r="AN507" s="40"/>
    </row>
    <row r="508" spans="1:40" x14ac:dyDescent="0.3">
      <c r="A508" s="70"/>
      <c r="B508" s="70"/>
      <c r="D508" s="40"/>
      <c r="E508" s="40"/>
      <c r="G508" s="40"/>
      <c r="H508" s="40"/>
      <c r="I508" s="36"/>
      <c r="J508" s="36"/>
      <c r="K508" s="36"/>
      <c r="L508" s="36"/>
      <c r="M508" s="36"/>
      <c r="N508" s="36"/>
      <c r="P508" s="59"/>
      <c r="Q508" s="36"/>
      <c r="S508" s="36"/>
      <c r="T508" s="36"/>
      <c r="U508" s="36"/>
      <c r="AD508" s="36"/>
      <c r="AF508" s="36"/>
      <c r="AH508" s="36"/>
      <c r="AM508" s="40"/>
      <c r="AN508" s="40"/>
    </row>
    <row r="509" spans="1:40" x14ac:dyDescent="0.3">
      <c r="A509" s="70"/>
      <c r="B509" s="70"/>
      <c r="D509" s="40"/>
      <c r="E509" s="40"/>
      <c r="G509" s="40"/>
      <c r="H509" s="40"/>
      <c r="I509" s="36"/>
      <c r="J509" s="36"/>
      <c r="K509" s="36"/>
      <c r="L509" s="36"/>
      <c r="M509" s="36"/>
      <c r="N509" s="36"/>
      <c r="P509" s="59"/>
      <c r="Q509" s="36"/>
      <c r="S509" s="36"/>
      <c r="T509" s="36"/>
      <c r="U509" s="36"/>
      <c r="AD509" s="36"/>
      <c r="AF509" s="36"/>
      <c r="AH509" s="36"/>
      <c r="AM509" s="40"/>
      <c r="AN509" s="40"/>
    </row>
    <row r="510" spans="1:40" x14ac:dyDescent="0.3">
      <c r="A510" s="70"/>
      <c r="B510" s="70"/>
      <c r="D510" s="40"/>
      <c r="E510" s="40"/>
      <c r="G510" s="40"/>
      <c r="H510" s="40"/>
      <c r="I510" s="36"/>
      <c r="J510" s="36"/>
      <c r="K510" s="36"/>
      <c r="L510" s="36"/>
      <c r="M510" s="36"/>
      <c r="N510" s="36"/>
      <c r="P510" s="59"/>
      <c r="Q510" s="36"/>
      <c r="S510" s="36"/>
      <c r="T510" s="36"/>
      <c r="U510" s="36"/>
      <c r="AD510" s="36"/>
      <c r="AF510" s="36"/>
      <c r="AH510" s="36"/>
      <c r="AM510" s="40"/>
      <c r="AN510" s="40"/>
    </row>
    <row r="511" spans="1:40" x14ac:dyDescent="0.3">
      <c r="A511" s="70"/>
      <c r="B511" s="70"/>
      <c r="D511" s="40"/>
      <c r="E511" s="40"/>
      <c r="G511" s="40"/>
      <c r="H511" s="40"/>
      <c r="I511" s="36"/>
      <c r="J511" s="36"/>
      <c r="K511" s="36"/>
      <c r="L511" s="36"/>
      <c r="M511" s="36"/>
      <c r="N511" s="36"/>
      <c r="P511" s="59"/>
      <c r="Q511" s="36"/>
      <c r="S511" s="36"/>
      <c r="T511" s="36"/>
      <c r="U511" s="36"/>
      <c r="AD511" s="36"/>
      <c r="AF511" s="36"/>
      <c r="AH511" s="36"/>
      <c r="AM511" s="40"/>
      <c r="AN511" s="40"/>
    </row>
    <row r="512" spans="1:40" x14ac:dyDescent="0.3">
      <c r="A512" s="70"/>
      <c r="B512" s="70"/>
      <c r="D512" s="40"/>
      <c r="E512" s="40"/>
      <c r="G512" s="40"/>
      <c r="H512" s="40"/>
      <c r="I512" s="36"/>
      <c r="J512" s="36"/>
      <c r="K512" s="36"/>
      <c r="L512" s="36"/>
      <c r="M512" s="36"/>
      <c r="N512" s="36"/>
      <c r="P512" s="59"/>
      <c r="Q512" s="36"/>
      <c r="S512" s="36"/>
      <c r="T512" s="36"/>
      <c r="U512" s="36"/>
      <c r="AD512" s="36"/>
      <c r="AF512" s="36"/>
      <c r="AH512" s="36"/>
      <c r="AM512" s="40"/>
      <c r="AN512" s="40"/>
    </row>
    <row r="513" spans="1:40" x14ac:dyDescent="0.3">
      <c r="A513" s="70"/>
      <c r="B513" s="70"/>
      <c r="D513" s="40"/>
      <c r="E513" s="40"/>
      <c r="G513" s="40"/>
      <c r="H513" s="40"/>
      <c r="I513" s="36"/>
      <c r="J513" s="36"/>
      <c r="K513" s="36"/>
      <c r="L513" s="36"/>
      <c r="M513" s="36"/>
      <c r="N513" s="36"/>
      <c r="P513" s="59"/>
      <c r="Q513" s="36"/>
      <c r="S513" s="36"/>
      <c r="T513" s="36"/>
      <c r="U513" s="36"/>
      <c r="AD513" s="36"/>
      <c r="AF513" s="36"/>
      <c r="AH513" s="36"/>
      <c r="AM513" s="40"/>
      <c r="AN513" s="40"/>
    </row>
    <row r="514" spans="1:40" x14ac:dyDescent="0.3">
      <c r="A514" s="70"/>
      <c r="B514" s="70"/>
      <c r="D514" s="40"/>
      <c r="E514" s="40"/>
      <c r="G514" s="40"/>
      <c r="H514" s="40"/>
      <c r="I514" s="36"/>
      <c r="J514" s="36"/>
      <c r="K514" s="36"/>
      <c r="L514" s="36"/>
      <c r="M514" s="36"/>
      <c r="N514" s="36"/>
      <c r="P514" s="59"/>
      <c r="Q514" s="36"/>
      <c r="S514" s="36"/>
      <c r="T514" s="36"/>
      <c r="U514" s="36"/>
      <c r="AD514" s="36"/>
      <c r="AF514" s="36"/>
      <c r="AH514" s="36"/>
      <c r="AM514" s="40"/>
      <c r="AN514" s="40"/>
    </row>
    <row r="515" spans="1:40" x14ac:dyDescent="0.3">
      <c r="A515" s="70"/>
      <c r="B515" s="70"/>
      <c r="D515" s="40"/>
      <c r="E515" s="40"/>
      <c r="G515" s="40"/>
      <c r="H515" s="40"/>
      <c r="I515" s="36"/>
      <c r="J515" s="36"/>
      <c r="K515" s="36"/>
      <c r="L515" s="36"/>
      <c r="M515" s="36"/>
      <c r="N515" s="36"/>
      <c r="P515" s="59"/>
      <c r="Q515" s="36"/>
      <c r="S515" s="36"/>
      <c r="T515" s="36"/>
      <c r="U515" s="36"/>
      <c r="AD515" s="36"/>
      <c r="AF515" s="36"/>
      <c r="AH515" s="36"/>
      <c r="AM515" s="40"/>
      <c r="AN515" s="40"/>
    </row>
    <row r="516" spans="1:40" x14ac:dyDescent="0.3">
      <c r="A516" s="70"/>
      <c r="B516" s="70"/>
      <c r="D516" s="40"/>
      <c r="E516" s="40"/>
      <c r="G516" s="40"/>
      <c r="H516" s="40"/>
      <c r="I516" s="36"/>
      <c r="J516" s="36"/>
      <c r="K516" s="36"/>
      <c r="L516" s="36"/>
      <c r="M516" s="36"/>
      <c r="N516" s="36"/>
      <c r="P516" s="59"/>
      <c r="Q516" s="36"/>
      <c r="S516" s="36"/>
      <c r="T516" s="36"/>
      <c r="U516" s="36"/>
      <c r="AD516" s="36"/>
      <c r="AF516" s="36"/>
      <c r="AH516" s="36"/>
      <c r="AM516" s="40"/>
      <c r="AN516" s="40"/>
    </row>
    <row r="517" spans="1:40" x14ac:dyDescent="0.3">
      <c r="A517" s="70"/>
      <c r="B517" s="70"/>
      <c r="D517" s="40"/>
      <c r="E517" s="40"/>
      <c r="G517" s="40"/>
      <c r="H517" s="40"/>
      <c r="I517" s="36"/>
      <c r="J517" s="36"/>
      <c r="K517" s="36"/>
      <c r="L517" s="36"/>
      <c r="M517" s="36"/>
      <c r="N517" s="36"/>
      <c r="P517" s="59"/>
      <c r="Q517" s="36"/>
      <c r="S517" s="36"/>
      <c r="T517" s="36"/>
      <c r="U517" s="36"/>
      <c r="AD517" s="36"/>
      <c r="AF517" s="36"/>
      <c r="AH517" s="36"/>
      <c r="AM517" s="40"/>
      <c r="AN517" s="40"/>
    </row>
    <row r="518" spans="1:40" x14ac:dyDescent="0.3">
      <c r="A518" s="70"/>
      <c r="B518" s="70"/>
      <c r="D518" s="40"/>
      <c r="E518" s="40"/>
      <c r="G518" s="40"/>
      <c r="H518" s="40"/>
      <c r="I518" s="36"/>
      <c r="J518" s="36"/>
      <c r="K518" s="36"/>
      <c r="L518" s="36"/>
      <c r="M518" s="36"/>
      <c r="N518" s="36"/>
      <c r="P518" s="59"/>
      <c r="Q518" s="36"/>
      <c r="S518" s="36"/>
      <c r="T518" s="36"/>
      <c r="U518" s="36"/>
      <c r="AD518" s="36"/>
      <c r="AF518" s="36"/>
      <c r="AH518" s="36"/>
      <c r="AM518" s="40"/>
      <c r="AN518" s="40"/>
    </row>
    <row r="519" spans="1:40" x14ac:dyDescent="0.3">
      <c r="A519" s="70"/>
      <c r="B519" s="70"/>
      <c r="D519" s="40"/>
      <c r="E519" s="40"/>
      <c r="G519" s="40"/>
      <c r="H519" s="40"/>
      <c r="I519" s="36"/>
      <c r="J519" s="36"/>
      <c r="K519" s="36"/>
      <c r="L519" s="36"/>
      <c r="M519" s="36"/>
      <c r="N519" s="36"/>
      <c r="P519" s="59"/>
      <c r="Q519" s="36"/>
      <c r="S519" s="36"/>
      <c r="T519" s="36"/>
      <c r="U519" s="36"/>
      <c r="AD519" s="36"/>
      <c r="AF519" s="36"/>
      <c r="AH519" s="36"/>
      <c r="AM519" s="40"/>
      <c r="AN519" s="40"/>
    </row>
    <row r="520" spans="1:40" x14ac:dyDescent="0.3">
      <c r="A520" s="70"/>
      <c r="B520" s="70"/>
      <c r="D520" s="40"/>
      <c r="E520" s="40"/>
      <c r="G520" s="40"/>
      <c r="H520" s="40"/>
      <c r="I520" s="36"/>
      <c r="J520" s="36"/>
      <c r="K520" s="36"/>
      <c r="L520" s="36"/>
      <c r="M520" s="36"/>
      <c r="N520" s="36"/>
      <c r="P520" s="59"/>
      <c r="Q520" s="36"/>
      <c r="S520" s="36"/>
      <c r="T520" s="36"/>
      <c r="U520" s="36"/>
      <c r="AD520" s="36"/>
      <c r="AF520" s="36"/>
      <c r="AH520" s="36"/>
      <c r="AM520" s="40"/>
      <c r="AN520" s="40"/>
    </row>
    <row r="521" spans="1:40" x14ac:dyDescent="0.3">
      <c r="A521" s="70"/>
      <c r="B521" s="70"/>
      <c r="D521" s="40"/>
      <c r="E521" s="40"/>
      <c r="G521" s="40"/>
      <c r="H521" s="40"/>
      <c r="I521" s="36"/>
      <c r="J521" s="36"/>
      <c r="K521" s="36"/>
      <c r="L521" s="36"/>
      <c r="M521" s="36"/>
      <c r="N521" s="36"/>
      <c r="P521" s="59"/>
      <c r="Q521" s="36"/>
      <c r="S521" s="36"/>
      <c r="T521" s="36"/>
      <c r="U521" s="36"/>
      <c r="AD521" s="36"/>
      <c r="AF521" s="36"/>
      <c r="AH521" s="36"/>
      <c r="AM521" s="40"/>
      <c r="AN521" s="40"/>
    </row>
    <row r="522" spans="1:40" x14ac:dyDescent="0.3">
      <c r="A522" s="70"/>
      <c r="B522" s="70"/>
      <c r="D522" s="40"/>
      <c r="E522" s="40"/>
      <c r="G522" s="40"/>
      <c r="H522" s="40"/>
      <c r="I522" s="36"/>
      <c r="J522" s="36"/>
      <c r="K522" s="36"/>
      <c r="L522" s="36"/>
      <c r="M522" s="36"/>
      <c r="N522" s="36"/>
      <c r="P522" s="59"/>
      <c r="Q522" s="36"/>
      <c r="S522" s="36"/>
      <c r="T522" s="36"/>
      <c r="U522" s="36"/>
      <c r="AD522" s="36"/>
      <c r="AF522" s="36"/>
      <c r="AH522" s="36"/>
      <c r="AM522" s="40"/>
      <c r="AN522" s="40"/>
    </row>
    <row r="523" spans="1:40" x14ac:dyDescent="0.3">
      <c r="A523" s="70"/>
      <c r="B523" s="70"/>
      <c r="D523" s="40"/>
      <c r="E523" s="40"/>
      <c r="G523" s="40"/>
      <c r="H523" s="40"/>
      <c r="I523" s="36"/>
      <c r="J523" s="36"/>
      <c r="K523" s="36"/>
      <c r="L523" s="36"/>
      <c r="M523" s="36"/>
      <c r="N523" s="36"/>
      <c r="P523" s="59"/>
      <c r="Q523" s="36"/>
      <c r="S523" s="36"/>
      <c r="T523" s="36"/>
      <c r="U523" s="36"/>
      <c r="AD523" s="36"/>
      <c r="AF523" s="36"/>
      <c r="AH523" s="36"/>
      <c r="AM523" s="40"/>
      <c r="AN523" s="40"/>
    </row>
    <row r="524" spans="1:40" x14ac:dyDescent="0.3">
      <c r="A524" s="70"/>
      <c r="B524" s="70"/>
      <c r="D524" s="40"/>
      <c r="E524" s="40"/>
      <c r="G524" s="40"/>
      <c r="H524" s="40"/>
      <c r="I524" s="36"/>
      <c r="J524" s="36"/>
      <c r="K524" s="36"/>
      <c r="L524" s="36"/>
      <c r="M524" s="36"/>
      <c r="N524" s="36"/>
      <c r="P524" s="59"/>
      <c r="Q524" s="36"/>
      <c r="S524" s="36"/>
      <c r="T524" s="36"/>
      <c r="U524" s="36"/>
      <c r="AD524" s="36"/>
      <c r="AF524" s="36"/>
      <c r="AH524" s="36"/>
      <c r="AM524" s="40"/>
      <c r="AN524" s="40"/>
    </row>
    <row r="525" spans="1:40" x14ac:dyDescent="0.3">
      <c r="A525" s="70"/>
      <c r="B525" s="70"/>
      <c r="D525" s="40"/>
      <c r="E525" s="40"/>
      <c r="G525" s="40"/>
      <c r="H525" s="40"/>
      <c r="I525" s="36"/>
      <c r="J525" s="36"/>
      <c r="K525" s="36"/>
      <c r="L525" s="36"/>
      <c r="M525" s="36"/>
      <c r="N525" s="36"/>
      <c r="P525" s="59"/>
      <c r="Q525" s="36"/>
      <c r="S525" s="36"/>
      <c r="T525" s="36"/>
      <c r="U525" s="36"/>
      <c r="AD525" s="36"/>
      <c r="AF525" s="36"/>
      <c r="AH525" s="36"/>
      <c r="AM525" s="40"/>
      <c r="AN525" s="40"/>
    </row>
    <row r="526" spans="1:40" x14ac:dyDescent="0.3">
      <c r="A526" s="70"/>
      <c r="B526" s="70"/>
      <c r="D526" s="40"/>
      <c r="E526" s="40"/>
      <c r="G526" s="40"/>
      <c r="H526" s="40"/>
      <c r="I526" s="36"/>
      <c r="J526" s="36"/>
      <c r="K526" s="36"/>
      <c r="L526" s="36"/>
      <c r="M526" s="36"/>
      <c r="N526" s="36"/>
      <c r="P526" s="59"/>
      <c r="Q526" s="36"/>
      <c r="S526" s="36"/>
      <c r="T526" s="36"/>
      <c r="U526" s="36"/>
      <c r="AD526" s="36"/>
      <c r="AF526" s="36"/>
      <c r="AH526" s="36"/>
      <c r="AM526" s="40"/>
      <c r="AN526" s="40"/>
    </row>
    <row r="527" spans="1:40" x14ac:dyDescent="0.3">
      <c r="A527" s="70"/>
      <c r="B527" s="70"/>
      <c r="D527" s="40"/>
      <c r="E527" s="40"/>
      <c r="G527" s="40"/>
      <c r="H527" s="40"/>
      <c r="I527" s="36"/>
      <c r="J527" s="36"/>
      <c r="K527" s="36"/>
      <c r="L527" s="36"/>
      <c r="M527" s="36"/>
      <c r="N527" s="36"/>
      <c r="P527" s="59"/>
      <c r="Q527" s="36"/>
      <c r="S527" s="36"/>
      <c r="T527" s="36"/>
      <c r="U527" s="36"/>
      <c r="AD527" s="36"/>
      <c r="AF527" s="36"/>
      <c r="AH527" s="36"/>
      <c r="AM527" s="40"/>
      <c r="AN527" s="40"/>
    </row>
    <row r="528" spans="1:40" x14ac:dyDescent="0.3">
      <c r="A528" s="70"/>
      <c r="B528" s="70"/>
      <c r="D528" s="40"/>
      <c r="E528" s="40"/>
      <c r="G528" s="40"/>
      <c r="H528" s="40"/>
      <c r="I528" s="36"/>
      <c r="J528" s="36"/>
      <c r="K528" s="36"/>
      <c r="L528" s="36"/>
      <c r="M528" s="36"/>
      <c r="N528" s="36"/>
      <c r="P528" s="59"/>
      <c r="Q528" s="36"/>
      <c r="S528" s="36"/>
      <c r="T528" s="36"/>
      <c r="U528" s="36"/>
      <c r="AD528" s="36"/>
      <c r="AF528" s="36"/>
      <c r="AH528" s="36"/>
      <c r="AM528" s="40"/>
      <c r="AN528" s="40"/>
    </row>
    <row r="529" spans="1:40" x14ac:dyDescent="0.3">
      <c r="A529" s="70"/>
      <c r="B529" s="70"/>
      <c r="D529" s="40"/>
      <c r="E529" s="40"/>
      <c r="G529" s="40"/>
      <c r="H529" s="40"/>
      <c r="I529" s="36"/>
      <c r="J529" s="36"/>
      <c r="K529" s="36"/>
      <c r="L529" s="36"/>
      <c r="M529" s="36"/>
      <c r="N529" s="36"/>
      <c r="P529" s="59"/>
      <c r="Q529" s="36"/>
      <c r="S529" s="36"/>
      <c r="T529" s="36"/>
      <c r="U529" s="36"/>
      <c r="AD529" s="36"/>
      <c r="AF529" s="36"/>
      <c r="AH529" s="36"/>
      <c r="AM529" s="40"/>
      <c r="AN529" s="40"/>
    </row>
    <row r="530" spans="1:40" x14ac:dyDescent="0.3">
      <c r="A530" s="70"/>
      <c r="B530" s="70"/>
      <c r="D530" s="40"/>
      <c r="E530" s="40"/>
      <c r="G530" s="40"/>
      <c r="H530" s="40"/>
      <c r="I530" s="36"/>
      <c r="J530" s="36"/>
      <c r="K530" s="36"/>
      <c r="L530" s="36"/>
      <c r="M530" s="36"/>
      <c r="N530" s="36"/>
      <c r="P530" s="59"/>
      <c r="Q530" s="36"/>
      <c r="S530" s="36"/>
      <c r="T530" s="36"/>
      <c r="U530" s="36"/>
      <c r="AD530" s="36"/>
      <c r="AF530" s="36"/>
      <c r="AH530" s="36"/>
      <c r="AM530" s="40"/>
      <c r="AN530" s="40"/>
    </row>
    <row r="531" spans="1:40" x14ac:dyDescent="0.3">
      <c r="A531" s="70"/>
      <c r="B531" s="70"/>
      <c r="D531" s="40"/>
      <c r="E531" s="40"/>
      <c r="G531" s="40"/>
      <c r="H531" s="40"/>
      <c r="I531" s="36"/>
      <c r="J531" s="36"/>
      <c r="K531" s="36"/>
      <c r="L531" s="36"/>
      <c r="M531" s="36"/>
      <c r="N531" s="36"/>
      <c r="P531" s="59"/>
      <c r="Q531" s="36"/>
      <c r="S531" s="36"/>
      <c r="T531" s="36"/>
      <c r="U531" s="36"/>
      <c r="AD531" s="36"/>
      <c r="AF531" s="36"/>
      <c r="AH531" s="36"/>
      <c r="AM531" s="40"/>
      <c r="AN531" s="40"/>
    </row>
    <row r="532" spans="1:40" x14ac:dyDescent="0.3">
      <c r="A532" s="70"/>
      <c r="B532" s="70"/>
      <c r="D532" s="40"/>
      <c r="E532" s="40"/>
      <c r="G532" s="40"/>
      <c r="H532" s="40"/>
      <c r="I532" s="36"/>
      <c r="J532" s="36"/>
      <c r="K532" s="36"/>
      <c r="L532" s="36"/>
      <c r="M532" s="36"/>
      <c r="N532" s="36"/>
      <c r="P532" s="59"/>
      <c r="Q532" s="36"/>
      <c r="S532" s="36"/>
      <c r="T532" s="36"/>
      <c r="U532" s="36"/>
      <c r="AD532" s="36"/>
      <c r="AF532" s="36"/>
      <c r="AH532" s="36"/>
      <c r="AM532" s="40"/>
      <c r="AN532" s="40"/>
    </row>
    <row r="533" spans="1:40" x14ac:dyDescent="0.3">
      <c r="A533" s="70"/>
      <c r="B533" s="70"/>
      <c r="D533" s="40"/>
      <c r="E533" s="40"/>
      <c r="G533" s="40"/>
      <c r="H533" s="40"/>
      <c r="I533" s="36"/>
      <c r="J533" s="36"/>
      <c r="K533" s="36"/>
      <c r="L533" s="36"/>
      <c r="M533" s="36"/>
      <c r="N533" s="36"/>
      <c r="P533" s="59"/>
      <c r="Q533" s="36"/>
      <c r="S533" s="36"/>
      <c r="T533" s="36"/>
      <c r="U533" s="36"/>
      <c r="AD533" s="36"/>
      <c r="AF533" s="36"/>
      <c r="AH533" s="36"/>
      <c r="AM533" s="40"/>
      <c r="AN533" s="40"/>
    </row>
    <row r="534" spans="1:40" x14ac:dyDescent="0.3">
      <c r="A534" s="70"/>
      <c r="B534" s="70"/>
      <c r="D534" s="40"/>
      <c r="E534" s="40"/>
      <c r="G534" s="40"/>
      <c r="H534" s="40"/>
      <c r="I534" s="36"/>
      <c r="J534" s="36"/>
      <c r="K534" s="36"/>
      <c r="L534" s="36"/>
      <c r="M534" s="36"/>
      <c r="N534" s="36"/>
      <c r="P534" s="59"/>
      <c r="Q534" s="36"/>
      <c r="S534" s="36"/>
      <c r="T534" s="36"/>
      <c r="U534" s="36"/>
      <c r="AD534" s="36"/>
      <c r="AF534" s="36"/>
      <c r="AH534" s="36"/>
      <c r="AM534" s="40"/>
      <c r="AN534" s="40"/>
    </row>
    <row r="535" spans="1:40" x14ac:dyDescent="0.3">
      <c r="A535" s="70"/>
      <c r="B535" s="70"/>
      <c r="D535" s="40"/>
      <c r="E535" s="40"/>
      <c r="G535" s="40"/>
      <c r="H535" s="40"/>
      <c r="I535" s="36"/>
      <c r="J535" s="36"/>
      <c r="K535" s="36"/>
      <c r="L535" s="36"/>
      <c r="M535" s="36"/>
      <c r="N535" s="36"/>
      <c r="P535" s="59"/>
      <c r="Q535" s="36"/>
      <c r="S535" s="36"/>
      <c r="T535" s="36"/>
      <c r="U535" s="36"/>
      <c r="AD535" s="36"/>
      <c r="AF535" s="36"/>
      <c r="AH535" s="36"/>
      <c r="AM535" s="40"/>
      <c r="AN535" s="40"/>
    </row>
    <row r="536" spans="1:40" x14ac:dyDescent="0.3">
      <c r="A536" s="70"/>
      <c r="B536" s="70"/>
      <c r="D536" s="40"/>
      <c r="E536" s="40"/>
      <c r="G536" s="40"/>
      <c r="H536" s="40"/>
      <c r="I536" s="36"/>
      <c r="J536" s="36"/>
      <c r="K536" s="36"/>
      <c r="L536" s="36"/>
      <c r="M536" s="36"/>
      <c r="N536" s="36"/>
      <c r="P536" s="59"/>
      <c r="Q536" s="36"/>
      <c r="S536" s="36"/>
      <c r="T536" s="36"/>
      <c r="U536" s="36"/>
      <c r="AD536" s="36"/>
      <c r="AF536" s="36"/>
      <c r="AH536" s="36"/>
      <c r="AM536" s="40"/>
      <c r="AN536" s="40"/>
    </row>
    <row r="537" spans="1:40" x14ac:dyDescent="0.3">
      <c r="A537" s="70"/>
      <c r="B537" s="70"/>
      <c r="D537" s="40"/>
      <c r="E537" s="40"/>
      <c r="G537" s="40"/>
      <c r="H537" s="40"/>
      <c r="I537" s="36"/>
      <c r="J537" s="36"/>
      <c r="K537" s="36"/>
      <c r="L537" s="36"/>
      <c r="M537" s="36"/>
      <c r="N537" s="36"/>
      <c r="P537" s="59"/>
      <c r="Q537" s="36"/>
      <c r="S537" s="36"/>
      <c r="T537" s="36"/>
      <c r="U537" s="36"/>
      <c r="AD537" s="36"/>
      <c r="AF537" s="36"/>
      <c r="AH537" s="36"/>
      <c r="AM537" s="40"/>
      <c r="AN537" s="40"/>
    </row>
    <row r="538" spans="1:40" x14ac:dyDescent="0.3">
      <c r="A538" s="70"/>
      <c r="B538" s="70"/>
      <c r="D538" s="40"/>
      <c r="E538" s="40"/>
      <c r="G538" s="40"/>
      <c r="H538" s="40"/>
      <c r="I538" s="36"/>
      <c r="J538" s="36"/>
      <c r="K538" s="36"/>
      <c r="L538" s="36"/>
      <c r="M538" s="36"/>
      <c r="N538" s="36"/>
      <c r="P538" s="59"/>
      <c r="Q538" s="36"/>
      <c r="S538" s="36"/>
      <c r="T538" s="36"/>
      <c r="U538" s="36"/>
      <c r="AD538" s="36"/>
      <c r="AF538" s="36"/>
      <c r="AH538" s="36"/>
      <c r="AM538" s="40"/>
      <c r="AN538" s="40"/>
    </row>
    <row r="539" spans="1:40" x14ac:dyDescent="0.3">
      <c r="A539" s="70"/>
      <c r="B539" s="70"/>
      <c r="D539" s="40"/>
      <c r="E539" s="40"/>
      <c r="G539" s="40"/>
      <c r="H539" s="40"/>
      <c r="I539" s="36"/>
      <c r="J539" s="36"/>
      <c r="K539" s="36"/>
      <c r="L539" s="36"/>
      <c r="M539" s="36"/>
      <c r="N539" s="36"/>
      <c r="P539" s="59"/>
      <c r="Q539" s="36"/>
      <c r="S539" s="36"/>
      <c r="T539" s="36"/>
      <c r="U539" s="36"/>
      <c r="AD539" s="36"/>
      <c r="AF539" s="36"/>
      <c r="AH539" s="36"/>
      <c r="AM539" s="40"/>
      <c r="AN539" s="40"/>
    </row>
    <row r="540" spans="1:40" x14ac:dyDescent="0.3">
      <c r="A540" s="70"/>
      <c r="B540" s="70"/>
      <c r="D540" s="40"/>
      <c r="E540" s="40"/>
      <c r="G540" s="40"/>
      <c r="H540" s="40"/>
      <c r="I540" s="36"/>
      <c r="J540" s="36"/>
      <c r="K540" s="36"/>
      <c r="L540" s="36"/>
      <c r="M540" s="36"/>
      <c r="N540" s="36"/>
      <c r="P540" s="59"/>
      <c r="Q540" s="36"/>
      <c r="S540" s="36"/>
      <c r="T540" s="36"/>
      <c r="U540" s="36"/>
      <c r="AD540" s="36"/>
      <c r="AF540" s="36"/>
      <c r="AH540" s="36"/>
      <c r="AM540" s="40"/>
      <c r="AN540" s="40"/>
    </row>
    <row r="541" spans="1:40" x14ac:dyDescent="0.3">
      <c r="A541" s="70"/>
      <c r="B541" s="70"/>
      <c r="D541" s="40"/>
      <c r="E541" s="40"/>
      <c r="G541" s="40"/>
      <c r="H541" s="40"/>
      <c r="I541" s="36"/>
      <c r="J541" s="36"/>
      <c r="K541" s="36"/>
      <c r="L541" s="36"/>
      <c r="M541" s="36"/>
      <c r="N541" s="36"/>
      <c r="P541" s="59"/>
      <c r="Q541" s="36"/>
      <c r="S541" s="36"/>
      <c r="T541" s="36"/>
      <c r="U541" s="36"/>
      <c r="AD541" s="36"/>
      <c r="AF541" s="36"/>
      <c r="AH541" s="36"/>
      <c r="AM541" s="40"/>
      <c r="AN541" s="40"/>
    </row>
    <row r="542" spans="1:40" x14ac:dyDescent="0.3">
      <c r="A542" s="70"/>
      <c r="B542" s="70"/>
      <c r="D542" s="40"/>
      <c r="E542" s="40"/>
      <c r="G542" s="40"/>
      <c r="H542" s="40"/>
      <c r="I542" s="36"/>
      <c r="J542" s="36"/>
      <c r="K542" s="36"/>
      <c r="L542" s="36"/>
      <c r="M542" s="36"/>
      <c r="N542" s="36"/>
      <c r="P542" s="59"/>
      <c r="Q542" s="36"/>
      <c r="S542" s="36"/>
      <c r="T542" s="36"/>
      <c r="U542" s="36"/>
      <c r="AD542" s="36"/>
      <c r="AF542" s="36"/>
      <c r="AH542" s="36"/>
      <c r="AM542" s="40"/>
      <c r="AN542" s="40"/>
    </row>
    <row r="543" spans="1:40" x14ac:dyDescent="0.3">
      <c r="A543" s="70"/>
      <c r="B543" s="70"/>
      <c r="D543" s="40"/>
      <c r="E543" s="40"/>
      <c r="G543" s="40"/>
      <c r="H543" s="40"/>
      <c r="I543" s="36"/>
      <c r="J543" s="36"/>
      <c r="K543" s="36"/>
      <c r="L543" s="36"/>
      <c r="M543" s="36"/>
      <c r="N543" s="36"/>
      <c r="P543" s="59"/>
      <c r="Q543" s="36"/>
      <c r="S543" s="36"/>
      <c r="T543" s="36"/>
      <c r="U543" s="36"/>
      <c r="AD543" s="36"/>
      <c r="AF543" s="36"/>
      <c r="AH543" s="36"/>
      <c r="AM543" s="40"/>
      <c r="AN543" s="40"/>
    </row>
    <row r="544" spans="1:40" x14ac:dyDescent="0.3">
      <c r="A544" s="70"/>
      <c r="B544" s="70"/>
      <c r="D544" s="40"/>
      <c r="E544" s="40"/>
      <c r="G544" s="40"/>
      <c r="H544" s="40"/>
      <c r="I544" s="36"/>
      <c r="J544" s="36"/>
      <c r="K544" s="36"/>
      <c r="L544" s="36"/>
      <c r="M544" s="36"/>
      <c r="N544" s="36"/>
      <c r="P544" s="59"/>
      <c r="Q544" s="36"/>
      <c r="S544" s="36"/>
      <c r="T544" s="36"/>
      <c r="U544" s="36"/>
      <c r="AD544" s="36"/>
      <c r="AF544" s="36"/>
      <c r="AH544" s="36"/>
      <c r="AM544" s="40"/>
      <c r="AN544" s="40"/>
    </row>
    <row r="545" spans="1:40" x14ac:dyDescent="0.3">
      <c r="A545" s="70"/>
      <c r="B545" s="70"/>
      <c r="D545" s="40"/>
      <c r="E545" s="40"/>
      <c r="G545" s="40"/>
      <c r="H545" s="40"/>
      <c r="I545" s="36"/>
      <c r="J545" s="36"/>
      <c r="K545" s="36"/>
      <c r="L545" s="36"/>
      <c r="M545" s="36"/>
      <c r="N545" s="36"/>
      <c r="P545" s="59"/>
      <c r="Q545" s="36"/>
      <c r="S545" s="36"/>
      <c r="T545" s="36"/>
      <c r="U545" s="36"/>
      <c r="AD545" s="36"/>
      <c r="AF545" s="36"/>
      <c r="AH545" s="36"/>
      <c r="AM545" s="40"/>
      <c r="AN545" s="40"/>
    </row>
    <row r="546" spans="1:40" x14ac:dyDescent="0.3">
      <c r="A546" s="70"/>
      <c r="B546" s="70"/>
      <c r="D546" s="40"/>
      <c r="E546" s="40"/>
      <c r="G546" s="40"/>
      <c r="H546" s="40"/>
      <c r="I546" s="36"/>
      <c r="J546" s="36"/>
      <c r="K546" s="36"/>
      <c r="L546" s="36"/>
      <c r="M546" s="36"/>
      <c r="N546" s="36"/>
      <c r="P546" s="59"/>
      <c r="Q546" s="36"/>
      <c r="S546" s="36"/>
      <c r="T546" s="36"/>
      <c r="U546" s="36"/>
      <c r="AD546" s="36"/>
      <c r="AF546" s="36"/>
      <c r="AH546" s="36"/>
      <c r="AM546" s="40"/>
      <c r="AN546" s="40"/>
    </row>
    <row r="547" spans="1:40" x14ac:dyDescent="0.3">
      <c r="A547" s="70"/>
      <c r="B547" s="70"/>
      <c r="D547" s="40"/>
      <c r="E547" s="40"/>
      <c r="G547" s="40"/>
      <c r="H547" s="40"/>
      <c r="I547" s="36"/>
      <c r="J547" s="36"/>
      <c r="K547" s="36"/>
      <c r="L547" s="36"/>
      <c r="M547" s="36"/>
      <c r="N547" s="36"/>
      <c r="P547" s="59"/>
      <c r="Q547" s="36"/>
      <c r="S547" s="36"/>
      <c r="T547" s="36"/>
      <c r="U547" s="36"/>
      <c r="AD547" s="36"/>
      <c r="AF547" s="36"/>
      <c r="AH547" s="36"/>
      <c r="AM547" s="40"/>
      <c r="AN547" s="40"/>
    </row>
    <row r="548" spans="1:40" x14ac:dyDescent="0.3">
      <c r="A548" s="70"/>
      <c r="B548" s="70"/>
      <c r="D548" s="40"/>
      <c r="E548" s="40"/>
      <c r="G548" s="40"/>
      <c r="H548" s="40"/>
      <c r="I548" s="36"/>
      <c r="J548" s="36"/>
      <c r="K548" s="36"/>
      <c r="L548" s="36"/>
      <c r="M548" s="36"/>
      <c r="N548" s="36"/>
      <c r="P548" s="59"/>
      <c r="Q548" s="36"/>
      <c r="S548" s="36"/>
      <c r="T548" s="36"/>
      <c r="U548" s="36"/>
      <c r="AD548" s="36"/>
      <c r="AF548" s="36"/>
      <c r="AH548" s="36"/>
      <c r="AM548" s="40"/>
      <c r="AN548" s="40"/>
    </row>
    <row r="549" spans="1:40" x14ac:dyDescent="0.3">
      <c r="A549" s="70"/>
      <c r="B549" s="70"/>
      <c r="D549" s="40"/>
      <c r="E549" s="40"/>
      <c r="G549" s="40"/>
      <c r="H549" s="40"/>
      <c r="I549" s="36"/>
      <c r="J549" s="36"/>
      <c r="K549" s="36"/>
      <c r="L549" s="36"/>
      <c r="M549" s="36"/>
      <c r="N549" s="36"/>
      <c r="P549" s="59"/>
      <c r="Q549" s="36"/>
      <c r="S549" s="36"/>
      <c r="T549" s="36"/>
      <c r="U549" s="36"/>
      <c r="AD549" s="36"/>
      <c r="AF549" s="36"/>
      <c r="AH549" s="36"/>
      <c r="AM549" s="40"/>
      <c r="AN549" s="40"/>
    </row>
    <row r="550" spans="1:40" x14ac:dyDescent="0.3">
      <c r="A550" s="70"/>
      <c r="B550" s="70"/>
      <c r="D550" s="40"/>
      <c r="E550" s="40"/>
      <c r="G550" s="40"/>
      <c r="H550" s="40"/>
      <c r="I550" s="36"/>
      <c r="J550" s="36"/>
      <c r="K550" s="36"/>
      <c r="L550" s="36"/>
      <c r="M550" s="36"/>
      <c r="N550" s="36"/>
      <c r="P550" s="59"/>
      <c r="Q550" s="36"/>
      <c r="S550" s="36"/>
      <c r="T550" s="36"/>
      <c r="U550" s="36"/>
      <c r="AD550" s="36"/>
      <c r="AF550" s="36"/>
      <c r="AH550" s="36"/>
      <c r="AM550" s="40"/>
      <c r="AN550" s="40"/>
    </row>
    <row r="551" spans="1:40" x14ac:dyDescent="0.3">
      <c r="A551" s="70"/>
      <c r="B551" s="70"/>
      <c r="D551" s="40"/>
      <c r="E551" s="40"/>
      <c r="G551" s="40"/>
      <c r="H551" s="40"/>
      <c r="I551" s="36"/>
      <c r="J551" s="36"/>
      <c r="K551" s="36"/>
      <c r="L551" s="36"/>
      <c r="M551" s="36"/>
      <c r="N551" s="36"/>
      <c r="P551" s="59"/>
      <c r="Q551" s="36"/>
      <c r="S551" s="36"/>
      <c r="T551" s="36"/>
      <c r="U551" s="36"/>
      <c r="AD551" s="36"/>
      <c r="AF551" s="36"/>
      <c r="AH551" s="36"/>
      <c r="AM551" s="40"/>
      <c r="AN551" s="40"/>
    </row>
    <row r="552" spans="1:40" x14ac:dyDescent="0.3">
      <c r="A552" s="70"/>
      <c r="B552" s="70"/>
      <c r="D552" s="40"/>
      <c r="E552" s="40"/>
      <c r="G552" s="40"/>
      <c r="H552" s="40"/>
      <c r="I552" s="36"/>
      <c r="J552" s="36"/>
      <c r="K552" s="36"/>
      <c r="L552" s="36"/>
      <c r="M552" s="36"/>
      <c r="N552" s="36"/>
      <c r="P552" s="59"/>
      <c r="Q552" s="36"/>
      <c r="S552" s="36"/>
      <c r="T552" s="36"/>
      <c r="U552" s="36"/>
      <c r="AD552" s="36"/>
      <c r="AF552" s="36"/>
      <c r="AH552" s="36"/>
      <c r="AM552" s="40"/>
      <c r="AN552" s="40"/>
    </row>
    <row r="553" spans="1:40" x14ac:dyDescent="0.3">
      <c r="A553" s="70"/>
      <c r="B553" s="70"/>
      <c r="D553" s="40"/>
      <c r="E553" s="40"/>
      <c r="G553" s="40"/>
      <c r="H553" s="40"/>
      <c r="I553" s="36"/>
      <c r="J553" s="36"/>
      <c r="K553" s="36"/>
      <c r="L553" s="36"/>
      <c r="M553" s="36"/>
      <c r="N553" s="36"/>
      <c r="P553" s="59"/>
      <c r="Q553" s="36"/>
      <c r="S553" s="36"/>
      <c r="T553" s="36"/>
      <c r="U553" s="36"/>
      <c r="AD553" s="36"/>
      <c r="AF553" s="36"/>
      <c r="AH553" s="36"/>
      <c r="AM553" s="40"/>
      <c r="AN553" s="40"/>
    </row>
    <row r="554" spans="1:40" x14ac:dyDescent="0.3">
      <c r="A554" s="70"/>
      <c r="B554" s="70"/>
      <c r="E554" s="40"/>
      <c r="G554" s="40"/>
      <c r="H554" s="40"/>
      <c r="I554" s="36"/>
      <c r="J554" s="36"/>
      <c r="K554" s="36"/>
      <c r="L554" s="36"/>
      <c r="M554" s="36"/>
      <c r="N554" s="36"/>
      <c r="P554" s="59"/>
      <c r="Q554" s="36"/>
      <c r="S554" s="36"/>
      <c r="T554" s="36"/>
      <c r="U554" s="36"/>
      <c r="AD554" s="36"/>
      <c r="AF554" s="36"/>
      <c r="AH554" s="36"/>
      <c r="AM554" s="40"/>
      <c r="AN554" s="40"/>
    </row>
    <row r="555" spans="1:40" x14ac:dyDescent="0.3">
      <c r="A555" s="70"/>
      <c r="B555" s="70"/>
      <c r="E555" s="40"/>
      <c r="G555" s="40"/>
      <c r="H555" s="40"/>
      <c r="I555" s="36"/>
      <c r="J555" s="36"/>
      <c r="K555" s="36"/>
      <c r="L555" s="36"/>
      <c r="M555" s="36"/>
      <c r="N555" s="36"/>
      <c r="P555" s="59"/>
      <c r="Q555" s="36"/>
      <c r="S555" s="36"/>
      <c r="T555" s="36"/>
      <c r="U555" s="36"/>
      <c r="AD555" s="36"/>
      <c r="AF555" s="36"/>
      <c r="AH555" s="36"/>
      <c r="AM555" s="40"/>
      <c r="AN555" s="40"/>
    </row>
    <row r="556" spans="1:40" x14ac:dyDescent="0.3">
      <c r="A556" s="70"/>
      <c r="B556" s="70"/>
      <c r="E556" s="40"/>
      <c r="G556" s="40"/>
      <c r="H556" s="40"/>
      <c r="I556" s="36"/>
      <c r="J556" s="36"/>
      <c r="K556" s="36"/>
      <c r="L556" s="36"/>
      <c r="M556" s="36"/>
      <c r="N556" s="36"/>
      <c r="P556" s="59"/>
      <c r="Q556" s="36"/>
      <c r="S556" s="36"/>
      <c r="T556" s="36"/>
      <c r="U556" s="36"/>
      <c r="AD556" s="36"/>
      <c r="AF556" s="36"/>
      <c r="AH556" s="36"/>
      <c r="AM556" s="40"/>
      <c r="AN556" s="40"/>
    </row>
    <row r="557" spans="1:40" x14ac:dyDescent="0.3">
      <c r="A557" s="70"/>
      <c r="B557" s="70"/>
      <c r="E557" s="40"/>
      <c r="G557" s="40"/>
      <c r="H557" s="40"/>
      <c r="I557" s="36"/>
      <c r="J557" s="36"/>
      <c r="K557" s="36"/>
      <c r="L557" s="36"/>
      <c r="M557" s="36"/>
      <c r="N557" s="36"/>
      <c r="P557" s="59"/>
      <c r="Q557" s="36"/>
      <c r="S557" s="36"/>
      <c r="T557" s="36"/>
      <c r="U557" s="36"/>
      <c r="AD557" s="36"/>
      <c r="AF557" s="36"/>
      <c r="AH557" s="36"/>
      <c r="AM557" s="40"/>
      <c r="AN557" s="40"/>
    </row>
    <row r="558" spans="1:40" x14ac:dyDescent="0.3">
      <c r="A558" s="70"/>
      <c r="B558" s="70"/>
      <c r="E558" s="40"/>
      <c r="G558" s="40"/>
      <c r="H558" s="40"/>
      <c r="I558" s="36"/>
      <c r="J558" s="36"/>
      <c r="K558" s="36"/>
      <c r="L558" s="36"/>
      <c r="M558" s="36"/>
      <c r="N558" s="36"/>
      <c r="P558" s="59"/>
      <c r="Q558" s="36"/>
      <c r="S558" s="36"/>
      <c r="T558" s="36"/>
      <c r="U558" s="36"/>
      <c r="AD558" s="36"/>
      <c r="AF558" s="36"/>
      <c r="AH558" s="36"/>
      <c r="AM558" s="40"/>
      <c r="AN558" s="40"/>
    </row>
    <row r="559" spans="1:40" x14ac:dyDescent="0.3">
      <c r="A559" s="70"/>
      <c r="B559" s="70"/>
      <c r="E559" s="40"/>
      <c r="G559" s="40"/>
      <c r="H559" s="40"/>
      <c r="I559" s="36"/>
      <c r="J559" s="36"/>
      <c r="K559" s="36"/>
      <c r="L559" s="36"/>
      <c r="M559" s="36"/>
      <c r="N559" s="36"/>
      <c r="P559" s="59"/>
      <c r="Q559" s="36"/>
      <c r="S559" s="36"/>
      <c r="T559" s="36"/>
      <c r="U559" s="36"/>
      <c r="AD559" s="36"/>
      <c r="AF559" s="36"/>
      <c r="AH559" s="36"/>
      <c r="AM559" s="40"/>
      <c r="AN559" s="40"/>
    </row>
    <row r="560" spans="1:40" x14ac:dyDescent="0.3">
      <c r="A560" s="70"/>
      <c r="B560" s="70"/>
      <c r="E560" s="40"/>
      <c r="G560" s="40"/>
      <c r="H560" s="40"/>
      <c r="I560" s="36"/>
      <c r="J560" s="36"/>
      <c r="K560" s="36"/>
      <c r="L560" s="36"/>
      <c r="M560" s="36"/>
      <c r="N560" s="36"/>
      <c r="P560" s="59"/>
      <c r="Q560" s="36"/>
      <c r="S560" s="36"/>
      <c r="T560" s="36"/>
      <c r="U560" s="36"/>
      <c r="AD560" s="36"/>
      <c r="AF560" s="36"/>
      <c r="AH560" s="36"/>
      <c r="AM560" s="40"/>
      <c r="AN560" s="40"/>
    </row>
    <row r="561" spans="1:40" x14ac:dyDescent="0.3">
      <c r="A561" s="70"/>
      <c r="B561" s="70"/>
      <c r="E561" s="40"/>
      <c r="G561" s="40"/>
      <c r="H561" s="40"/>
      <c r="I561" s="36"/>
      <c r="J561" s="36"/>
      <c r="K561" s="36"/>
      <c r="L561" s="36"/>
      <c r="M561" s="36"/>
      <c r="N561" s="36"/>
      <c r="P561" s="59"/>
      <c r="Q561" s="36"/>
      <c r="S561" s="36"/>
      <c r="T561" s="36"/>
      <c r="U561" s="36"/>
      <c r="AD561" s="36"/>
      <c r="AF561" s="36"/>
      <c r="AH561" s="36"/>
      <c r="AM561" s="40"/>
      <c r="AN561" s="40"/>
    </row>
    <row r="562" spans="1:40" x14ac:dyDescent="0.3">
      <c r="A562" s="70"/>
      <c r="B562" s="70"/>
      <c r="E562" s="40"/>
      <c r="G562" s="40"/>
      <c r="H562" s="40"/>
      <c r="I562" s="36"/>
      <c r="J562" s="36"/>
      <c r="K562" s="36"/>
      <c r="L562" s="36"/>
      <c r="M562" s="36"/>
      <c r="N562" s="36"/>
      <c r="P562" s="59"/>
      <c r="Q562" s="36"/>
      <c r="S562" s="36"/>
      <c r="T562" s="36"/>
      <c r="U562" s="36"/>
      <c r="AD562" s="36"/>
      <c r="AF562" s="36"/>
      <c r="AH562" s="36"/>
      <c r="AM562" s="40"/>
      <c r="AN562" s="40"/>
    </row>
    <row r="563" spans="1:40" x14ac:dyDescent="0.3">
      <c r="A563" s="70"/>
      <c r="B563" s="70"/>
      <c r="E563" s="40"/>
      <c r="G563" s="40"/>
      <c r="H563" s="40"/>
      <c r="I563" s="36"/>
      <c r="J563" s="36"/>
      <c r="K563" s="36"/>
      <c r="L563" s="36"/>
      <c r="M563" s="36"/>
      <c r="N563" s="36"/>
      <c r="P563" s="59"/>
      <c r="Q563" s="36"/>
      <c r="S563" s="36"/>
      <c r="T563" s="36"/>
      <c r="U563" s="36"/>
      <c r="AD563" s="36"/>
      <c r="AF563" s="36"/>
      <c r="AH563" s="36"/>
      <c r="AM563" s="40"/>
      <c r="AN563" s="40"/>
    </row>
    <row r="564" spans="1:40" x14ac:dyDescent="0.3">
      <c r="A564" s="70"/>
      <c r="B564" s="70"/>
      <c r="E564" s="40"/>
      <c r="G564" s="40"/>
      <c r="H564" s="40"/>
      <c r="I564" s="36"/>
      <c r="J564" s="36"/>
      <c r="K564" s="36"/>
      <c r="L564" s="36"/>
      <c r="M564" s="36"/>
      <c r="N564" s="36"/>
      <c r="P564" s="59"/>
      <c r="Q564" s="36"/>
      <c r="S564" s="36"/>
      <c r="T564" s="36"/>
      <c r="U564" s="36"/>
      <c r="AD564" s="36"/>
      <c r="AF564" s="36"/>
      <c r="AH564" s="36"/>
      <c r="AM564" s="40"/>
      <c r="AN564" s="40"/>
    </row>
    <row r="565" spans="1:40" x14ac:dyDescent="0.3">
      <c r="A565" s="70"/>
      <c r="B565" s="70"/>
      <c r="E565" s="40"/>
      <c r="G565" s="40"/>
      <c r="H565" s="40"/>
      <c r="I565" s="36"/>
      <c r="J565" s="36"/>
      <c r="K565" s="36"/>
      <c r="L565" s="36"/>
      <c r="M565" s="36"/>
      <c r="N565" s="36"/>
      <c r="P565" s="59"/>
      <c r="Q565" s="36"/>
      <c r="S565" s="36"/>
      <c r="T565" s="36"/>
      <c r="U565" s="36"/>
      <c r="AD565" s="36"/>
      <c r="AF565" s="36"/>
      <c r="AH565" s="36"/>
      <c r="AM565" s="40"/>
      <c r="AN565" s="40"/>
    </row>
    <row r="566" spans="1:40" x14ac:dyDescent="0.3">
      <c r="A566" s="70"/>
      <c r="B566" s="70"/>
      <c r="E566" s="40"/>
      <c r="G566" s="40"/>
      <c r="H566" s="40"/>
      <c r="I566" s="36"/>
      <c r="J566" s="36"/>
      <c r="K566" s="36"/>
      <c r="L566" s="36"/>
      <c r="M566" s="36"/>
      <c r="N566" s="36"/>
      <c r="P566" s="59"/>
      <c r="Q566" s="36"/>
      <c r="S566" s="36"/>
      <c r="T566" s="36"/>
      <c r="U566" s="36"/>
      <c r="AD566" s="36"/>
      <c r="AF566" s="36"/>
      <c r="AH566" s="36"/>
      <c r="AM566" s="40"/>
      <c r="AN566" s="40"/>
    </row>
    <row r="567" spans="1:40" x14ac:dyDescent="0.3">
      <c r="A567" s="70"/>
      <c r="B567" s="70"/>
      <c r="E567" s="40"/>
      <c r="G567" s="40"/>
      <c r="H567" s="40"/>
      <c r="I567" s="36"/>
      <c r="J567" s="36"/>
      <c r="K567" s="36"/>
      <c r="L567" s="36"/>
      <c r="M567" s="36"/>
      <c r="N567" s="36"/>
      <c r="P567" s="59"/>
      <c r="Q567" s="36"/>
      <c r="S567" s="36"/>
      <c r="T567" s="36"/>
      <c r="U567" s="36"/>
      <c r="AD567" s="36"/>
      <c r="AF567" s="36"/>
      <c r="AH567" s="36"/>
      <c r="AM567" s="40"/>
      <c r="AN567" s="40"/>
    </row>
    <row r="568" spans="1:40" x14ac:dyDescent="0.3">
      <c r="A568" s="70"/>
      <c r="B568" s="70"/>
      <c r="E568" s="40"/>
      <c r="G568" s="40"/>
      <c r="H568" s="40"/>
      <c r="I568" s="36"/>
      <c r="J568" s="36"/>
      <c r="K568" s="36"/>
      <c r="L568" s="36"/>
      <c r="M568" s="36"/>
      <c r="N568" s="36"/>
      <c r="P568" s="59"/>
      <c r="Q568" s="36"/>
      <c r="S568" s="36"/>
      <c r="T568" s="36"/>
      <c r="U568" s="36"/>
      <c r="AD568" s="36"/>
      <c r="AF568" s="36"/>
      <c r="AH568" s="36"/>
      <c r="AM568" s="40"/>
      <c r="AN568" s="40"/>
    </row>
    <row r="569" spans="1:40" x14ac:dyDescent="0.3">
      <c r="A569" s="70"/>
      <c r="B569" s="70"/>
      <c r="E569" s="40"/>
      <c r="G569" s="40"/>
      <c r="H569" s="40"/>
      <c r="I569" s="36"/>
      <c r="J569" s="36"/>
      <c r="K569" s="36"/>
      <c r="L569" s="36"/>
      <c r="M569" s="36"/>
      <c r="N569" s="36"/>
      <c r="P569" s="59"/>
      <c r="Q569" s="36"/>
      <c r="S569" s="36"/>
      <c r="T569" s="36"/>
      <c r="U569" s="36"/>
      <c r="AD569" s="36"/>
      <c r="AF569" s="36"/>
      <c r="AH569" s="36"/>
      <c r="AM569" s="40"/>
      <c r="AN569" s="40"/>
    </row>
    <row r="570" spans="1:40" x14ac:dyDescent="0.3">
      <c r="A570" s="70"/>
      <c r="B570" s="70"/>
      <c r="E570" s="40"/>
      <c r="G570" s="40"/>
      <c r="H570" s="40"/>
      <c r="I570" s="36"/>
      <c r="J570" s="36"/>
      <c r="K570" s="36"/>
      <c r="L570" s="36"/>
      <c r="M570" s="36"/>
      <c r="N570" s="36"/>
      <c r="P570" s="59"/>
      <c r="Q570" s="36"/>
      <c r="S570" s="36"/>
      <c r="T570" s="36"/>
      <c r="U570" s="36"/>
      <c r="AD570" s="36"/>
      <c r="AF570" s="36"/>
      <c r="AH570" s="36"/>
      <c r="AM570" s="40"/>
      <c r="AN570" s="40"/>
    </row>
    <row r="571" spans="1:40" x14ac:dyDescent="0.3">
      <c r="A571" s="70"/>
      <c r="B571" s="70"/>
      <c r="E571" s="40"/>
      <c r="G571" s="40"/>
      <c r="H571" s="40"/>
      <c r="I571" s="36"/>
      <c r="J571" s="36"/>
      <c r="K571" s="36"/>
      <c r="L571" s="36"/>
      <c r="M571" s="36"/>
      <c r="N571" s="36"/>
      <c r="P571" s="59"/>
      <c r="Q571" s="36"/>
      <c r="S571" s="36"/>
      <c r="T571" s="36"/>
      <c r="U571" s="36"/>
      <c r="AD571" s="36"/>
      <c r="AF571" s="36"/>
      <c r="AH571" s="36"/>
      <c r="AM571" s="40"/>
      <c r="AN571" s="40"/>
    </row>
    <row r="572" spans="1:40" x14ac:dyDescent="0.3">
      <c r="A572" s="70"/>
      <c r="B572" s="70"/>
      <c r="E572" s="40"/>
      <c r="G572" s="40"/>
      <c r="H572" s="40"/>
      <c r="I572" s="36"/>
      <c r="J572" s="36"/>
      <c r="K572" s="36"/>
      <c r="L572" s="36"/>
      <c r="M572" s="36"/>
      <c r="N572" s="36"/>
      <c r="P572" s="59"/>
      <c r="Q572" s="36"/>
      <c r="S572" s="36"/>
      <c r="T572" s="36"/>
      <c r="U572" s="36"/>
      <c r="AD572" s="36"/>
      <c r="AF572" s="36"/>
      <c r="AH572" s="36"/>
      <c r="AM572" s="40"/>
      <c r="AN572" s="40"/>
    </row>
    <row r="573" spans="1:40" x14ac:dyDescent="0.3">
      <c r="A573" s="70"/>
      <c r="B573" s="70"/>
      <c r="E573" s="40"/>
      <c r="G573" s="40"/>
      <c r="H573" s="40"/>
      <c r="I573" s="36"/>
      <c r="J573" s="36"/>
      <c r="K573" s="36"/>
      <c r="L573" s="36"/>
      <c r="M573" s="36"/>
      <c r="N573" s="36"/>
      <c r="P573" s="59"/>
      <c r="Q573" s="36"/>
      <c r="S573" s="36"/>
      <c r="T573" s="36"/>
      <c r="U573" s="36"/>
      <c r="AD573" s="36"/>
      <c r="AF573" s="36"/>
      <c r="AH573" s="36"/>
      <c r="AM573" s="40"/>
      <c r="AN573" s="40"/>
    </row>
    <row r="574" spans="1:40" x14ac:dyDescent="0.3">
      <c r="A574" s="70"/>
      <c r="B574" s="70"/>
      <c r="E574" s="40"/>
      <c r="G574" s="40"/>
      <c r="H574" s="40"/>
      <c r="I574" s="36"/>
      <c r="J574" s="36"/>
      <c r="K574" s="36"/>
      <c r="L574" s="36"/>
      <c r="M574" s="36"/>
      <c r="N574" s="36"/>
      <c r="P574" s="59"/>
      <c r="Q574" s="36"/>
      <c r="S574" s="36"/>
      <c r="T574" s="36"/>
      <c r="U574" s="36"/>
      <c r="AD574" s="36"/>
      <c r="AF574" s="36"/>
      <c r="AH574" s="36"/>
      <c r="AM574" s="40"/>
      <c r="AN574" s="40"/>
    </row>
    <row r="575" spans="1:40" x14ac:dyDescent="0.3">
      <c r="A575" s="70"/>
      <c r="B575" s="70"/>
      <c r="E575" s="40"/>
      <c r="G575" s="40"/>
      <c r="H575" s="40"/>
      <c r="I575" s="36"/>
      <c r="J575" s="36"/>
      <c r="K575" s="36"/>
      <c r="L575" s="36"/>
      <c r="M575" s="36"/>
      <c r="N575" s="36"/>
      <c r="P575" s="59"/>
      <c r="Q575" s="36"/>
      <c r="S575" s="36"/>
      <c r="T575" s="36"/>
      <c r="U575" s="36"/>
      <c r="AD575" s="36"/>
      <c r="AF575" s="36"/>
      <c r="AH575" s="36"/>
      <c r="AM575" s="40"/>
      <c r="AN575" s="40"/>
    </row>
    <row r="576" spans="1:40" x14ac:dyDescent="0.3">
      <c r="A576" s="70"/>
      <c r="B576" s="70"/>
      <c r="E576" s="40"/>
      <c r="G576" s="40"/>
      <c r="H576" s="40"/>
      <c r="I576" s="36"/>
      <c r="J576" s="36"/>
      <c r="K576" s="36"/>
      <c r="L576" s="36"/>
      <c r="M576" s="36"/>
      <c r="N576" s="36"/>
      <c r="P576" s="59"/>
      <c r="Q576" s="36"/>
      <c r="S576" s="36"/>
      <c r="T576" s="36"/>
      <c r="U576" s="36"/>
      <c r="AD576" s="36"/>
      <c r="AF576" s="36"/>
      <c r="AH576" s="36"/>
      <c r="AM576" s="40"/>
      <c r="AN576" s="40"/>
    </row>
    <row r="577" spans="1:40" x14ac:dyDescent="0.3">
      <c r="A577" s="70"/>
      <c r="B577" s="70"/>
      <c r="E577" s="40"/>
      <c r="G577" s="40"/>
      <c r="H577" s="40"/>
      <c r="I577" s="36"/>
      <c r="J577" s="36"/>
      <c r="K577" s="36"/>
      <c r="L577" s="36"/>
      <c r="M577" s="36"/>
      <c r="N577" s="36"/>
      <c r="P577" s="59"/>
      <c r="Q577" s="36"/>
      <c r="S577" s="36"/>
      <c r="T577" s="36"/>
      <c r="U577" s="36"/>
      <c r="AD577" s="36"/>
      <c r="AF577" s="36"/>
      <c r="AH577" s="36"/>
      <c r="AM577" s="40"/>
      <c r="AN577" s="40"/>
    </row>
    <row r="578" spans="1:40" x14ac:dyDescent="0.3">
      <c r="A578" s="70"/>
      <c r="B578" s="70"/>
      <c r="E578" s="40"/>
      <c r="G578" s="40"/>
      <c r="H578" s="40"/>
      <c r="I578" s="36"/>
      <c r="J578" s="36"/>
      <c r="K578" s="36"/>
      <c r="L578" s="36"/>
      <c r="M578" s="36"/>
      <c r="N578" s="36"/>
      <c r="P578" s="59"/>
      <c r="Q578" s="36"/>
      <c r="S578" s="36"/>
      <c r="T578" s="36"/>
      <c r="U578" s="36"/>
      <c r="AD578" s="36"/>
      <c r="AF578" s="36"/>
      <c r="AH578" s="36"/>
      <c r="AM578" s="40"/>
      <c r="AN578" s="40"/>
    </row>
    <row r="579" spans="1:40" x14ac:dyDescent="0.3">
      <c r="A579" s="70"/>
      <c r="B579" s="70"/>
      <c r="E579" s="40"/>
      <c r="G579" s="40"/>
      <c r="H579" s="40"/>
      <c r="I579" s="36"/>
      <c r="J579" s="36"/>
      <c r="K579" s="36"/>
      <c r="L579" s="36"/>
      <c r="M579" s="36"/>
      <c r="N579" s="36"/>
      <c r="P579" s="59"/>
      <c r="Q579" s="36"/>
      <c r="S579" s="36"/>
      <c r="T579" s="36"/>
      <c r="U579" s="36"/>
      <c r="AD579" s="36"/>
      <c r="AF579" s="36"/>
      <c r="AH579" s="36"/>
      <c r="AM579" s="40"/>
      <c r="AN579" s="40"/>
    </row>
    <row r="580" spans="1:40" x14ac:dyDescent="0.3">
      <c r="A580" s="70"/>
      <c r="B580" s="70"/>
      <c r="E580" s="40"/>
      <c r="G580" s="40"/>
      <c r="H580" s="40"/>
      <c r="I580" s="36"/>
      <c r="J580" s="36"/>
      <c r="K580" s="36"/>
      <c r="L580" s="36"/>
      <c r="M580" s="36"/>
      <c r="N580" s="36"/>
      <c r="P580" s="59"/>
      <c r="Q580" s="36"/>
      <c r="S580" s="36"/>
      <c r="T580" s="36"/>
      <c r="U580" s="36"/>
      <c r="AD580" s="36"/>
      <c r="AF580" s="36"/>
      <c r="AH580" s="36"/>
      <c r="AM580" s="40"/>
      <c r="AN580" s="40"/>
    </row>
    <row r="581" spans="1:40" x14ac:dyDescent="0.3">
      <c r="A581" s="70"/>
      <c r="B581" s="70"/>
      <c r="E581" s="40"/>
      <c r="G581" s="40"/>
      <c r="H581" s="40"/>
      <c r="I581" s="36"/>
      <c r="J581" s="36"/>
      <c r="K581" s="36"/>
      <c r="L581" s="36"/>
      <c r="M581" s="36"/>
      <c r="N581" s="36"/>
      <c r="P581" s="59"/>
      <c r="Q581" s="36"/>
      <c r="S581" s="36"/>
      <c r="T581" s="36"/>
      <c r="U581" s="36"/>
      <c r="AD581" s="36"/>
      <c r="AF581" s="36"/>
      <c r="AH581" s="36"/>
      <c r="AM581" s="40"/>
      <c r="AN581" s="40"/>
    </row>
    <row r="582" spans="1:40" x14ac:dyDescent="0.3">
      <c r="A582" s="70"/>
      <c r="B582" s="70"/>
      <c r="E582" s="40"/>
      <c r="G582" s="40"/>
      <c r="H582" s="40"/>
      <c r="I582" s="36"/>
      <c r="J582" s="36"/>
      <c r="K582" s="36"/>
      <c r="L582" s="36"/>
      <c r="M582" s="36"/>
      <c r="N582" s="36"/>
      <c r="P582" s="59"/>
      <c r="Q582" s="36"/>
      <c r="S582" s="36"/>
      <c r="T582" s="36"/>
      <c r="U582" s="36"/>
      <c r="AD582" s="36"/>
      <c r="AF582" s="36"/>
      <c r="AH582" s="36"/>
      <c r="AM582" s="40"/>
      <c r="AN582" s="40"/>
    </row>
    <row r="583" spans="1:40" x14ac:dyDescent="0.3">
      <c r="A583" s="70"/>
      <c r="B583" s="70"/>
      <c r="E583" s="40"/>
      <c r="G583" s="40"/>
      <c r="H583" s="40"/>
      <c r="I583" s="36"/>
      <c r="J583" s="36"/>
      <c r="K583" s="36"/>
      <c r="L583" s="36"/>
      <c r="M583" s="36"/>
      <c r="N583" s="36"/>
      <c r="P583" s="59"/>
      <c r="Q583" s="36"/>
      <c r="S583" s="36"/>
      <c r="T583" s="36"/>
      <c r="U583" s="36"/>
      <c r="AD583" s="36"/>
      <c r="AF583" s="36"/>
      <c r="AH583" s="36"/>
      <c r="AM583" s="40"/>
      <c r="AN583" s="40"/>
    </row>
    <row r="584" spans="1:40" x14ac:dyDescent="0.3">
      <c r="A584" s="70"/>
      <c r="B584" s="70"/>
      <c r="E584" s="40"/>
      <c r="G584" s="40"/>
      <c r="H584" s="40"/>
      <c r="I584" s="36"/>
      <c r="J584" s="36"/>
      <c r="K584" s="36"/>
      <c r="L584" s="36"/>
      <c r="M584" s="36"/>
      <c r="N584" s="36"/>
      <c r="P584" s="59"/>
      <c r="Q584" s="36"/>
      <c r="S584" s="36"/>
      <c r="T584" s="36"/>
      <c r="U584" s="36"/>
      <c r="AD584" s="36"/>
      <c r="AF584" s="36"/>
      <c r="AH584" s="36"/>
      <c r="AM584" s="40"/>
      <c r="AN584" s="40"/>
    </row>
    <row r="585" spans="1:40" x14ac:dyDescent="0.3">
      <c r="A585" s="70"/>
      <c r="B585" s="70"/>
      <c r="E585" s="40"/>
      <c r="G585" s="40"/>
      <c r="H585" s="40"/>
      <c r="I585" s="36"/>
      <c r="J585" s="36"/>
      <c r="K585" s="36"/>
      <c r="L585" s="36"/>
      <c r="M585" s="36"/>
      <c r="N585" s="36"/>
      <c r="P585" s="59"/>
      <c r="Q585" s="36"/>
      <c r="S585" s="36"/>
      <c r="T585" s="36"/>
      <c r="U585" s="36"/>
      <c r="AD585" s="36"/>
      <c r="AF585" s="36"/>
      <c r="AH585" s="36"/>
      <c r="AM585" s="40"/>
      <c r="AN585" s="40"/>
    </row>
    <row r="586" spans="1:40" x14ac:dyDescent="0.3">
      <c r="A586" s="70"/>
      <c r="B586" s="70"/>
      <c r="E586" s="40"/>
      <c r="G586" s="40"/>
      <c r="H586" s="40"/>
      <c r="I586" s="36"/>
      <c r="J586" s="36"/>
      <c r="K586" s="36"/>
      <c r="L586" s="36"/>
      <c r="M586" s="36"/>
      <c r="N586" s="36"/>
      <c r="P586" s="59"/>
      <c r="Q586" s="36"/>
      <c r="S586" s="36"/>
      <c r="T586" s="36"/>
      <c r="U586" s="36"/>
      <c r="AD586" s="36"/>
      <c r="AF586" s="36"/>
      <c r="AH586" s="36"/>
      <c r="AM586" s="40"/>
      <c r="AN586" s="40"/>
    </row>
    <row r="587" spans="1:40" x14ac:dyDescent="0.3">
      <c r="A587" s="70"/>
      <c r="B587" s="70"/>
      <c r="E587" s="40"/>
      <c r="G587" s="40"/>
      <c r="H587" s="40"/>
      <c r="I587" s="36"/>
      <c r="J587" s="36"/>
      <c r="K587" s="36"/>
      <c r="L587" s="36"/>
      <c r="M587" s="36"/>
      <c r="N587" s="36"/>
      <c r="P587" s="59"/>
      <c r="Q587" s="36"/>
      <c r="S587" s="36"/>
      <c r="T587" s="36"/>
      <c r="U587" s="36"/>
      <c r="AD587" s="36"/>
      <c r="AF587" s="36"/>
      <c r="AH587" s="36"/>
      <c r="AM587" s="40"/>
      <c r="AN587" s="40"/>
    </row>
    <row r="588" spans="1:40" x14ac:dyDescent="0.3">
      <c r="A588" s="70"/>
      <c r="B588" s="70"/>
      <c r="E588" s="40"/>
      <c r="G588" s="40"/>
      <c r="H588" s="40"/>
      <c r="I588" s="36"/>
      <c r="J588" s="36"/>
      <c r="K588" s="36"/>
      <c r="L588" s="36"/>
      <c r="M588" s="36"/>
      <c r="N588" s="36"/>
      <c r="P588" s="59"/>
      <c r="Q588" s="36"/>
      <c r="S588" s="36"/>
      <c r="T588" s="36"/>
      <c r="U588" s="36"/>
      <c r="AD588" s="36"/>
      <c r="AF588" s="36"/>
      <c r="AH588" s="36"/>
      <c r="AM588" s="40"/>
      <c r="AN588" s="40"/>
    </row>
    <row r="589" spans="1:40" x14ac:dyDescent="0.3">
      <c r="A589" s="70"/>
      <c r="B589" s="70"/>
      <c r="E589" s="40"/>
      <c r="G589" s="40"/>
      <c r="H589" s="40"/>
      <c r="I589" s="36"/>
      <c r="J589" s="36"/>
      <c r="K589" s="36"/>
      <c r="L589" s="36"/>
      <c r="M589" s="36"/>
      <c r="N589" s="36"/>
      <c r="P589" s="59"/>
      <c r="Q589" s="36"/>
      <c r="S589" s="36"/>
      <c r="T589" s="36"/>
      <c r="U589" s="36"/>
      <c r="AD589" s="36"/>
      <c r="AF589" s="36"/>
      <c r="AH589" s="36"/>
      <c r="AM589" s="40"/>
      <c r="AN589" s="40"/>
    </row>
    <row r="590" spans="1:40" x14ac:dyDescent="0.3">
      <c r="A590" s="70"/>
      <c r="B590" s="70"/>
      <c r="E590" s="40"/>
      <c r="G590" s="40"/>
      <c r="H590" s="40"/>
      <c r="I590" s="36"/>
      <c r="J590" s="36"/>
      <c r="K590" s="36"/>
      <c r="L590" s="36"/>
      <c r="M590" s="36"/>
      <c r="N590" s="36"/>
      <c r="P590" s="59"/>
      <c r="Q590" s="36"/>
      <c r="S590" s="36"/>
      <c r="T590" s="36"/>
      <c r="U590" s="36"/>
      <c r="AD590" s="36"/>
      <c r="AF590" s="36"/>
      <c r="AH590" s="36"/>
      <c r="AM590" s="40"/>
      <c r="AN590" s="40"/>
    </row>
    <row r="591" spans="1:40" x14ac:dyDescent="0.3">
      <c r="A591" s="70"/>
      <c r="B591" s="70"/>
      <c r="E591" s="40"/>
      <c r="G591" s="40"/>
      <c r="H591" s="40"/>
      <c r="I591" s="36"/>
      <c r="J591" s="36"/>
      <c r="K591" s="36"/>
      <c r="L591" s="36"/>
      <c r="M591" s="36"/>
      <c r="N591" s="36"/>
      <c r="P591" s="59"/>
      <c r="Q591" s="36"/>
      <c r="S591" s="36"/>
      <c r="T591" s="36"/>
      <c r="U591" s="36"/>
      <c r="AD591" s="36"/>
      <c r="AF591" s="36"/>
      <c r="AH591" s="36"/>
      <c r="AM591" s="40"/>
      <c r="AN591" s="40"/>
    </row>
    <row r="592" spans="1:40" x14ac:dyDescent="0.3">
      <c r="A592" s="70"/>
      <c r="B592" s="70"/>
      <c r="E592" s="40"/>
      <c r="G592" s="40"/>
      <c r="H592" s="40"/>
      <c r="I592" s="36"/>
      <c r="J592" s="36"/>
      <c r="K592" s="36"/>
      <c r="L592" s="36"/>
      <c r="M592" s="36"/>
      <c r="N592" s="36"/>
      <c r="P592" s="59"/>
      <c r="Q592" s="36"/>
      <c r="S592" s="36"/>
      <c r="T592" s="36"/>
      <c r="U592" s="36"/>
      <c r="AD592" s="36"/>
      <c r="AF592" s="36"/>
      <c r="AH592" s="36"/>
      <c r="AM592" s="40"/>
      <c r="AN592" s="40"/>
    </row>
    <row r="593" spans="1:40" x14ac:dyDescent="0.3">
      <c r="A593" s="70"/>
      <c r="B593" s="70"/>
      <c r="E593" s="40"/>
      <c r="G593" s="40"/>
      <c r="H593" s="40"/>
      <c r="I593" s="36"/>
      <c r="J593" s="36"/>
      <c r="K593" s="36"/>
      <c r="L593" s="36"/>
      <c r="M593" s="36"/>
      <c r="N593" s="36"/>
      <c r="P593" s="59"/>
      <c r="Q593" s="36"/>
      <c r="S593" s="36"/>
      <c r="T593" s="36"/>
      <c r="U593" s="36"/>
      <c r="AD593" s="36"/>
      <c r="AF593" s="36"/>
      <c r="AH593" s="36"/>
      <c r="AM593" s="40"/>
      <c r="AN593" s="40"/>
    </row>
    <row r="594" spans="1:40" x14ac:dyDescent="0.3">
      <c r="A594" s="70"/>
      <c r="B594" s="70"/>
      <c r="E594" s="40"/>
      <c r="G594" s="40"/>
      <c r="H594" s="40"/>
      <c r="I594" s="36"/>
      <c r="J594" s="36"/>
      <c r="K594" s="36"/>
      <c r="L594" s="36"/>
      <c r="M594" s="36"/>
      <c r="N594" s="36"/>
      <c r="P594" s="59"/>
      <c r="Q594" s="36"/>
      <c r="S594" s="36"/>
      <c r="T594" s="36"/>
      <c r="U594" s="36"/>
      <c r="AD594" s="36"/>
      <c r="AF594" s="36"/>
      <c r="AH594" s="36"/>
      <c r="AM594" s="40"/>
      <c r="AN594" s="40"/>
    </row>
    <row r="595" spans="1:40" x14ac:dyDescent="0.3">
      <c r="A595" s="70"/>
      <c r="B595" s="70"/>
      <c r="E595" s="40"/>
      <c r="G595" s="40"/>
      <c r="H595" s="40"/>
      <c r="I595" s="36"/>
      <c r="J595" s="36"/>
      <c r="K595" s="36"/>
      <c r="L595" s="36"/>
      <c r="M595" s="36"/>
      <c r="N595" s="36"/>
      <c r="P595" s="59"/>
      <c r="Q595" s="36"/>
      <c r="S595" s="36"/>
      <c r="T595" s="36"/>
      <c r="U595" s="36"/>
      <c r="AD595" s="36"/>
      <c r="AF595" s="36"/>
      <c r="AH595" s="36"/>
      <c r="AM595" s="40"/>
      <c r="AN595" s="40"/>
    </row>
    <row r="596" spans="1:40" x14ac:dyDescent="0.3">
      <c r="A596" s="70"/>
      <c r="B596" s="70"/>
      <c r="E596" s="40"/>
      <c r="G596" s="40"/>
      <c r="H596" s="40"/>
      <c r="I596" s="36"/>
      <c r="J596" s="36"/>
      <c r="K596" s="36"/>
      <c r="L596" s="36"/>
      <c r="M596" s="36"/>
      <c r="N596" s="36"/>
      <c r="P596" s="59"/>
      <c r="Q596" s="36"/>
      <c r="S596" s="36"/>
      <c r="T596" s="36"/>
      <c r="U596" s="36"/>
      <c r="AD596" s="36"/>
      <c r="AF596" s="36"/>
      <c r="AH596" s="36"/>
      <c r="AM596" s="40"/>
      <c r="AN596" s="40"/>
    </row>
    <row r="597" spans="1:40" x14ac:dyDescent="0.3">
      <c r="A597" s="70"/>
      <c r="B597" s="70"/>
      <c r="E597" s="40"/>
      <c r="G597" s="40"/>
      <c r="H597" s="40"/>
      <c r="I597" s="36"/>
      <c r="J597" s="36"/>
      <c r="K597" s="36"/>
      <c r="L597" s="36"/>
      <c r="M597" s="36"/>
      <c r="N597" s="36"/>
      <c r="P597" s="59"/>
      <c r="Q597" s="36"/>
      <c r="S597" s="36"/>
      <c r="T597" s="36"/>
      <c r="U597" s="36"/>
      <c r="AD597" s="36"/>
      <c r="AF597" s="36"/>
      <c r="AH597" s="36"/>
      <c r="AM597" s="40"/>
      <c r="AN597" s="40"/>
    </row>
    <row r="598" spans="1:40" x14ac:dyDescent="0.3">
      <c r="A598" s="70"/>
      <c r="B598" s="70"/>
      <c r="E598" s="40"/>
      <c r="G598" s="40"/>
      <c r="H598" s="40"/>
      <c r="I598" s="36"/>
      <c r="J598" s="36"/>
      <c r="K598" s="36"/>
      <c r="L598" s="36"/>
      <c r="M598" s="36"/>
      <c r="N598" s="36"/>
      <c r="P598" s="59"/>
      <c r="Q598" s="36"/>
      <c r="S598" s="36"/>
      <c r="T598" s="36"/>
      <c r="U598" s="36"/>
      <c r="AD598" s="36"/>
      <c r="AF598" s="36"/>
      <c r="AH598" s="36"/>
      <c r="AM598" s="40"/>
      <c r="AN598" s="40"/>
    </row>
    <row r="599" spans="1:40" x14ac:dyDescent="0.3">
      <c r="A599" s="70"/>
      <c r="B599" s="70"/>
      <c r="E599" s="40"/>
      <c r="G599" s="40"/>
      <c r="H599" s="40"/>
      <c r="I599" s="36"/>
      <c r="J599" s="36"/>
      <c r="K599" s="36"/>
      <c r="L599" s="36"/>
      <c r="M599" s="36"/>
      <c r="N599" s="36"/>
      <c r="P599" s="59"/>
      <c r="Q599" s="36"/>
      <c r="S599" s="36"/>
      <c r="T599" s="36"/>
      <c r="U599" s="36"/>
      <c r="AD599" s="36"/>
      <c r="AF599" s="36"/>
      <c r="AH599" s="36"/>
      <c r="AM599" s="40"/>
      <c r="AN599" s="40"/>
    </row>
    <row r="600" spans="1:40" x14ac:dyDescent="0.3">
      <c r="A600" s="70"/>
      <c r="B600" s="70"/>
      <c r="E600" s="40"/>
      <c r="G600" s="40"/>
      <c r="H600" s="40"/>
      <c r="I600" s="36"/>
      <c r="J600" s="36"/>
      <c r="K600" s="36"/>
      <c r="L600" s="36"/>
      <c r="M600" s="36"/>
      <c r="N600" s="36"/>
      <c r="P600" s="59"/>
      <c r="Q600" s="36"/>
      <c r="S600" s="36"/>
      <c r="T600" s="36"/>
      <c r="U600" s="36"/>
      <c r="AD600" s="36"/>
      <c r="AF600" s="36"/>
      <c r="AH600" s="36"/>
      <c r="AM600" s="40"/>
      <c r="AN600" s="40"/>
    </row>
    <row r="601" spans="1:40" x14ac:dyDescent="0.3">
      <c r="A601" s="70"/>
      <c r="B601" s="70"/>
      <c r="E601" s="40"/>
      <c r="G601" s="40"/>
      <c r="H601" s="40"/>
      <c r="I601" s="36"/>
      <c r="J601" s="36"/>
      <c r="K601" s="36"/>
      <c r="L601" s="36"/>
      <c r="M601" s="36"/>
      <c r="N601" s="36"/>
      <c r="P601" s="59"/>
      <c r="Q601" s="36"/>
      <c r="S601" s="36"/>
      <c r="T601" s="36"/>
      <c r="U601" s="36"/>
      <c r="AD601" s="36"/>
      <c r="AF601" s="36"/>
      <c r="AH601" s="36"/>
      <c r="AM601" s="40"/>
      <c r="AN601" s="40"/>
    </row>
    <row r="602" spans="1:40" x14ac:dyDescent="0.3">
      <c r="A602" s="70"/>
      <c r="B602" s="70"/>
      <c r="E602" s="40"/>
      <c r="G602" s="40"/>
      <c r="H602" s="40"/>
      <c r="I602" s="36"/>
      <c r="J602" s="36"/>
      <c r="K602" s="36"/>
      <c r="L602" s="36"/>
      <c r="M602" s="36"/>
      <c r="N602" s="36"/>
      <c r="P602" s="59"/>
      <c r="Q602" s="36"/>
      <c r="S602" s="36"/>
      <c r="T602" s="36"/>
      <c r="U602" s="36"/>
      <c r="AD602" s="36"/>
      <c r="AF602" s="36"/>
      <c r="AH602" s="36"/>
      <c r="AM602" s="40"/>
      <c r="AN602" s="40"/>
    </row>
    <row r="603" spans="1:40" x14ac:dyDescent="0.3">
      <c r="A603" s="70"/>
      <c r="B603" s="70"/>
      <c r="E603" s="40"/>
      <c r="G603" s="40"/>
      <c r="H603" s="40"/>
      <c r="I603" s="36"/>
      <c r="J603" s="36"/>
      <c r="K603" s="36"/>
      <c r="L603" s="36"/>
      <c r="M603" s="36"/>
      <c r="N603" s="36"/>
      <c r="P603" s="59"/>
      <c r="Q603" s="36"/>
      <c r="S603" s="36"/>
      <c r="T603" s="36"/>
      <c r="U603" s="36"/>
      <c r="AD603" s="36"/>
      <c r="AF603" s="36"/>
      <c r="AH603" s="36"/>
      <c r="AM603" s="40"/>
      <c r="AN603" s="40"/>
    </row>
    <row r="604" spans="1:40" x14ac:dyDescent="0.3">
      <c r="A604" s="70"/>
      <c r="B604" s="70"/>
      <c r="E604" s="40"/>
      <c r="G604" s="40"/>
      <c r="H604" s="40"/>
      <c r="I604" s="36"/>
      <c r="J604" s="36"/>
      <c r="K604" s="36"/>
      <c r="L604" s="36"/>
      <c r="M604" s="36"/>
      <c r="N604" s="36"/>
      <c r="P604" s="59"/>
      <c r="Q604" s="36"/>
      <c r="S604" s="36"/>
      <c r="T604" s="36"/>
      <c r="U604" s="36"/>
      <c r="AD604" s="36"/>
      <c r="AF604" s="36"/>
      <c r="AH604" s="36"/>
      <c r="AM604" s="40"/>
      <c r="AN604" s="40"/>
    </row>
    <row r="605" spans="1:40" x14ac:dyDescent="0.3">
      <c r="A605" s="70"/>
      <c r="B605" s="70"/>
      <c r="E605" s="40"/>
      <c r="G605" s="40"/>
      <c r="H605" s="40"/>
      <c r="I605" s="36"/>
      <c r="J605" s="36"/>
      <c r="K605" s="36"/>
      <c r="L605" s="36"/>
      <c r="M605" s="36"/>
      <c r="N605" s="36"/>
      <c r="P605" s="59"/>
      <c r="Q605" s="36"/>
      <c r="S605" s="36"/>
      <c r="T605" s="36"/>
      <c r="U605" s="36"/>
      <c r="AD605" s="36"/>
      <c r="AF605" s="36"/>
      <c r="AH605" s="36"/>
      <c r="AM605" s="40"/>
      <c r="AN605" s="40"/>
    </row>
    <row r="606" spans="1:40" x14ac:dyDescent="0.3">
      <c r="A606" s="70"/>
      <c r="B606" s="70"/>
      <c r="E606" s="40"/>
      <c r="G606" s="40"/>
      <c r="H606" s="40"/>
      <c r="I606" s="36"/>
      <c r="J606" s="36"/>
      <c r="K606" s="36"/>
      <c r="L606" s="36"/>
      <c r="M606" s="36"/>
      <c r="N606" s="36"/>
      <c r="P606" s="59"/>
      <c r="Q606" s="36"/>
      <c r="S606" s="36"/>
      <c r="T606" s="36"/>
      <c r="U606" s="36"/>
      <c r="AD606" s="36"/>
      <c r="AF606" s="36"/>
      <c r="AH606" s="36"/>
      <c r="AM606" s="40"/>
      <c r="AN606" s="40"/>
    </row>
    <row r="607" spans="1:40" x14ac:dyDescent="0.3">
      <c r="A607" s="70"/>
      <c r="B607" s="70"/>
      <c r="E607" s="40"/>
      <c r="G607" s="40"/>
      <c r="H607" s="40"/>
      <c r="I607" s="36"/>
      <c r="J607" s="36"/>
      <c r="K607" s="36"/>
      <c r="L607" s="36"/>
      <c r="M607" s="36"/>
      <c r="N607" s="36"/>
      <c r="P607" s="59"/>
      <c r="Q607" s="36"/>
      <c r="S607" s="36"/>
      <c r="T607" s="36"/>
      <c r="U607" s="36"/>
      <c r="AD607" s="36"/>
      <c r="AF607" s="36"/>
      <c r="AH607" s="36"/>
      <c r="AM607" s="40"/>
      <c r="AN607" s="40"/>
    </row>
    <row r="608" spans="1:40" x14ac:dyDescent="0.3">
      <c r="A608" s="70"/>
      <c r="B608" s="70"/>
      <c r="E608" s="40"/>
      <c r="G608" s="40"/>
      <c r="H608" s="40"/>
      <c r="I608" s="36"/>
      <c r="J608" s="36"/>
      <c r="K608" s="36"/>
      <c r="L608" s="36"/>
      <c r="M608" s="36"/>
      <c r="N608" s="36"/>
      <c r="P608" s="59"/>
      <c r="Q608" s="36"/>
      <c r="S608" s="36"/>
      <c r="T608" s="36"/>
      <c r="U608" s="36"/>
      <c r="AD608" s="36"/>
      <c r="AF608" s="36"/>
      <c r="AH608" s="36"/>
      <c r="AM608" s="40"/>
      <c r="AN608" s="40"/>
    </row>
    <row r="609" spans="1:40" x14ac:dyDescent="0.3">
      <c r="A609" s="70"/>
      <c r="B609" s="70"/>
      <c r="E609" s="40"/>
      <c r="G609" s="40"/>
      <c r="H609" s="40"/>
      <c r="I609" s="36"/>
      <c r="J609" s="36"/>
      <c r="K609" s="36"/>
      <c r="L609" s="36"/>
      <c r="M609" s="36"/>
      <c r="N609" s="36"/>
      <c r="P609" s="59"/>
      <c r="Q609" s="36"/>
      <c r="S609" s="36"/>
      <c r="T609" s="36"/>
      <c r="U609" s="36"/>
      <c r="AD609" s="36"/>
      <c r="AF609" s="36"/>
      <c r="AH609" s="36"/>
      <c r="AM609" s="40"/>
      <c r="AN609" s="40"/>
    </row>
    <row r="610" spans="1:40" x14ac:dyDescent="0.3">
      <c r="A610" s="70"/>
      <c r="B610" s="70"/>
      <c r="E610" s="40"/>
      <c r="G610" s="40"/>
      <c r="H610" s="40"/>
      <c r="I610" s="36"/>
      <c r="J610" s="36"/>
      <c r="K610" s="36"/>
      <c r="L610" s="36"/>
      <c r="M610" s="36"/>
      <c r="N610" s="36"/>
      <c r="P610" s="59"/>
      <c r="Q610" s="36"/>
      <c r="S610" s="36"/>
      <c r="T610" s="36"/>
      <c r="U610" s="36"/>
      <c r="AD610" s="36"/>
      <c r="AF610" s="36"/>
      <c r="AH610" s="36"/>
      <c r="AM610" s="40"/>
      <c r="AN610" s="40"/>
    </row>
    <row r="611" spans="1:40" x14ac:dyDescent="0.3">
      <c r="A611" s="70"/>
      <c r="B611" s="70"/>
      <c r="E611" s="40"/>
      <c r="G611" s="40"/>
      <c r="H611" s="40"/>
      <c r="I611" s="36"/>
      <c r="J611" s="36"/>
      <c r="K611" s="36"/>
      <c r="L611" s="36"/>
      <c r="M611" s="36"/>
      <c r="N611" s="36"/>
      <c r="P611" s="59"/>
      <c r="Q611" s="36"/>
      <c r="S611" s="36"/>
      <c r="T611" s="36"/>
      <c r="U611" s="36"/>
      <c r="AD611" s="36"/>
      <c r="AF611" s="36"/>
      <c r="AH611" s="36"/>
      <c r="AM611" s="40"/>
      <c r="AN611" s="40"/>
    </row>
    <row r="612" spans="1:40" x14ac:dyDescent="0.3">
      <c r="A612" s="70"/>
      <c r="B612" s="70"/>
      <c r="E612" s="40"/>
      <c r="G612" s="40"/>
      <c r="H612" s="40"/>
      <c r="I612" s="36"/>
      <c r="J612" s="36"/>
      <c r="K612" s="36"/>
      <c r="L612" s="36"/>
      <c r="M612" s="36"/>
      <c r="N612" s="36"/>
      <c r="P612" s="59"/>
      <c r="Q612" s="36"/>
      <c r="S612" s="36"/>
      <c r="T612" s="36"/>
      <c r="U612" s="36"/>
      <c r="AD612" s="36"/>
      <c r="AF612" s="36"/>
      <c r="AH612" s="36"/>
      <c r="AM612" s="40"/>
      <c r="AN612" s="40"/>
    </row>
    <row r="613" spans="1:40" x14ac:dyDescent="0.3">
      <c r="A613" s="70"/>
      <c r="B613" s="70"/>
      <c r="E613" s="40"/>
      <c r="G613" s="40"/>
      <c r="H613" s="40"/>
      <c r="I613" s="36"/>
      <c r="J613" s="36"/>
      <c r="K613" s="36"/>
      <c r="L613" s="36"/>
      <c r="M613" s="36"/>
      <c r="N613" s="36"/>
      <c r="P613" s="59"/>
      <c r="Q613" s="36"/>
      <c r="S613" s="36"/>
      <c r="T613" s="36"/>
      <c r="U613" s="36"/>
      <c r="AD613" s="36"/>
      <c r="AF613" s="36"/>
      <c r="AH613" s="36"/>
      <c r="AM613" s="40"/>
      <c r="AN613" s="40"/>
    </row>
    <row r="614" spans="1:40" x14ac:dyDescent="0.3">
      <c r="A614" s="70"/>
      <c r="B614" s="70"/>
      <c r="E614" s="40"/>
      <c r="G614" s="40"/>
      <c r="H614" s="40"/>
      <c r="I614" s="36"/>
      <c r="J614" s="36"/>
      <c r="K614" s="36"/>
      <c r="L614" s="36"/>
      <c r="M614" s="36"/>
      <c r="N614" s="36"/>
      <c r="P614" s="59"/>
      <c r="Q614" s="36"/>
      <c r="S614" s="36"/>
      <c r="T614" s="36"/>
      <c r="U614" s="36"/>
      <c r="AD614" s="36"/>
      <c r="AF614" s="36"/>
      <c r="AH614" s="36"/>
      <c r="AM614" s="40"/>
      <c r="AN614" s="40"/>
    </row>
    <row r="615" spans="1:40" x14ac:dyDescent="0.3">
      <c r="A615" s="70"/>
      <c r="B615" s="70"/>
      <c r="E615" s="40"/>
      <c r="G615" s="40"/>
      <c r="H615" s="40"/>
      <c r="I615" s="36"/>
      <c r="J615" s="36"/>
      <c r="K615" s="36"/>
      <c r="L615" s="36"/>
      <c r="M615" s="36"/>
      <c r="N615" s="36"/>
      <c r="P615" s="59"/>
      <c r="Q615" s="36"/>
      <c r="S615" s="36"/>
      <c r="T615" s="36"/>
      <c r="U615" s="36"/>
      <c r="AD615" s="36"/>
      <c r="AF615" s="36"/>
      <c r="AH615" s="36"/>
      <c r="AM615" s="40"/>
      <c r="AN615" s="40"/>
    </row>
    <row r="616" spans="1:40" x14ac:dyDescent="0.3">
      <c r="A616" s="70"/>
      <c r="B616" s="70"/>
      <c r="E616" s="40"/>
      <c r="G616" s="40"/>
      <c r="H616" s="40"/>
      <c r="I616" s="36"/>
      <c r="J616" s="36"/>
      <c r="K616" s="36"/>
      <c r="L616" s="36"/>
      <c r="M616" s="36"/>
      <c r="N616" s="36"/>
      <c r="P616" s="59"/>
      <c r="Q616" s="36"/>
      <c r="S616" s="36"/>
      <c r="T616" s="36"/>
      <c r="U616" s="36"/>
      <c r="AD616" s="36"/>
      <c r="AF616" s="36"/>
      <c r="AH616" s="36"/>
      <c r="AM616" s="40"/>
      <c r="AN616" s="40"/>
    </row>
    <row r="617" spans="1:40" x14ac:dyDescent="0.3">
      <c r="A617" s="70"/>
      <c r="B617" s="70"/>
      <c r="E617" s="40"/>
      <c r="G617" s="40"/>
      <c r="H617" s="40"/>
      <c r="I617" s="36"/>
      <c r="J617" s="36"/>
      <c r="K617" s="36"/>
      <c r="L617" s="36"/>
      <c r="M617" s="36"/>
      <c r="N617" s="36"/>
      <c r="P617" s="59"/>
      <c r="Q617" s="36"/>
      <c r="S617" s="36"/>
      <c r="T617" s="36"/>
      <c r="U617" s="36"/>
      <c r="AD617" s="36"/>
      <c r="AF617" s="36"/>
      <c r="AH617" s="36"/>
      <c r="AM617" s="40"/>
      <c r="AN617" s="40"/>
    </row>
    <row r="618" spans="1:40" x14ac:dyDescent="0.3">
      <c r="A618" s="70"/>
      <c r="B618" s="70"/>
      <c r="E618" s="40"/>
      <c r="G618" s="40"/>
      <c r="H618" s="40"/>
      <c r="I618" s="36"/>
      <c r="J618" s="36"/>
      <c r="K618" s="36"/>
      <c r="L618" s="36"/>
      <c r="M618" s="36"/>
      <c r="N618" s="36"/>
      <c r="P618" s="59"/>
      <c r="Q618" s="36"/>
      <c r="S618" s="36"/>
      <c r="T618" s="36"/>
      <c r="U618" s="36"/>
      <c r="AD618" s="36"/>
      <c r="AF618" s="36"/>
      <c r="AH618" s="36"/>
      <c r="AM618" s="40"/>
      <c r="AN618" s="40"/>
    </row>
    <row r="619" spans="1:40" x14ac:dyDescent="0.3">
      <c r="A619" s="70"/>
      <c r="B619" s="70"/>
      <c r="E619" s="40"/>
      <c r="G619" s="40"/>
      <c r="H619" s="40"/>
      <c r="I619" s="36"/>
      <c r="J619" s="36"/>
      <c r="K619" s="36"/>
      <c r="L619" s="36"/>
      <c r="M619" s="36"/>
      <c r="N619" s="36"/>
      <c r="P619" s="59"/>
      <c r="Q619" s="36"/>
      <c r="S619" s="36"/>
      <c r="T619" s="36"/>
      <c r="U619" s="36"/>
      <c r="AD619" s="36"/>
      <c r="AF619" s="36"/>
      <c r="AH619" s="36"/>
      <c r="AM619" s="40"/>
      <c r="AN619" s="40"/>
    </row>
    <row r="620" spans="1:40" x14ac:dyDescent="0.3">
      <c r="A620" s="70"/>
      <c r="B620" s="70"/>
      <c r="E620" s="40"/>
      <c r="G620" s="40"/>
      <c r="H620" s="40"/>
      <c r="I620" s="36"/>
      <c r="J620" s="36"/>
      <c r="K620" s="36"/>
      <c r="L620" s="36"/>
      <c r="M620" s="36"/>
      <c r="N620" s="36"/>
      <c r="P620" s="59"/>
      <c r="Q620" s="36"/>
      <c r="S620" s="36"/>
      <c r="T620" s="36"/>
      <c r="U620" s="36"/>
      <c r="AD620" s="36"/>
      <c r="AF620" s="36"/>
      <c r="AH620" s="36"/>
      <c r="AM620" s="40"/>
      <c r="AN620" s="40"/>
    </row>
    <row r="621" spans="1:40" x14ac:dyDescent="0.3">
      <c r="A621" s="70"/>
      <c r="B621" s="70"/>
      <c r="E621" s="40"/>
      <c r="G621" s="40"/>
      <c r="H621" s="40"/>
      <c r="I621" s="36"/>
      <c r="J621" s="36"/>
      <c r="K621" s="36"/>
      <c r="L621" s="36"/>
      <c r="M621" s="36"/>
      <c r="N621" s="36"/>
      <c r="P621" s="59"/>
      <c r="Q621" s="36"/>
      <c r="S621" s="36"/>
      <c r="T621" s="36"/>
      <c r="U621" s="36"/>
      <c r="AD621" s="36"/>
      <c r="AF621" s="36"/>
      <c r="AH621" s="36"/>
      <c r="AM621" s="40"/>
      <c r="AN621" s="40"/>
    </row>
    <row r="622" spans="1:40" x14ac:dyDescent="0.3">
      <c r="A622" s="70"/>
      <c r="B622" s="70"/>
      <c r="E622" s="40"/>
      <c r="G622" s="40"/>
      <c r="H622" s="40"/>
      <c r="I622" s="36"/>
      <c r="J622" s="36"/>
      <c r="K622" s="36"/>
      <c r="L622" s="36"/>
      <c r="M622" s="36"/>
      <c r="N622" s="36"/>
      <c r="P622" s="59"/>
      <c r="Q622" s="36"/>
      <c r="S622" s="36"/>
      <c r="T622" s="36"/>
      <c r="U622" s="36"/>
      <c r="AD622" s="36"/>
      <c r="AF622" s="36"/>
      <c r="AH622" s="36"/>
      <c r="AM622" s="40"/>
      <c r="AN622" s="40"/>
    </row>
    <row r="623" spans="1:40" x14ac:dyDescent="0.3">
      <c r="A623" s="70"/>
      <c r="B623" s="70"/>
      <c r="E623" s="40"/>
      <c r="G623" s="40"/>
      <c r="H623" s="40"/>
      <c r="I623" s="36"/>
      <c r="J623" s="36"/>
      <c r="K623" s="36"/>
      <c r="L623" s="36"/>
      <c r="M623" s="36"/>
      <c r="N623" s="36"/>
      <c r="P623" s="59"/>
      <c r="Q623" s="36"/>
      <c r="S623" s="36"/>
      <c r="T623" s="36"/>
      <c r="U623" s="36"/>
      <c r="AD623" s="36"/>
      <c r="AF623" s="36"/>
      <c r="AH623" s="36"/>
      <c r="AM623" s="40"/>
      <c r="AN623" s="40"/>
    </row>
    <row r="624" spans="1:40" x14ac:dyDescent="0.3">
      <c r="A624" s="70"/>
      <c r="B624" s="70"/>
      <c r="E624" s="40"/>
      <c r="G624" s="40"/>
      <c r="H624" s="40"/>
      <c r="I624" s="36"/>
      <c r="J624" s="36"/>
      <c r="K624" s="36"/>
      <c r="L624" s="36"/>
      <c r="M624" s="36"/>
      <c r="N624" s="36"/>
      <c r="P624" s="59"/>
      <c r="Q624" s="36"/>
      <c r="S624" s="36"/>
      <c r="T624" s="36"/>
      <c r="U624" s="36"/>
      <c r="AD624" s="36"/>
      <c r="AF624" s="36"/>
      <c r="AH624" s="36"/>
      <c r="AM624" s="40"/>
      <c r="AN624" s="40"/>
    </row>
    <row r="625" spans="1:40" x14ac:dyDescent="0.3">
      <c r="A625" s="70"/>
      <c r="B625" s="70"/>
      <c r="E625" s="40"/>
      <c r="G625" s="40"/>
      <c r="H625" s="40"/>
      <c r="I625" s="36"/>
      <c r="J625" s="36"/>
      <c r="K625" s="36"/>
      <c r="L625" s="36"/>
      <c r="M625" s="36"/>
      <c r="N625" s="36"/>
      <c r="P625" s="59"/>
      <c r="Q625" s="36"/>
      <c r="S625" s="36"/>
      <c r="T625" s="36"/>
      <c r="U625" s="36"/>
      <c r="AD625" s="36"/>
      <c r="AF625" s="36"/>
      <c r="AH625" s="36"/>
      <c r="AM625" s="40"/>
      <c r="AN625" s="40"/>
    </row>
    <row r="626" spans="1:40" x14ac:dyDescent="0.3">
      <c r="A626" s="70"/>
      <c r="B626" s="70"/>
      <c r="E626" s="40"/>
      <c r="G626" s="40"/>
      <c r="H626" s="40"/>
      <c r="I626" s="36"/>
      <c r="J626" s="36"/>
      <c r="K626" s="36"/>
      <c r="L626" s="36"/>
      <c r="M626" s="36"/>
      <c r="N626" s="36"/>
      <c r="P626" s="59"/>
      <c r="Q626" s="36"/>
      <c r="S626" s="36"/>
      <c r="T626" s="36"/>
      <c r="U626" s="36"/>
      <c r="AD626" s="36"/>
      <c r="AF626" s="36"/>
      <c r="AH626" s="36"/>
      <c r="AM626" s="40"/>
      <c r="AN626" s="40"/>
    </row>
    <row r="627" spans="1:40" x14ac:dyDescent="0.3">
      <c r="A627" s="70"/>
      <c r="B627" s="70"/>
      <c r="E627" s="40"/>
      <c r="G627" s="40"/>
      <c r="H627" s="40"/>
      <c r="I627" s="36"/>
      <c r="J627" s="36"/>
      <c r="K627" s="36"/>
      <c r="L627" s="36"/>
      <c r="M627" s="36"/>
      <c r="N627" s="36"/>
      <c r="P627" s="59"/>
      <c r="Q627" s="36"/>
      <c r="S627" s="36"/>
      <c r="T627" s="36"/>
      <c r="U627" s="36"/>
      <c r="AD627" s="36"/>
      <c r="AF627" s="36"/>
      <c r="AH627" s="36"/>
      <c r="AM627" s="40"/>
      <c r="AN627" s="40"/>
    </row>
    <row r="628" spans="1:40" x14ac:dyDescent="0.3">
      <c r="A628" s="70"/>
      <c r="B628" s="70"/>
      <c r="E628" s="40"/>
      <c r="G628" s="40"/>
      <c r="H628" s="40"/>
      <c r="I628" s="36"/>
      <c r="J628" s="36"/>
      <c r="K628" s="36"/>
      <c r="L628" s="36"/>
      <c r="M628" s="36"/>
      <c r="N628" s="36"/>
      <c r="P628" s="59"/>
      <c r="Q628" s="36"/>
      <c r="S628" s="36"/>
      <c r="T628" s="36"/>
      <c r="U628" s="36"/>
      <c r="AD628" s="36"/>
      <c r="AF628" s="36"/>
      <c r="AH628" s="36"/>
      <c r="AM628" s="40"/>
      <c r="AN628" s="40"/>
    </row>
    <row r="629" spans="1:40" x14ac:dyDescent="0.3">
      <c r="A629" s="70"/>
      <c r="B629" s="70"/>
      <c r="E629" s="40"/>
      <c r="G629" s="40"/>
      <c r="H629" s="40"/>
      <c r="I629" s="36"/>
      <c r="J629" s="36"/>
      <c r="K629" s="36"/>
      <c r="L629" s="36"/>
      <c r="M629" s="36"/>
      <c r="N629" s="36"/>
      <c r="P629" s="59"/>
      <c r="Q629" s="36"/>
      <c r="S629" s="36"/>
      <c r="T629" s="36"/>
      <c r="U629" s="36"/>
      <c r="AD629" s="36"/>
      <c r="AF629" s="36"/>
      <c r="AH629" s="36"/>
      <c r="AM629" s="40"/>
      <c r="AN629" s="40"/>
    </row>
    <row r="630" spans="1:40" x14ac:dyDescent="0.3">
      <c r="A630" s="70"/>
      <c r="B630" s="70"/>
      <c r="E630" s="40"/>
      <c r="G630" s="40"/>
      <c r="H630" s="40"/>
      <c r="I630" s="36"/>
      <c r="J630" s="36"/>
      <c r="K630" s="36"/>
      <c r="L630" s="36"/>
      <c r="M630" s="36"/>
      <c r="N630" s="36"/>
      <c r="P630" s="59"/>
      <c r="Q630" s="36"/>
      <c r="S630" s="36"/>
      <c r="T630" s="36"/>
      <c r="U630" s="36"/>
      <c r="AD630" s="36"/>
      <c r="AF630" s="36"/>
      <c r="AH630" s="36"/>
      <c r="AM630" s="40"/>
      <c r="AN630" s="40"/>
    </row>
    <row r="631" spans="1:40" x14ac:dyDescent="0.3">
      <c r="A631" s="70"/>
      <c r="B631" s="70"/>
      <c r="E631" s="40"/>
      <c r="G631" s="40"/>
      <c r="H631" s="40"/>
      <c r="I631" s="36"/>
      <c r="J631" s="36"/>
      <c r="K631" s="36"/>
      <c r="L631" s="36"/>
      <c r="M631" s="36"/>
      <c r="N631" s="36"/>
      <c r="P631" s="59"/>
      <c r="Q631" s="36"/>
      <c r="S631" s="36"/>
      <c r="T631" s="36"/>
      <c r="U631" s="36"/>
      <c r="AD631" s="36"/>
      <c r="AF631" s="36"/>
      <c r="AH631" s="36"/>
      <c r="AM631" s="40"/>
      <c r="AN631" s="40"/>
    </row>
    <row r="632" spans="1:40" x14ac:dyDescent="0.3">
      <c r="A632" s="70"/>
      <c r="B632" s="70"/>
      <c r="E632" s="40"/>
      <c r="G632" s="40"/>
      <c r="H632" s="40"/>
      <c r="I632" s="36"/>
      <c r="J632" s="36"/>
      <c r="K632" s="36"/>
      <c r="L632" s="36"/>
      <c r="M632" s="36"/>
      <c r="N632" s="36"/>
      <c r="P632" s="59"/>
      <c r="Q632" s="36"/>
      <c r="S632" s="36"/>
      <c r="T632" s="36"/>
      <c r="U632" s="36"/>
      <c r="AD632" s="36"/>
      <c r="AF632" s="36"/>
      <c r="AH632" s="36"/>
      <c r="AM632" s="40"/>
      <c r="AN632" s="40"/>
    </row>
    <row r="633" spans="1:40" x14ac:dyDescent="0.3">
      <c r="A633" s="70"/>
      <c r="B633" s="70"/>
      <c r="E633" s="40"/>
      <c r="G633" s="40"/>
      <c r="H633" s="40"/>
      <c r="I633" s="36"/>
      <c r="J633" s="36"/>
      <c r="K633" s="36"/>
      <c r="L633" s="36"/>
      <c r="M633" s="36"/>
      <c r="N633" s="36"/>
      <c r="P633" s="59"/>
      <c r="Q633" s="36"/>
      <c r="S633" s="36"/>
      <c r="T633" s="36"/>
      <c r="U633" s="36"/>
      <c r="AD633" s="36"/>
      <c r="AF633" s="36"/>
      <c r="AH633" s="36"/>
      <c r="AM633" s="40"/>
      <c r="AN633" s="40"/>
    </row>
    <row r="634" spans="1:40" x14ac:dyDescent="0.3">
      <c r="A634" s="70"/>
      <c r="B634" s="70"/>
      <c r="E634" s="40"/>
      <c r="G634" s="40"/>
      <c r="H634" s="40"/>
      <c r="I634" s="36"/>
      <c r="J634" s="36"/>
      <c r="K634" s="36"/>
      <c r="L634" s="36"/>
      <c r="M634" s="36"/>
      <c r="N634" s="36"/>
      <c r="P634" s="59"/>
      <c r="Q634" s="36"/>
      <c r="S634" s="36"/>
      <c r="T634" s="36"/>
      <c r="U634" s="36"/>
      <c r="AD634" s="36"/>
      <c r="AF634" s="36"/>
      <c r="AH634" s="36"/>
      <c r="AM634" s="40"/>
      <c r="AN634" s="40"/>
    </row>
    <row r="635" spans="1:40" x14ac:dyDescent="0.3">
      <c r="A635" s="70"/>
      <c r="B635" s="70"/>
      <c r="E635" s="40"/>
      <c r="G635" s="40"/>
      <c r="H635" s="40"/>
      <c r="I635" s="36"/>
      <c r="J635" s="36"/>
      <c r="K635" s="36"/>
      <c r="L635" s="36"/>
      <c r="M635" s="36"/>
      <c r="N635" s="36"/>
      <c r="P635" s="59"/>
      <c r="Q635" s="36"/>
      <c r="S635" s="36"/>
      <c r="T635" s="36"/>
      <c r="U635" s="36"/>
      <c r="AD635" s="36"/>
      <c r="AF635" s="36"/>
      <c r="AH635" s="36"/>
      <c r="AM635" s="40"/>
      <c r="AN635" s="40"/>
    </row>
    <row r="636" spans="1:40" x14ac:dyDescent="0.3">
      <c r="A636" s="70"/>
      <c r="B636" s="70"/>
      <c r="E636" s="40"/>
      <c r="G636" s="40"/>
      <c r="H636" s="40"/>
      <c r="I636" s="36"/>
      <c r="J636" s="36"/>
      <c r="K636" s="36"/>
      <c r="L636" s="36"/>
      <c r="M636" s="36"/>
      <c r="N636" s="36"/>
      <c r="P636" s="59"/>
      <c r="Q636" s="36"/>
      <c r="S636" s="36"/>
      <c r="T636" s="36"/>
      <c r="U636" s="36"/>
      <c r="AD636" s="36"/>
      <c r="AF636" s="36"/>
      <c r="AH636" s="36"/>
      <c r="AM636" s="40"/>
      <c r="AN636" s="40"/>
    </row>
    <row r="637" spans="1:40" x14ac:dyDescent="0.3">
      <c r="A637" s="70"/>
      <c r="B637" s="70"/>
      <c r="E637" s="40"/>
      <c r="G637" s="40"/>
      <c r="H637" s="40"/>
      <c r="I637" s="36"/>
      <c r="J637" s="36"/>
      <c r="K637" s="36"/>
      <c r="L637" s="36"/>
      <c r="M637" s="36"/>
      <c r="N637" s="36"/>
      <c r="P637" s="59"/>
      <c r="Q637" s="36"/>
      <c r="S637" s="36"/>
      <c r="T637" s="36"/>
      <c r="U637" s="36"/>
      <c r="AD637" s="36"/>
      <c r="AF637" s="36"/>
      <c r="AH637" s="36"/>
      <c r="AM637" s="40"/>
      <c r="AN637" s="40"/>
    </row>
    <row r="638" spans="1:40" x14ac:dyDescent="0.3">
      <c r="A638" s="70"/>
      <c r="B638" s="70"/>
      <c r="E638" s="40"/>
      <c r="G638" s="40"/>
      <c r="H638" s="40"/>
      <c r="I638" s="36"/>
      <c r="J638" s="36"/>
      <c r="K638" s="36"/>
      <c r="L638" s="36"/>
      <c r="M638" s="36"/>
      <c r="N638" s="36"/>
      <c r="P638" s="59"/>
      <c r="Q638" s="36"/>
      <c r="S638" s="36"/>
      <c r="T638" s="36"/>
      <c r="U638" s="36"/>
      <c r="AD638" s="36"/>
      <c r="AF638" s="36"/>
      <c r="AH638" s="36"/>
      <c r="AM638" s="40"/>
      <c r="AN638" s="40"/>
    </row>
    <row r="639" spans="1:40" x14ac:dyDescent="0.3">
      <c r="A639" s="70"/>
      <c r="B639" s="70"/>
      <c r="E639" s="40"/>
      <c r="G639" s="40"/>
      <c r="H639" s="40"/>
      <c r="I639" s="36"/>
      <c r="J639" s="36"/>
      <c r="K639" s="36"/>
      <c r="L639" s="36"/>
      <c r="M639" s="36"/>
      <c r="N639" s="36"/>
      <c r="P639" s="59"/>
      <c r="Q639" s="36"/>
      <c r="S639" s="36"/>
      <c r="T639" s="36"/>
      <c r="U639" s="36"/>
      <c r="AD639" s="36"/>
      <c r="AF639" s="36"/>
      <c r="AH639" s="36"/>
      <c r="AM639" s="40"/>
      <c r="AN639" s="40"/>
    </row>
    <row r="640" spans="1:40" x14ac:dyDescent="0.3">
      <c r="A640" s="70"/>
      <c r="B640" s="70"/>
      <c r="E640" s="40"/>
      <c r="G640" s="40"/>
      <c r="H640" s="40"/>
      <c r="I640" s="36"/>
      <c r="J640" s="36"/>
      <c r="K640" s="36"/>
      <c r="L640" s="36"/>
      <c r="M640" s="36"/>
      <c r="N640" s="36"/>
      <c r="P640" s="59"/>
      <c r="Q640" s="36"/>
      <c r="S640" s="36"/>
      <c r="T640" s="36"/>
      <c r="U640" s="36"/>
      <c r="AD640" s="36"/>
      <c r="AF640" s="36"/>
      <c r="AH640" s="36"/>
      <c r="AM640" s="40"/>
      <c r="AN640" s="40"/>
    </row>
    <row r="641" spans="1:40" x14ac:dyDescent="0.3">
      <c r="A641" s="70"/>
      <c r="B641" s="70"/>
      <c r="E641" s="40"/>
      <c r="G641" s="40"/>
      <c r="H641" s="40"/>
      <c r="I641" s="36"/>
      <c r="J641" s="36"/>
      <c r="K641" s="36"/>
      <c r="L641" s="36"/>
      <c r="M641" s="36"/>
      <c r="N641" s="36"/>
      <c r="P641" s="59"/>
      <c r="Q641" s="36"/>
      <c r="S641" s="36"/>
      <c r="T641" s="36"/>
      <c r="U641" s="36"/>
      <c r="AD641" s="36"/>
      <c r="AF641" s="36"/>
      <c r="AH641" s="36"/>
      <c r="AM641" s="40"/>
      <c r="AN641" s="40"/>
    </row>
    <row r="642" spans="1:40" x14ac:dyDescent="0.3">
      <c r="A642" s="70"/>
      <c r="B642" s="70"/>
      <c r="E642" s="40"/>
      <c r="G642" s="40"/>
      <c r="H642" s="40"/>
      <c r="I642" s="36"/>
      <c r="J642" s="36"/>
      <c r="K642" s="36"/>
      <c r="L642" s="36"/>
      <c r="M642" s="36"/>
      <c r="N642" s="36"/>
      <c r="P642" s="59"/>
      <c r="Q642" s="36"/>
      <c r="S642" s="36"/>
      <c r="T642" s="36"/>
      <c r="U642" s="36"/>
      <c r="AD642" s="36"/>
      <c r="AF642" s="36"/>
      <c r="AH642" s="36"/>
      <c r="AM642" s="40"/>
      <c r="AN642" s="40"/>
    </row>
    <row r="643" spans="1:40" x14ac:dyDescent="0.3">
      <c r="A643" s="70"/>
      <c r="B643" s="70"/>
      <c r="E643" s="40"/>
      <c r="G643" s="40"/>
      <c r="H643" s="40"/>
      <c r="I643" s="36"/>
      <c r="J643" s="36"/>
      <c r="K643" s="36"/>
      <c r="L643" s="36"/>
      <c r="M643" s="36"/>
      <c r="N643" s="36"/>
      <c r="P643" s="59"/>
      <c r="Q643" s="36"/>
      <c r="S643" s="36"/>
      <c r="T643" s="36"/>
      <c r="U643" s="36"/>
      <c r="AD643" s="36"/>
      <c r="AF643" s="36"/>
      <c r="AH643" s="36"/>
      <c r="AM643" s="40"/>
      <c r="AN643" s="40"/>
    </row>
    <row r="644" spans="1:40" x14ac:dyDescent="0.3">
      <c r="A644" s="70"/>
      <c r="B644" s="70"/>
      <c r="E644" s="40"/>
      <c r="G644" s="40"/>
      <c r="H644" s="40"/>
      <c r="I644" s="36"/>
      <c r="J644" s="36"/>
      <c r="K644" s="36"/>
      <c r="L644" s="36"/>
      <c r="M644" s="36"/>
      <c r="N644" s="36"/>
      <c r="P644" s="59"/>
      <c r="Q644" s="36"/>
      <c r="S644" s="36"/>
      <c r="T644" s="36"/>
      <c r="U644" s="36"/>
      <c r="AD644" s="36"/>
      <c r="AF644" s="36"/>
      <c r="AH644" s="36"/>
      <c r="AM644" s="40"/>
      <c r="AN644" s="40"/>
    </row>
    <row r="645" spans="1:40" x14ac:dyDescent="0.3">
      <c r="A645" s="70"/>
      <c r="B645" s="70"/>
      <c r="E645" s="40"/>
      <c r="G645" s="40"/>
      <c r="H645" s="40"/>
      <c r="I645" s="36"/>
      <c r="J645" s="36"/>
      <c r="K645" s="36"/>
      <c r="L645" s="36"/>
      <c r="M645" s="36"/>
      <c r="N645" s="36"/>
      <c r="P645" s="59"/>
      <c r="Q645" s="36"/>
      <c r="S645" s="36"/>
      <c r="T645" s="36"/>
      <c r="U645" s="36"/>
      <c r="AD645" s="36"/>
      <c r="AF645" s="36"/>
      <c r="AH645" s="36"/>
      <c r="AM645" s="40"/>
      <c r="AN645" s="40"/>
    </row>
    <row r="646" spans="1:40" x14ac:dyDescent="0.3">
      <c r="A646" s="70"/>
      <c r="B646" s="70"/>
      <c r="E646" s="40"/>
      <c r="G646" s="40"/>
      <c r="H646" s="40"/>
      <c r="I646" s="36"/>
      <c r="J646" s="36"/>
      <c r="K646" s="36"/>
      <c r="L646" s="36"/>
      <c r="M646" s="36"/>
      <c r="N646" s="36"/>
      <c r="P646" s="59"/>
      <c r="Q646" s="36"/>
      <c r="S646" s="36"/>
      <c r="T646" s="36"/>
      <c r="U646" s="36"/>
      <c r="AD646" s="36"/>
      <c r="AF646" s="36"/>
      <c r="AH646" s="36"/>
      <c r="AM646" s="40"/>
      <c r="AN646" s="40"/>
    </row>
    <row r="647" spans="1:40" x14ac:dyDescent="0.3">
      <c r="A647" s="70"/>
      <c r="B647" s="70"/>
      <c r="E647" s="40"/>
      <c r="G647" s="40"/>
      <c r="H647" s="40"/>
      <c r="I647" s="36"/>
      <c r="J647" s="36"/>
      <c r="K647" s="36"/>
      <c r="L647" s="36"/>
      <c r="M647" s="36"/>
      <c r="N647" s="36"/>
      <c r="P647" s="59"/>
      <c r="Q647" s="36"/>
      <c r="S647" s="36"/>
      <c r="T647" s="36"/>
      <c r="U647" s="36"/>
      <c r="AD647" s="36"/>
      <c r="AF647" s="36"/>
      <c r="AH647" s="36"/>
      <c r="AM647" s="40"/>
      <c r="AN647" s="40"/>
    </row>
    <row r="648" spans="1:40" x14ac:dyDescent="0.3">
      <c r="A648" s="70"/>
      <c r="B648" s="70"/>
      <c r="E648" s="40"/>
      <c r="G648" s="40"/>
      <c r="H648" s="40"/>
      <c r="I648" s="36"/>
      <c r="J648" s="36"/>
      <c r="K648" s="36"/>
      <c r="L648" s="36"/>
      <c r="M648" s="36"/>
      <c r="N648" s="36"/>
      <c r="P648" s="59"/>
      <c r="Q648" s="36"/>
      <c r="S648" s="36"/>
      <c r="T648" s="36"/>
      <c r="U648" s="36"/>
      <c r="AD648" s="36"/>
      <c r="AF648" s="36"/>
      <c r="AH648" s="36"/>
      <c r="AM648" s="40"/>
      <c r="AN648" s="40"/>
    </row>
    <row r="649" spans="1:40" x14ac:dyDescent="0.3">
      <c r="A649" s="70"/>
      <c r="B649" s="70"/>
      <c r="E649" s="40"/>
      <c r="G649" s="40"/>
      <c r="H649" s="40"/>
      <c r="I649" s="36"/>
      <c r="J649" s="36"/>
      <c r="K649" s="36"/>
      <c r="L649" s="36"/>
      <c r="M649" s="36"/>
      <c r="N649" s="36"/>
      <c r="P649" s="59"/>
      <c r="Q649" s="36"/>
      <c r="S649" s="36"/>
      <c r="T649" s="36"/>
      <c r="U649" s="36"/>
      <c r="AD649" s="36"/>
      <c r="AF649" s="36"/>
      <c r="AH649" s="36"/>
      <c r="AM649" s="40"/>
      <c r="AN649" s="40"/>
    </row>
    <row r="650" spans="1:40" x14ac:dyDescent="0.3">
      <c r="A650" s="70"/>
      <c r="B650" s="70"/>
      <c r="E650" s="40"/>
      <c r="G650" s="40"/>
      <c r="H650" s="40"/>
      <c r="I650" s="36"/>
      <c r="J650" s="36"/>
      <c r="K650" s="36"/>
      <c r="L650" s="36"/>
      <c r="M650" s="36"/>
      <c r="N650" s="36"/>
      <c r="P650" s="59"/>
      <c r="Q650" s="36"/>
      <c r="S650" s="36"/>
      <c r="T650" s="36"/>
      <c r="U650" s="36"/>
      <c r="AD650" s="36"/>
      <c r="AF650" s="36"/>
      <c r="AH650" s="36"/>
      <c r="AM650" s="40"/>
      <c r="AN650" s="40"/>
    </row>
    <row r="651" spans="1:40" x14ac:dyDescent="0.3">
      <c r="A651" s="70"/>
      <c r="B651" s="70"/>
      <c r="E651" s="40"/>
      <c r="G651" s="40"/>
      <c r="H651" s="40"/>
      <c r="I651" s="36"/>
      <c r="J651" s="36"/>
      <c r="K651" s="36"/>
      <c r="L651" s="36"/>
      <c r="M651" s="36"/>
      <c r="N651" s="36"/>
      <c r="P651" s="59"/>
      <c r="Q651" s="36"/>
      <c r="S651" s="36"/>
      <c r="T651" s="36"/>
      <c r="U651" s="36"/>
      <c r="AD651" s="36"/>
      <c r="AF651" s="36"/>
      <c r="AH651" s="36"/>
      <c r="AM651" s="40"/>
      <c r="AN651" s="40"/>
    </row>
    <row r="652" spans="1:40" x14ac:dyDescent="0.3">
      <c r="A652" s="70"/>
      <c r="B652" s="70"/>
      <c r="E652" s="40"/>
      <c r="G652" s="40"/>
      <c r="H652" s="40"/>
      <c r="I652" s="36"/>
      <c r="J652" s="36"/>
      <c r="K652" s="36"/>
      <c r="L652" s="36"/>
      <c r="M652" s="36"/>
      <c r="N652" s="36"/>
      <c r="P652" s="59"/>
      <c r="Q652" s="36"/>
      <c r="S652" s="36"/>
      <c r="T652" s="36"/>
      <c r="U652" s="36"/>
      <c r="AD652" s="36"/>
      <c r="AF652" s="36"/>
      <c r="AH652" s="36"/>
      <c r="AM652" s="40"/>
      <c r="AN652" s="40"/>
    </row>
    <row r="653" spans="1:40" x14ac:dyDescent="0.3">
      <c r="A653" s="70"/>
      <c r="B653" s="70"/>
      <c r="E653" s="40"/>
      <c r="G653" s="40"/>
      <c r="H653" s="40"/>
      <c r="I653" s="36"/>
      <c r="J653" s="36"/>
      <c r="K653" s="36"/>
      <c r="L653" s="36"/>
      <c r="M653" s="36"/>
      <c r="N653" s="36"/>
      <c r="P653" s="59"/>
      <c r="Q653" s="36"/>
      <c r="S653" s="36"/>
      <c r="T653" s="36"/>
      <c r="U653" s="36"/>
      <c r="AD653" s="36"/>
      <c r="AF653" s="36"/>
      <c r="AH653" s="36"/>
      <c r="AM653" s="40"/>
      <c r="AN653" s="40"/>
    </row>
    <row r="654" spans="1:40" x14ac:dyDescent="0.3">
      <c r="A654" s="70"/>
      <c r="B654" s="70"/>
      <c r="E654" s="40"/>
      <c r="G654" s="40"/>
      <c r="H654" s="40"/>
      <c r="I654" s="36"/>
      <c r="J654" s="36"/>
      <c r="K654" s="36"/>
      <c r="L654" s="36"/>
      <c r="M654" s="36"/>
      <c r="N654" s="36"/>
      <c r="P654" s="59"/>
      <c r="Q654" s="36"/>
      <c r="S654" s="36"/>
      <c r="T654" s="36"/>
      <c r="U654" s="36"/>
      <c r="AD654" s="36"/>
      <c r="AF654" s="36"/>
      <c r="AH654" s="36"/>
      <c r="AM654" s="40"/>
      <c r="AN654" s="40"/>
    </row>
    <row r="655" spans="1:40" x14ac:dyDescent="0.3">
      <c r="A655" s="70"/>
      <c r="B655" s="70"/>
      <c r="E655" s="40"/>
      <c r="G655" s="40"/>
      <c r="H655" s="40"/>
      <c r="I655" s="36"/>
      <c r="J655" s="36"/>
      <c r="K655" s="36"/>
      <c r="L655" s="36"/>
      <c r="M655" s="36"/>
      <c r="N655" s="36"/>
      <c r="P655" s="59"/>
      <c r="Q655" s="36"/>
      <c r="S655" s="36"/>
      <c r="T655" s="36"/>
      <c r="U655" s="36"/>
      <c r="AD655" s="36"/>
      <c r="AF655" s="36"/>
      <c r="AH655" s="36"/>
      <c r="AM655" s="40"/>
      <c r="AN655" s="40"/>
    </row>
    <row r="656" spans="1:40" x14ac:dyDescent="0.3">
      <c r="A656" s="70"/>
      <c r="B656" s="70"/>
      <c r="E656" s="40"/>
      <c r="G656" s="40"/>
      <c r="H656" s="40"/>
      <c r="I656" s="36"/>
      <c r="J656" s="36"/>
      <c r="K656" s="36"/>
      <c r="L656" s="36"/>
      <c r="M656" s="36"/>
      <c r="N656" s="36"/>
      <c r="P656" s="59"/>
      <c r="Q656" s="36"/>
      <c r="S656" s="36"/>
      <c r="T656" s="36"/>
      <c r="U656" s="36"/>
      <c r="AD656" s="36"/>
      <c r="AF656" s="36"/>
      <c r="AH656" s="36"/>
      <c r="AM656" s="40"/>
      <c r="AN656" s="40"/>
    </row>
    <row r="657" spans="1:40" x14ac:dyDescent="0.3">
      <c r="A657" s="70"/>
      <c r="B657" s="70"/>
      <c r="E657" s="40"/>
      <c r="G657" s="40"/>
      <c r="H657" s="40"/>
      <c r="I657" s="36"/>
      <c r="J657" s="36"/>
      <c r="K657" s="36"/>
      <c r="L657" s="36"/>
      <c r="M657" s="36"/>
      <c r="N657" s="36"/>
      <c r="P657" s="59"/>
      <c r="Q657" s="36"/>
      <c r="S657" s="36"/>
      <c r="T657" s="36"/>
      <c r="U657" s="36"/>
      <c r="AD657" s="36"/>
      <c r="AF657" s="36"/>
      <c r="AH657" s="36"/>
      <c r="AM657" s="40"/>
      <c r="AN657" s="40"/>
    </row>
    <row r="658" spans="1:40" x14ac:dyDescent="0.3">
      <c r="A658" s="70"/>
      <c r="B658" s="70"/>
      <c r="E658" s="40"/>
      <c r="G658" s="40"/>
      <c r="H658" s="40"/>
      <c r="I658" s="36"/>
      <c r="J658" s="36"/>
      <c r="K658" s="36"/>
      <c r="L658" s="36"/>
      <c r="M658" s="36"/>
      <c r="N658" s="36"/>
      <c r="P658" s="59"/>
      <c r="Q658" s="36"/>
      <c r="S658" s="36"/>
      <c r="T658" s="36"/>
      <c r="U658" s="36"/>
      <c r="AD658" s="36"/>
      <c r="AF658" s="36"/>
      <c r="AH658" s="36"/>
      <c r="AM658" s="40"/>
      <c r="AN658" s="40"/>
    </row>
    <row r="659" spans="1:40" x14ac:dyDescent="0.3">
      <c r="A659" s="70"/>
      <c r="B659" s="70"/>
      <c r="E659" s="40"/>
      <c r="G659" s="40"/>
      <c r="H659" s="40"/>
      <c r="I659" s="36"/>
      <c r="J659" s="36"/>
      <c r="K659" s="36"/>
      <c r="L659" s="36"/>
      <c r="M659" s="36"/>
      <c r="N659" s="36"/>
      <c r="P659" s="59"/>
      <c r="Q659" s="36"/>
      <c r="S659" s="36"/>
      <c r="T659" s="36"/>
      <c r="U659" s="36"/>
      <c r="AD659" s="36"/>
      <c r="AF659" s="36"/>
      <c r="AH659" s="36"/>
      <c r="AM659" s="40"/>
      <c r="AN659" s="40"/>
    </row>
    <row r="660" spans="1:40" x14ac:dyDescent="0.3">
      <c r="A660" s="70"/>
      <c r="B660" s="70"/>
      <c r="E660" s="40"/>
      <c r="G660" s="40"/>
      <c r="H660" s="40"/>
      <c r="I660" s="36"/>
      <c r="J660" s="36"/>
      <c r="K660" s="36"/>
      <c r="L660" s="36"/>
      <c r="M660" s="36"/>
      <c r="N660" s="36"/>
      <c r="P660" s="59"/>
      <c r="Q660" s="36"/>
      <c r="S660" s="36"/>
      <c r="T660" s="36"/>
      <c r="U660" s="36"/>
      <c r="AD660" s="36"/>
      <c r="AF660" s="36"/>
      <c r="AH660" s="36"/>
      <c r="AM660" s="40"/>
      <c r="AN660" s="40"/>
    </row>
    <row r="661" spans="1:40" x14ac:dyDescent="0.3">
      <c r="A661" s="70"/>
      <c r="B661" s="70"/>
      <c r="E661" s="40"/>
      <c r="G661" s="40"/>
      <c r="H661" s="40"/>
      <c r="I661" s="36"/>
      <c r="J661" s="36"/>
      <c r="K661" s="36"/>
      <c r="L661" s="36"/>
      <c r="M661" s="36"/>
      <c r="N661" s="36"/>
      <c r="P661" s="59"/>
      <c r="Q661" s="36"/>
      <c r="S661" s="36"/>
      <c r="T661" s="36"/>
      <c r="U661" s="36"/>
      <c r="AD661" s="36"/>
      <c r="AF661" s="36"/>
      <c r="AH661" s="36"/>
      <c r="AM661" s="40"/>
      <c r="AN661" s="40"/>
    </row>
    <row r="662" spans="1:40" x14ac:dyDescent="0.3">
      <c r="A662" s="70"/>
      <c r="B662" s="70"/>
      <c r="E662" s="40"/>
      <c r="G662" s="40"/>
      <c r="H662" s="40"/>
      <c r="I662" s="36"/>
      <c r="J662" s="36"/>
      <c r="K662" s="36"/>
      <c r="L662" s="36"/>
      <c r="M662" s="36"/>
      <c r="N662" s="36"/>
      <c r="P662" s="59"/>
      <c r="Q662" s="36"/>
      <c r="S662" s="36"/>
      <c r="T662" s="36"/>
      <c r="U662" s="36"/>
      <c r="AD662" s="36"/>
      <c r="AF662" s="36"/>
      <c r="AH662" s="36"/>
      <c r="AM662" s="40"/>
      <c r="AN662" s="40"/>
    </row>
    <row r="663" spans="1:40" x14ac:dyDescent="0.3">
      <c r="A663" s="70"/>
      <c r="B663" s="70"/>
      <c r="E663" s="40"/>
      <c r="G663" s="40"/>
      <c r="H663" s="40"/>
      <c r="I663" s="36"/>
      <c r="J663" s="36"/>
      <c r="K663" s="36"/>
      <c r="L663" s="36"/>
      <c r="M663" s="36"/>
      <c r="N663" s="36"/>
      <c r="P663" s="59"/>
      <c r="Q663" s="36"/>
      <c r="S663" s="36"/>
      <c r="T663" s="36"/>
      <c r="U663" s="36"/>
      <c r="AD663" s="36"/>
      <c r="AF663" s="36"/>
      <c r="AH663" s="36"/>
      <c r="AM663" s="40"/>
      <c r="AN663" s="40"/>
    </row>
    <row r="664" spans="1:40" x14ac:dyDescent="0.3">
      <c r="A664" s="70"/>
      <c r="B664" s="70"/>
      <c r="E664" s="40"/>
      <c r="G664" s="40"/>
      <c r="H664" s="40"/>
      <c r="I664" s="36"/>
      <c r="J664" s="36"/>
      <c r="K664" s="36"/>
      <c r="L664" s="36"/>
      <c r="M664" s="36"/>
      <c r="N664" s="36"/>
      <c r="P664" s="59"/>
      <c r="Q664" s="36"/>
      <c r="S664" s="36"/>
      <c r="T664" s="36"/>
      <c r="U664" s="36"/>
      <c r="AD664" s="36"/>
      <c r="AF664" s="36"/>
      <c r="AH664" s="36"/>
      <c r="AM664" s="40"/>
      <c r="AN664" s="40"/>
    </row>
    <row r="665" spans="1:40" x14ac:dyDescent="0.3">
      <c r="A665" s="70"/>
      <c r="B665" s="70"/>
      <c r="E665" s="40"/>
      <c r="G665" s="40"/>
      <c r="H665" s="40"/>
      <c r="I665" s="36"/>
      <c r="J665" s="36"/>
      <c r="K665" s="36"/>
      <c r="L665" s="36"/>
      <c r="M665" s="36"/>
      <c r="N665" s="36"/>
      <c r="P665" s="59"/>
      <c r="Q665" s="36"/>
      <c r="S665" s="36"/>
      <c r="T665" s="36"/>
      <c r="U665" s="36"/>
      <c r="AD665" s="36"/>
      <c r="AF665" s="36"/>
      <c r="AH665" s="36"/>
      <c r="AM665" s="40"/>
      <c r="AN665" s="40"/>
    </row>
    <row r="666" spans="1:40" x14ac:dyDescent="0.3">
      <c r="A666" s="70"/>
      <c r="B666" s="70"/>
      <c r="E666" s="40"/>
      <c r="G666" s="40"/>
      <c r="H666" s="40"/>
      <c r="I666" s="36"/>
      <c r="J666" s="36"/>
      <c r="K666" s="36"/>
      <c r="L666" s="36"/>
      <c r="M666" s="36"/>
      <c r="N666" s="36"/>
      <c r="P666" s="59"/>
      <c r="Q666" s="36"/>
      <c r="S666" s="36"/>
      <c r="T666" s="36"/>
      <c r="U666" s="36"/>
      <c r="AD666" s="36"/>
      <c r="AF666" s="36"/>
      <c r="AH666" s="36"/>
      <c r="AM666" s="40"/>
      <c r="AN666" s="40"/>
    </row>
    <row r="667" spans="1:40" x14ac:dyDescent="0.3">
      <c r="A667" s="70"/>
      <c r="B667" s="70"/>
      <c r="E667" s="40"/>
      <c r="G667" s="40"/>
      <c r="H667" s="40"/>
      <c r="I667" s="36"/>
      <c r="J667" s="36"/>
      <c r="K667" s="36"/>
      <c r="L667" s="36"/>
      <c r="M667" s="36"/>
      <c r="N667" s="36"/>
      <c r="P667" s="59"/>
      <c r="Q667" s="36"/>
      <c r="S667" s="36"/>
      <c r="T667" s="36"/>
      <c r="U667" s="36"/>
      <c r="AD667" s="36"/>
      <c r="AF667" s="36"/>
      <c r="AH667" s="36"/>
      <c r="AM667" s="40"/>
      <c r="AN667" s="40"/>
    </row>
    <row r="668" spans="1:40" x14ac:dyDescent="0.3">
      <c r="A668" s="70"/>
      <c r="B668" s="70"/>
      <c r="E668" s="40"/>
      <c r="G668" s="40"/>
      <c r="H668" s="40"/>
      <c r="I668" s="36"/>
      <c r="J668" s="36"/>
      <c r="K668" s="36"/>
      <c r="L668" s="36"/>
      <c r="M668" s="36"/>
      <c r="N668" s="36"/>
      <c r="P668" s="59"/>
      <c r="Q668" s="36"/>
      <c r="S668" s="36"/>
      <c r="T668" s="36"/>
      <c r="U668" s="36"/>
      <c r="AD668" s="36"/>
      <c r="AF668" s="36"/>
      <c r="AH668" s="36"/>
      <c r="AM668" s="40"/>
      <c r="AN668" s="40"/>
    </row>
    <row r="669" spans="1:40" x14ac:dyDescent="0.3">
      <c r="A669" s="70"/>
      <c r="B669" s="70"/>
      <c r="E669" s="40"/>
      <c r="G669" s="40"/>
      <c r="H669" s="40"/>
      <c r="I669" s="36"/>
      <c r="J669" s="36"/>
      <c r="K669" s="36"/>
      <c r="L669" s="36"/>
      <c r="M669" s="36"/>
      <c r="N669" s="36"/>
      <c r="P669" s="59"/>
      <c r="Q669" s="36"/>
      <c r="S669" s="36"/>
      <c r="T669" s="36"/>
      <c r="U669" s="36"/>
      <c r="AD669" s="36"/>
      <c r="AF669" s="36"/>
      <c r="AH669" s="36"/>
      <c r="AM669" s="40"/>
      <c r="AN669" s="40"/>
    </row>
    <row r="670" spans="1:40" x14ac:dyDescent="0.3">
      <c r="A670" s="70"/>
      <c r="B670" s="70"/>
      <c r="E670" s="40"/>
      <c r="G670" s="40"/>
      <c r="H670" s="40"/>
      <c r="I670" s="36"/>
      <c r="J670" s="36"/>
      <c r="K670" s="36"/>
      <c r="L670" s="36"/>
      <c r="M670" s="36"/>
      <c r="N670" s="36"/>
      <c r="P670" s="59"/>
      <c r="Q670" s="36"/>
      <c r="S670" s="36"/>
      <c r="T670" s="36"/>
      <c r="U670" s="36"/>
      <c r="AD670" s="36"/>
      <c r="AF670" s="36"/>
      <c r="AH670" s="36"/>
      <c r="AM670" s="40"/>
      <c r="AN670" s="40"/>
    </row>
    <row r="671" spans="1:40" x14ac:dyDescent="0.3">
      <c r="A671" s="70"/>
      <c r="B671" s="70"/>
      <c r="E671" s="40"/>
      <c r="G671" s="40"/>
      <c r="H671" s="40"/>
      <c r="I671" s="36"/>
      <c r="J671" s="36"/>
      <c r="K671" s="36"/>
      <c r="L671" s="36"/>
      <c r="M671" s="36"/>
      <c r="N671" s="36"/>
      <c r="P671" s="59"/>
      <c r="Q671" s="36"/>
      <c r="S671" s="36"/>
      <c r="T671" s="36"/>
      <c r="U671" s="36"/>
      <c r="AD671" s="36"/>
      <c r="AF671" s="36"/>
      <c r="AH671" s="36"/>
      <c r="AM671" s="40"/>
      <c r="AN671" s="40"/>
    </row>
    <row r="672" spans="1:40" x14ac:dyDescent="0.3">
      <c r="A672" s="70"/>
      <c r="B672" s="70"/>
      <c r="E672" s="40"/>
      <c r="G672" s="40"/>
      <c r="H672" s="40"/>
      <c r="I672" s="36"/>
      <c r="J672" s="36"/>
      <c r="K672" s="36"/>
      <c r="L672" s="36"/>
      <c r="M672" s="36"/>
      <c r="N672" s="36"/>
      <c r="P672" s="59"/>
      <c r="Q672" s="36"/>
      <c r="S672" s="36"/>
      <c r="T672" s="36"/>
      <c r="U672" s="36"/>
      <c r="AD672" s="36"/>
      <c r="AF672" s="36"/>
      <c r="AH672" s="36"/>
      <c r="AM672" s="40"/>
      <c r="AN672" s="40"/>
    </row>
    <row r="673" spans="1:40" x14ac:dyDescent="0.3">
      <c r="A673" s="70"/>
      <c r="B673" s="70"/>
      <c r="E673" s="40"/>
      <c r="G673" s="40"/>
      <c r="H673" s="40"/>
      <c r="I673" s="36"/>
      <c r="J673" s="36"/>
      <c r="K673" s="36"/>
      <c r="L673" s="36"/>
      <c r="M673" s="36"/>
      <c r="N673" s="36"/>
      <c r="P673" s="59"/>
      <c r="Q673" s="36"/>
      <c r="S673" s="36"/>
      <c r="T673" s="36"/>
      <c r="U673" s="36"/>
      <c r="AD673" s="36"/>
      <c r="AF673" s="36"/>
      <c r="AH673" s="36"/>
      <c r="AM673" s="40"/>
      <c r="AN673" s="40"/>
    </row>
    <row r="674" spans="1:40" x14ac:dyDescent="0.3">
      <c r="A674" s="70"/>
      <c r="B674" s="70"/>
      <c r="E674" s="40"/>
      <c r="G674" s="40"/>
      <c r="H674" s="40"/>
      <c r="I674" s="36"/>
      <c r="J674" s="36"/>
      <c r="K674" s="36"/>
      <c r="L674" s="36"/>
      <c r="M674" s="36"/>
      <c r="N674" s="36"/>
      <c r="P674" s="59"/>
      <c r="Q674" s="36"/>
      <c r="S674" s="36"/>
      <c r="T674" s="36"/>
      <c r="U674" s="36"/>
      <c r="AD674" s="36"/>
      <c r="AF674" s="36"/>
      <c r="AH674" s="36"/>
      <c r="AM674" s="40"/>
      <c r="AN674" s="40"/>
    </row>
    <row r="675" spans="1:40" x14ac:dyDescent="0.3">
      <c r="A675" s="70"/>
      <c r="B675" s="70"/>
      <c r="E675" s="40"/>
      <c r="G675" s="40"/>
      <c r="H675" s="40"/>
      <c r="I675" s="36"/>
      <c r="J675" s="36"/>
      <c r="K675" s="36"/>
      <c r="L675" s="36"/>
      <c r="M675" s="36"/>
      <c r="N675" s="36"/>
      <c r="P675" s="59"/>
      <c r="Q675" s="36"/>
      <c r="S675" s="36"/>
      <c r="T675" s="36"/>
      <c r="U675" s="36"/>
      <c r="AD675" s="36"/>
      <c r="AF675" s="36"/>
      <c r="AH675" s="36"/>
      <c r="AM675" s="40"/>
      <c r="AN675" s="40"/>
    </row>
    <row r="676" spans="1:40" x14ac:dyDescent="0.3">
      <c r="A676" s="70"/>
      <c r="B676" s="70"/>
      <c r="E676" s="40"/>
      <c r="G676" s="40"/>
      <c r="H676" s="40"/>
      <c r="I676" s="36"/>
      <c r="J676" s="36"/>
      <c r="K676" s="36"/>
      <c r="L676" s="36"/>
      <c r="M676" s="36"/>
      <c r="N676" s="36"/>
      <c r="P676" s="59"/>
      <c r="Q676" s="36"/>
      <c r="S676" s="36"/>
      <c r="T676" s="36"/>
      <c r="U676" s="36"/>
      <c r="AD676" s="36"/>
      <c r="AF676" s="36"/>
      <c r="AH676" s="36"/>
      <c r="AM676" s="40"/>
      <c r="AN676" s="40"/>
    </row>
    <row r="677" spans="1:40" x14ac:dyDescent="0.3">
      <c r="A677" s="70"/>
      <c r="B677" s="70"/>
      <c r="E677" s="40"/>
      <c r="G677" s="40"/>
      <c r="H677" s="40"/>
      <c r="I677" s="36"/>
      <c r="J677" s="36"/>
      <c r="K677" s="36"/>
      <c r="L677" s="36"/>
      <c r="M677" s="36"/>
      <c r="N677" s="36"/>
      <c r="P677" s="59"/>
      <c r="Q677" s="36"/>
      <c r="S677" s="36"/>
      <c r="T677" s="36"/>
      <c r="U677" s="36"/>
      <c r="AD677" s="36"/>
      <c r="AF677" s="36"/>
      <c r="AH677" s="36"/>
      <c r="AM677" s="40"/>
      <c r="AN677" s="40"/>
    </row>
    <row r="678" spans="1:40" x14ac:dyDescent="0.3">
      <c r="A678" s="70"/>
      <c r="B678" s="70"/>
      <c r="E678" s="40"/>
      <c r="G678" s="40"/>
      <c r="H678" s="40"/>
      <c r="I678" s="36"/>
      <c r="J678" s="36"/>
      <c r="K678" s="36"/>
      <c r="L678" s="36"/>
      <c r="M678" s="36"/>
      <c r="N678" s="36"/>
      <c r="P678" s="59"/>
      <c r="Q678" s="36"/>
      <c r="S678" s="36"/>
      <c r="T678" s="36"/>
      <c r="U678" s="36"/>
      <c r="AD678" s="36"/>
      <c r="AF678" s="36"/>
      <c r="AH678" s="36"/>
      <c r="AM678" s="40"/>
      <c r="AN678" s="40"/>
    </row>
    <row r="679" spans="1:40" x14ac:dyDescent="0.3">
      <c r="A679" s="70"/>
      <c r="B679" s="70"/>
      <c r="E679" s="40"/>
      <c r="G679" s="40"/>
      <c r="H679" s="40"/>
      <c r="I679" s="36"/>
      <c r="J679" s="36"/>
      <c r="K679" s="36"/>
      <c r="L679" s="36"/>
      <c r="M679" s="36"/>
      <c r="N679" s="36"/>
      <c r="P679" s="59"/>
      <c r="Q679" s="36"/>
      <c r="S679" s="36"/>
      <c r="T679" s="36"/>
      <c r="U679" s="36"/>
      <c r="AD679" s="36"/>
      <c r="AF679" s="36"/>
      <c r="AH679" s="36"/>
      <c r="AM679" s="40"/>
      <c r="AN679" s="40"/>
    </row>
    <row r="680" spans="1:40" x14ac:dyDescent="0.3">
      <c r="A680" s="70"/>
      <c r="B680" s="70"/>
      <c r="E680" s="40"/>
      <c r="G680" s="40"/>
      <c r="H680" s="40"/>
      <c r="I680" s="36"/>
      <c r="J680" s="36"/>
      <c r="K680" s="36"/>
      <c r="L680" s="36"/>
      <c r="M680" s="36"/>
      <c r="N680" s="36"/>
      <c r="P680" s="59"/>
      <c r="Q680" s="36"/>
      <c r="S680" s="36"/>
      <c r="T680" s="36"/>
      <c r="U680" s="36"/>
      <c r="AD680" s="36"/>
      <c r="AF680" s="36"/>
      <c r="AH680" s="36"/>
      <c r="AM680" s="40"/>
      <c r="AN680" s="40"/>
    </row>
    <row r="681" spans="1:40" x14ac:dyDescent="0.3">
      <c r="A681" s="70"/>
      <c r="B681" s="70"/>
      <c r="E681" s="40"/>
      <c r="G681" s="40"/>
      <c r="H681" s="40"/>
      <c r="I681" s="36"/>
      <c r="J681" s="36"/>
      <c r="K681" s="36"/>
      <c r="L681" s="36"/>
      <c r="M681" s="36"/>
      <c r="N681" s="36"/>
      <c r="P681" s="59"/>
      <c r="Q681" s="36"/>
      <c r="S681" s="36"/>
      <c r="T681" s="36"/>
      <c r="U681" s="36"/>
      <c r="AD681" s="36"/>
      <c r="AF681" s="36"/>
      <c r="AH681" s="36"/>
      <c r="AM681" s="40"/>
      <c r="AN681" s="40"/>
    </row>
    <row r="682" spans="1:40" x14ac:dyDescent="0.3">
      <c r="A682" s="70"/>
      <c r="B682" s="70"/>
      <c r="E682" s="40"/>
      <c r="G682" s="40"/>
      <c r="H682" s="40"/>
      <c r="I682" s="36"/>
      <c r="J682" s="36"/>
      <c r="K682" s="36"/>
      <c r="L682" s="36"/>
      <c r="M682" s="36"/>
      <c r="N682" s="36"/>
      <c r="P682" s="59"/>
      <c r="Q682" s="36"/>
      <c r="S682" s="36"/>
      <c r="T682" s="36"/>
      <c r="U682" s="36"/>
      <c r="AD682" s="36"/>
      <c r="AF682" s="36"/>
      <c r="AH682" s="36"/>
      <c r="AM682" s="40"/>
      <c r="AN682" s="40"/>
    </row>
    <row r="683" spans="1:40" x14ac:dyDescent="0.3">
      <c r="A683" s="70"/>
      <c r="B683" s="70"/>
      <c r="E683" s="40"/>
      <c r="G683" s="40"/>
      <c r="H683" s="40"/>
      <c r="I683" s="36"/>
      <c r="J683" s="36"/>
      <c r="K683" s="36"/>
      <c r="L683" s="36"/>
      <c r="M683" s="36"/>
      <c r="N683" s="36"/>
      <c r="P683" s="59"/>
      <c r="Q683" s="36"/>
      <c r="S683" s="36"/>
      <c r="T683" s="36"/>
      <c r="U683" s="36"/>
      <c r="AD683" s="36"/>
      <c r="AF683" s="36"/>
      <c r="AH683" s="36"/>
      <c r="AM683" s="40"/>
      <c r="AN683" s="40"/>
    </row>
    <row r="684" spans="1:40" x14ac:dyDescent="0.3">
      <c r="A684" s="70"/>
      <c r="B684" s="70"/>
      <c r="E684" s="40"/>
      <c r="G684" s="40"/>
      <c r="H684" s="40"/>
      <c r="I684" s="36"/>
      <c r="J684" s="36"/>
      <c r="K684" s="36"/>
      <c r="L684" s="36"/>
      <c r="M684" s="36"/>
      <c r="N684" s="36"/>
      <c r="P684" s="59"/>
      <c r="Q684" s="36"/>
      <c r="S684" s="36"/>
      <c r="T684" s="36"/>
      <c r="U684" s="36"/>
      <c r="AD684" s="36"/>
      <c r="AF684" s="36"/>
      <c r="AH684" s="36"/>
      <c r="AM684" s="40"/>
      <c r="AN684" s="40"/>
    </row>
    <row r="685" spans="1:40" x14ac:dyDescent="0.3">
      <c r="A685" s="70"/>
      <c r="B685" s="70"/>
      <c r="E685" s="40"/>
      <c r="G685" s="40"/>
      <c r="H685" s="40"/>
      <c r="I685" s="36"/>
      <c r="J685" s="36"/>
      <c r="K685" s="36"/>
      <c r="L685" s="36"/>
      <c r="M685" s="36"/>
      <c r="N685" s="36"/>
      <c r="P685" s="59"/>
      <c r="Q685" s="36"/>
      <c r="S685" s="36"/>
      <c r="T685" s="36"/>
      <c r="U685" s="36"/>
      <c r="AD685" s="36"/>
      <c r="AF685" s="36"/>
      <c r="AH685" s="36"/>
      <c r="AM685" s="40"/>
      <c r="AN685" s="40"/>
    </row>
    <row r="686" spans="1:40" x14ac:dyDescent="0.3">
      <c r="A686" s="70"/>
      <c r="B686" s="70"/>
      <c r="E686" s="40"/>
      <c r="G686" s="40"/>
      <c r="H686" s="40"/>
      <c r="I686" s="36"/>
      <c r="J686" s="36"/>
      <c r="K686" s="36"/>
      <c r="L686" s="36"/>
      <c r="M686" s="36"/>
      <c r="N686" s="36"/>
      <c r="P686" s="59"/>
      <c r="Q686" s="36"/>
      <c r="S686" s="36"/>
      <c r="T686" s="36"/>
      <c r="U686" s="36"/>
      <c r="AD686" s="36"/>
      <c r="AF686" s="36"/>
      <c r="AH686" s="36"/>
      <c r="AM686" s="40"/>
      <c r="AN686" s="40"/>
    </row>
    <row r="687" spans="1:40" x14ac:dyDescent="0.3">
      <c r="A687" s="70"/>
      <c r="B687" s="70"/>
      <c r="E687" s="40"/>
      <c r="G687" s="40"/>
      <c r="H687" s="40"/>
      <c r="I687" s="36"/>
      <c r="J687" s="36"/>
      <c r="K687" s="36"/>
      <c r="L687" s="36"/>
      <c r="M687" s="36"/>
      <c r="N687" s="36"/>
      <c r="P687" s="59"/>
      <c r="Q687" s="36"/>
      <c r="S687" s="36"/>
      <c r="T687" s="36"/>
      <c r="U687" s="36"/>
      <c r="AD687" s="36"/>
      <c r="AF687" s="36"/>
      <c r="AH687" s="36"/>
      <c r="AM687" s="40"/>
      <c r="AN687" s="40"/>
    </row>
    <row r="688" spans="1:40" x14ac:dyDescent="0.3">
      <c r="A688" s="70"/>
      <c r="B688" s="70"/>
      <c r="E688" s="40"/>
      <c r="G688" s="40"/>
      <c r="H688" s="40"/>
      <c r="I688" s="36"/>
      <c r="J688" s="36"/>
      <c r="K688" s="36"/>
      <c r="L688" s="36"/>
      <c r="M688" s="36"/>
      <c r="N688" s="36"/>
      <c r="P688" s="59"/>
      <c r="Q688" s="36"/>
      <c r="S688" s="36"/>
      <c r="T688" s="36"/>
      <c r="U688" s="36"/>
      <c r="AD688" s="36"/>
      <c r="AF688" s="36"/>
      <c r="AH688" s="36"/>
      <c r="AM688" s="40"/>
      <c r="AN688" s="40"/>
    </row>
    <row r="689" spans="1:40" x14ac:dyDescent="0.3">
      <c r="A689" s="70"/>
      <c r="B689" s="70"/>
      <c r="E689" s="40"/>
      <c r="G689" s="40"/>
      <c r="H689" s="40"/>
      <c r="I689" s="36"/>
      <c r="J689" s="36"/>
      <c r="K689" s="36"/>
      <c r="L689" s="36"/>
      <c r="M689" s="36"/>
      <c r="N689" s="36"/>
      <c r="P689" s="59"/>
      <c r="Q689" s="36"/>
      <c r="S689" s="36"/>
      <c r="T689" s="36"/>
      <c r="U689" s="36"/>
      <c r="AD689" s="36"/>
      <c r="AF689" s="36"/>
      <c r="AH689" s="36"/>
      <c r="AM689" s="40"/>
      <c r="AN689" s="40"/>
    </row>
    <row r="690" spans="1:40" x14ac:dyDescent="0.3">
      <c r="A690" s="70"/>
      <c r="B690" s="70"/>
      <c r="E690" s="40"/>
      <c r="G690" s="40"/>
      <c r="H690" s="40"/>
      <c r="I690" s="36"/>
      <c r="J690" s="36"/>
      <c r="K690" s="36"/>
      <c r="L690" s="36"/>
      <c r="M690" s="36"/>
      <c r="N690" s="36"/>
      <c r="P690" s="59"/>
      <c r="Q690" s="36"/>
      <c r="S690" s="36"/>
      <c r="T690" s="36"/>
      <c r="U690" s="36"/>
      <c r="AD690" s="36"/>
      <c r="AF690" s="36"/>
      <c r="AH690" s="36"/>
      <c r="AM690" s="40"/>
      <c r="AN690" s="40"/>
    </row>
    <row r="691" spans="1:40" x14ac:dyDescent="0.3">
      <c r="A691" s="70"/>
      <c r="B691" s="70"/>
      <c r="E691" s="40"/>
      <c r="G691" s="40"/>
      <c r="H691" s="40"/>
      <c r="I691" s="36"/>
      <c r="J691" s="36"/>
      <c r="K691" s="36"/>
      <c r="L691" s="36"/>
      <c r="M691" s="36"/>
      <c r="N691" s="36"/>
      <c r="P691" s="59"/>
      <c r="Q691" s="36"/>
      <c r="S691" s="36"/>
      <c r="T691" s="36"/>
      <c r="U691" s="36"/>
      <c r="AD691" s="36"/>
      <c r="AF691" s="36"/>
      <c r="AH691" s="36"/>
      <c r="AM691" s="40"/>
      <c r="AN691" s="40"/>
    </row>
    <row r="692" spans="1:40" x14ac:dyDescent="0.3">
      <c r="A692" s="70"/>
      <c r="B692" s="70"/>
      <c r="E692" s="40"/>
      <c r="G692" s="40"/>
      <c r="H692" s="40"/>
      <c r="I692" s="36"/>
      <c r="J692" s="36"/>
      <c r="K692" s="36"/>
      <c r="L692" s="36"/>
      <c r="M692" s="36"/>
      <c r="N692" s="36"/>
      <c r="P692" s="59"/>
      <c r="Q692" s="36"/>
      <c r="S692" s="36"/>
      <c r="T692" s="36"/>
      <c r="U692" s="36"/>
      <c r="AD692" s="36"/>
      <c r="AF692" s="36"/>
      <c r="AH692" s="36"/>
      <c r="AM692" s="40"/>
      <c r="AN692" s="40"/>
    </row>
    <row r="693" spans="1:40" x14ac:dyDescent="0.3">
      <c r="A693" s="70"/>
      <c r="B693" s="70"/>
      <c r="E693" s="40"/>
      <c r="G693" s="40"/>
      <c r="H693" s="40"/>
      <c r="I693" s="36"/>
      <c r="J693" s="36"/>
      <c r="K693" s="36"/>
      <c r="L693" s="36"/>
      <c r="M693" s="36"/>
      <c r="N693" s="36"/>
      <c r="P693" s="59"/>
      <c r="Q693" s="36"/>
      <c r="S693" s="36"/>
      <c r="T693" s="36"/>
      <c r="U693" s="36"/>
      <c r="AD693" s="36"/>
      <c r="AF693" s="36"/>
      <c r="AH693" s="36"/>
      <c r="AM693" s="40"/>
      <c r="AN693" s="40"/>
    </row>
    <row r="694" spans="1:40" x14ac:dyDescent="0.3">
      <c r="A694" s="70"/>
      <c r="B694" s="70"/>
      <c r="E694" s="40"/>
      <c r="G694" s="40"/>
      <c r="H694" s="40"/>
      <c r="I694" s="36"/>
      <c r="J694" s="36"/>
      <c r="K694" s="36"/>
      <c r="L694" s="36"/>
      <c r="M694" s="36"/>
      <c r="N694" s="36"/>
      <c r="P694" s="59"/>
      <c r="Q694" s="36"/>
      <c r="S694" s="36"/>
      <c r="T694" s="36"/>
      <c r="U694" s="36"/>
      <c r="AD694" s="36"/>
      <c r="AF694" s="36"/>
      <c r="AH694" s="36"/>
      <c r="AM694" s="40"/>
      <c r="AN694" s="40"/>
    </row>
    <row r="695" spans="1:40" x14ac:dyDescent="0.3">
      <c r="A695" s="70"/>
      <c r="B695" s="70"/>
      <c r="E695" s="40"/>
      <c r="G695" s="40"/>
      <c r="H695" s="40"/>
      <c r="I695" s="36"/>
      <c r="J695" s="36"/>
      <c r="K695" s="36"/>
      <c r="L695" s="36"/>
      <c r="M695" s="36"/>
      <c r="N695" s="36"/>
      <c r="P695" s="59"/>
      <c r="Q695" s="36"/>
      <c r="S695" s="36"/>
      <c r="T695" s="36"/>
      <c r="U695" s="36"/>
      <c r="AD695" s="36"/>
      <c r="AF695" s="36"/>
      <c r="AH695" s="36"/>
      <c r="AM695" s="40"/>
      <c r="AN695" s="40"/>
    </row>
    <row r="696" spans="1:40" x14ac:dyDescent="0.3">
      <c r="A696" s="70"/>
      <c r="B696" s="70"/>
      <c r="E696" s="40"/>
      <c r="G696" s="40"/>
      <c r="H696" s="40"/>
      <c r="I696" s="36"/>
      <c r="J696" s="36"/>
      <c r="K696" s="36"/>
      <c r="L696" s="36"/>
      <c r="M696" s="36"/>
      <c r="N696" s="36"/>
      <c r="P696" s="59"/>
      <c r="Q696" s="36"/>
      <c r="S696" s="36"/>
      <c r="T696" s="36"/>
      <c r="U696" s="36"/>
      <c r="AD696" s="36"/>
      <c r="AF696" s="36"/>
      <c r="AH696" s="36"/>
      <c r="AM696" s="40"/>
      <c r="AN696" s="40"/>
    </row>
    <row r="697" spans="1:40" x14ac:dyDescent="0.3">
      <c r="A697" s="70"/>
      <c r="B697" s="70"/>
      <c r="E697" s="40"/>
      <c r="G697" s="40"/>
      <c r="H697" s="40"/>
      <c r="I697" s="36"/>
      <c r="J697" s="36"/>
      <c r="K697" s="36"/>
      <c r="L697" s="36"/>
      <c r="M697" s="36"/>
      <c r="N697" s="36"/>
      <c r="P697" s="59"/>
      <c r="Q697" s="36"/>
      <c r="S697" s="36"/>
      <c r="T697" s="36"/>
      <c r="U697" s="36"/>
      <c r="AD697" s="36"/>
      <c r="AF697" s="36"/>
      <c r="AH697" s="36"/>
      <c r="AM697" s="40"/>
      <c r="AN697" s="40"/>
    </row>
    <row r="698" spans="1:40" x14ac:dyDescent="0.3">
      <c r="A698" s="70"/>
      <c r="B698" s="70"/>
      <c r="E698" s="40"/>
      <c r="G698" s="40"/>
      <c r="H698" s="40"/>
      <c r="I698" s="36"/>
      <c r="J698" s="36"/>
      <c r="K698" s="36"/>
      <c r="L698" s="36"/>
      <c r="M698" s="36"/>
      <c r="N698" s="36"/>
      <c r="P698" s="59"/>
      <c r="Q698" s="36"/>
      <c r="S698" s="36"/>
      <c r="T698" s="36"/>
      <c r="U698" s="36"/>
      <c r="AD698" s="36"/>
      <c r="AF698" s="36"/>
      <c r="AH698" s="36"/>
      <c r="AM698" s="40"/>
      <c r="AN698" s="40"/>
    </row>
    <row r="699" spans="1:40" x14ac:dyDescent="0.3">
      <c r="A699" s="70"/>
      <c r="B699" s="70"/>
      <c r="E699" s="40"/>
      <c r="G699" s="40"/>
      <c r="H699" s="40"/>
      <c r="I699" s="36"/>
      <c r="J699" s="36"/>
      <c r="K699" s="36"/>
      <c r="L699" s="36"/>
      <c r="M699" s="36"/>
      <c r="N699" s="36"/>
      <c r="P699" s="59"/>
      <c r="Q699" s="36"/>
      <c r="S699" s="36"/>
      <c r="T699" s="36"/>
      <c r="U699" s="36"/>
      <c r="AD699" s="36"/>
      <c r="AF699" s="36"/>
      <c r="AH699" s="36"/>
      <c r="AM699" s="40"/>
      <c r="AN699" s="40"/>
    </row>
    <row r="700" spans="1:40" x14ac:dyDescent="0.3">
      <c r="A700" s="70"/>
      <c r="B700" s="70"/>
      <c r="E700" s="40"/>
      <c r="G700" s="40"/>
      <c r="H700" s="40"/>
      <c r="I700" s="36"/>
      <c r="J700" s="36"/>
      <c r="K700" s="36"/>
      <c r="L700" s="36"/>
      <c r="M700" s="36"/>
      <c r="N700" s="36"/>
      <c r="P700" s="59"/>
      <c r="Q700" s="36"/>
      <c r="S700" s="36"/>
      <c r="T700" s="36"/>
      <c r="U700" s="36"/>
      <c r="AD700" s="36"/>
      <c r="AF700" s="36"/>
      <c r="AH700" s="36"/>
      <c r="AM700" s="40"/>
      <c r="AN700" s="40"/>
    </row>
    <row r="701" spans="1:40" x14ac:dyDescent="0.3">
      <c r="A701" s="70"/>
      <c r="B701" s="70"/>
      <c r="E701" s="40"/>
      <c r="G701" s="40"/>
      <c r="H701" s="40"/>
      <c r="I701" s="36"/>
      <c r="J701" s="36"/>
      <c r="K701" s="36"/>
      <c r="L701" s="36"/>
      <c r="M701" s="36"/>
      <c r="N701" s="36"/>
      <c r="P701" s="59"/>
      <c r="Q701" s="36"/>
      <c r="S701" s="36"/>
      <c r="T701" s="36"/>
      <c r="U701" s="36"/>
      <c r="AD701" s="36"/>
      <c r="AF701" s="36"/>
      <c r="AH701" s="36"/>
      <c r="AM701" s="40"/>
      <c r="AN701" s="40"/>
    </row>
    <row r="702" spans="1:40" x14ac:dyDescent="0.3">
      <c r="A702" s="70"/>
      <c r="B702" s="70"/>
      <c r="E702" s="40"/>
      <c r="G702" s="40"/>
      <c r="H702" s="40"/>
      <c r="I702" s="36"/>
      <c r="J702" s="36"/>
      <c r="K702" s="36"/>
      <c r="L702" s="36"/>
      <c r="M702" s="36"/>
      <c r="N702" s="36"/>
      <c r="P702" s="59"/>
      <c r="Q702" s="36"/>
      <c r="S702" s="36"/>
      <c r="T702" s="36"/>
      <c r="U702" s="36"/>
      <c r="AD702" s="36"/>
      <c r="AF702" s="36"/>
      <c r="AH702" s="36"/>
      <c r="AM702" s="40"/>
      <c r="AN702" s="40"/>
    </row>
    <row r="703" spans="1:40" x14ac:dyDescent="0.3">
      <c r="A703" s="70"/>
      <c r="B703" s="70"/>
      <c r="E703" s="40"/>
      <c r="G703" s="40"/>
      <c r="H703" s="40"/>
      <c r="I703" s="36"/>
      <c r="J703" s="36"/>
      <c r="K703" s="36"/>
      <c r="L703" s="36"/>
      <c r="M703" s="36"/>
      <c r="N703" s="36"/>
      <c r="P703" s="59"/>
      <c r="Q703" s="36"/>
      <c r="S703" s="36"/>
      <c r="T703" s="36"/>
      <c r="U703" s="36"/>
      <c r="AD703" s="36"/>
      <c r="AF703" s="36"/>
      <c r="AH703" s="36"/>
      <c r="AM703" s="40"/>
      <c r="AN703" s="40"/>
    </row>
    <row r="704" spans="1:40" x14ac:dyDescent="0.3">
      <c r="A704" s="70"/>
      <c r="B704" s="70"/>
      <c r="E704" s="40"/>
      <c r="G704" s="40"/>
      <c r="H704" s="40"/>
      <c r="I704" s="36"/>
      <c r="J704" s="36"/>
      <c r="K704" s="36"/>
      <c r="L704" s="36"/>
      <c r="M704" s="36"/>
      <c r="N704" s="36"/>
      <c r="P704" s="59"/>
      <c r="Q704" s="36"/>
      <c r="S704" s="36"/>
      <c r="T704" s="36"/>
      <c r="U704" s="36"/>
      <c r="AD704" s="36"/>
      <c r="AF704" s="36"/>
      <c r="AH704" s="36"/>
      <c r="AM704" s="40"/>
      <c r="AN704" s="40"/>
    </row>
    <row r="705" spans="1:40" x14ac:dyDescent="0.3">
      <c r="A705" s="70"/>
      <c r="B705" s="70"/>
      <c r="E705" s="40"/>
      <c r="G705" s="40"/>
      <c r="H705" s="40"/>
      <c r="I705" s="36"/>
      <c r="J705" s="36"/>
      <c r="K705" s="36"/>
      <c r="L705" s="36"/>
      <c r="M705" s="36"/>
      <c r="N705" s="36"/>
      <c r="P705" s="59"/>
      <c r="Q705" s="36"/>
      <c r="S705" s="36"/>
      <c r="T705" s="36"/>
      <c r="U705" s="36"/>
      <c r="AD705" s="36"/>
      <c r="AF705" s="36"/>
      <c r="AH705" s="36"/>
      <c r="AM705" s="40"/>
      <c r="AN705" s="40"/>
    </row>
    <row r="706" spans="1:40" x14ac:dyDescent="0.3">
      <c r="A706" s="70"/>
      <c r="B706" s="70"/>
      <c r="E706" s="40"/>
      <c r="G706" s="40"/>
      <c r="H706" s="40"/>
      <c r="I706" s="36"/>
      <c r="J706" s="36"/>
      <c r="K706" s="36"/>
      <c r="L706" s="36"/>
      <c r="M706" s="36"/>
      <c r="N706" s="36"/>
      <c r="P706" s="59"/>
      <c r="Q706" s="36"/>
      <c r="S706" s="36"/>
      <c r="T706" s="36"/>
      <c r="U706" s="36"/>
      <c r="AD706" s="36"/>
      <c r="AF706" s="36"/>
      <c r="AH706" s="36"/>
      <c r="AM706" s="40"/>
      <c r="AN706" s="40"/>
    </row>
    <row r="707" spans="1:40" x14ac:dyDescent="0.3">
      <c r="A707" s="70"/>
      <c r="B707" s="70"/>
      <c r="E707" s="40"/>
      <c r="G707" s="40"/>
      <c r="H707" s="40"/>
      <c r="I707" s="36"/>
      <c r="J707" s="36"/>
      <c r="K707" s="36"/>
      <c r="L707" s="36"/>
      <c r="M707" s="36"/>
      <c r="N707" s="36"/>
      <c r="P707" s="59"/>
      <c r="Q707" s="36"/>
      <c r="S707" s="36"/>
      <c r="T707" s="36"/>
      <c r="U707" s="36"/>
      <c r="AD707" s="36"/>
      <c r="AF707" s="36"/>
      <c r="AH707" s="36"/>
      <c r="AM707" s="40"/>
      <c r="AN707" s="40"/>
    </row>
    <row r="708" spans="1:40" x14ac:dyDescent="0.3">
      <c r="A708" s="70"/>
      <c r="B708" s="70"/>
      <c r="E708" s="40"/>
      <c r="G708" s="40"/>
      <c r="H708" s="40"/>
      <c r="I708" s="36"/>
      <c r="J708" s="36"/>
      <c r="K708" s="36"/>
      <c r="L708" s="36"/>
      <c r="M708" s="36"/>
      <c r="N708" s="36"/>
      <c r="P708" s="59"/>
      <c r="Q708" s="36"/>
      <c r="S708" s="36"/>
      <c r="T708" s="36"/>
      <c r="U708" s="36"/>
      <c r="AD708" s="36"/>
      <c r="AF708" s="36"/>
      <c r="AH708" s="36"/>
      <c r="AM708" s="40"/>
      <c r="AN708" s="40"/>
    </row>
    <row r="709" spans="1:40" x14ac:dyDescent="0.3">
      <c r="A709" s="70"/>
      <c r="B709" s="70"/>
      <c r="E709" s="40"/>
      <c r="G709" s="40"/>
      <c r="H709" s="40"/>
      <c r="I709" s="36"/>
      <c r="J709" s="36"/>
      <c r="K709" s="36"/>
      <c r="L709" s="36"/>
      <c r="M709" s="36"/>
      <c r="N709" s="36"/>
      <c r="P709" s="59"/>
      <c r="Q709" s="36"/>
      <c r="S709" s="36"/>
      <c r="T709" s="36"/>
      <c r="U709" s="36"/>
      <c r="AD709" s="36"/>
      <c r="AF709" s="36"/>
      <c r="AH709" s="36"/>
      <c r="AM709" s="40"/>
      <c r="AN709" s="40"/>
    </row>
    <row r="710" spans="1:40" x14ac:dyDescent="0.3">
      <c r="A710" s="70"/>
      <c r="B710" s="70"/>
      <c r="E710" s="40"/>
      <c r="G710" s="40"/>
      <c r="H710" s="40"/>
      <c r="I710" s="36"/>
      <c r="J710" s="36"/>
      <c r="K710" s="36"/>
      <c r="L710" s="36"/>
      <c r="M710" s="36"/>
      <c r="N710" s="36"/>
      <c r="P710" s="59"/>
      <c r="Q710" s="36"/>
      <c r="S710" s="36"/>
      <c r="T710" s="36"/>
      <c r="U710" s="36"/>
      <c r="AD710" s="36"/>
      <c r="AF710" s="36"/>
      <c r="AH710" s="36"/>
      <c r="AM710" s="40"/>
      <c r="AN710" s="40"/>
    </row>
    <row r="711" spans="1:40" x14ac:dyDescent="0.3">
      <c r="A711" s="70"/>
      <c r="B711" s="70"/>
      <c r="E711" s="40"/>
      <c r="G711" s="40"/>
      <c r="H711" s="40"/>
      <c r="I711" s="36"/>
      <c r="J711" s="36"/>
      <c r="K711" s="36"/>
      <c r="L711" s="36"/>
      <c r="M711" s="36"/>
      <c r="N711" s="36"/>
      <c r="P711" s="59"/>
      <c r="Q711" s="36"/>
      <c r="S711" s="36"/>
      <c r="T711" s="36"/>
      <c r="U711" s="36"/>
      <c r="AD711" s="36"/>
      <c r="AF711" s="36"/>
      <c r="AH711" s="36"/>
      <c r="AM711" s="40"/>
      <c r="AN711" s="40"/>
    </row>
    <row r="712" spans="1:40" x14ac:dyDescent="0.3">
      <c r="A712" s="70"/>
      <c r="B712" s="70"/>
      <c r="E712" s="40"/>
      <c r="G712" s="40"/>
      <c r="H712" s="40"/>
      <c r="I712" s="36"/>
      <c r="J712" s="36"/>
      <c r="K712" s="36"/>
      <c r="L712" s="36"/>
      <c r="M712" s="36"/>
      <c r="N712" s="36"/>
      <c r="P712" s="59"/>
      <c r="Q712" s="36"/>
      <c r="S712" s="36"/>
      <c r="T712" s="36"/>
      <c r="U712" s="36"/>
      <c r="AD712" s="36"/>
      <c r="AF712" s="36"/>
      <c r="AH712" s="36"/>
      <c r="AM712" s="40"/>
      <c r="AN712" s="40"/>
    </row>
    <row r="713" spans="1:40" x14ac:dyDescent="0.3">
      <c r="A713" s="70"/>
      <c r="B713" s="70"/>
      <c r="E713" s="40"/>
      <c r="G713" s="40"/>
      <c r="H713" s="40"/>
      <c r="I713" s="36"/>
      <c r="J713" s="36"/>
      <c r="K713" s="36"/>
      <c r="L713" s="36"/>
      <c r="M713" s="36"/>
      <c r="N713" s="36"/>
      <c r="P713" s="59"/>
      <c r="Q713" s="36"/>
      <c r="S713" s="36"/>
      <c r="T713" s="36"/>
      <c r="U713" s="36"/>
      <c r="AD713" s="36"/>
      <c r="AF713" s="36"/>
      <c r="AH713" s="36"/>
      <c r="AM713" s="40"/>
      <c r="AN713" s="40"/>
    </row>
    <row r="714" spans="1:40" x14ac:dyDescent="0.3">
      <c r="A714" s="70"/>
      <c r="B714" s="70"/>
      <c r="E714" s="40"/>
      <c r="G714" s="40"/>
      <c r="H714" s="40"/>
      <c r="I714" s="36"/>
      <c r="J714" s="36"/>
      <c r="K714" s="36"/>
      <c r="L714" s="36"/>
      <c r="M714" s="36"/>
      <c r="N714" s="36"/>
      <c r="P714" s="59"/>
      <c r="Q714" s="36"/>
      <c r="S714" s="36"/>
      <c r="T714" s="36"/>
      <c r="U714" s="36"/>
      <c r="AD714" s="36"/>
      <c r="AF714" s="36"/>
      <c r="AH714" s="36"/>
      <c r="AM714" s="40"/>
      <c r="AN714" s="40"/>
    </row>
    <row r="715" spans="1:40" x14ac:dyDescent="0.3">
      <c r="A715" s="70"/>
      <c r="B715" s="70"/>
      <c r="E715" s="40"/>
      <c r="G715" s="40"/>
      <c r="H715" s="40"/>
      <c r="I715" s="36"/>
      <c r="J715" s="36"/>
      <c r="K715" s="36"/>
      <c r="L715" s="36"/>
      <c r="M715" s="36"/>
      <c r="N715" s="36"/>
      <c r="P715" s="59"/>
      <c r="Q715" s="36"/>
      <c r="S715" s="36"/>
      <c r="T715" s="36"/>
      <c r="U715" s="36"/>
      <c r="AD715" s="36"/>
      <c r="AF715" s="36"/>
      <c r="AH715" s="36"/>
      <c r="AM715" s="40"/>
      <c r="AN715" s="40"/>
    </row>
    <row r="716" spans="1:40" x14ac:dyDescent="0.3">
      <c r="A716" s="70"/>
      <c r="B716" s="70"/>
      <c r="E716" s="40"/>
      <c r="G716" s="40"/>
      <c r="H716" s="40"/>
      <c r="I716" s="36"/>
      <c r="J716" s="36"/>
      <c r="K716" s="36"/>
      <c r="L716" s="36"/>
      <c r="M716" s="36"/>
      <c r="N716" s="36"/>
      <c r="P716" s="59"/>
      <c r="Q716" s="36"/>
      <c r="S716" s="36"/>
      <c r="T716" s="36"/>
      <c r="U716" s="36"/>
      <c r="AD716" s="36"/>
      <c r="AF716" s="36"/>
      <c r="AH716" s="36"/>
      <c r="AM716" s="40"/>
      <c r="AN716" s="40"/>
    </row>
    <row r="717" spans="1:40" x14ac:dyDescent="0.3">
      <c r="A717" s="70"/>
      <c r="B717" s="70"/>
      <c r="E717" s="40"/>
      <c r="G717" s="40"/>
      <c r="H717" s="40"/>
      <c r="I717" s="36"/>
      <c r="J717" s="36"/>
      <c r="K717" s="36"/>
      <c r="L717" s="36"/>
      <c r="M717" s="36"/>
      <c r="N717" s="36"/>
      <c r="P717" s="59"/>
      <c r="Q717" s="36"/>
      <c r="S717" s="36"/>
      <c r="T717" s="36"/>
      <c r="U717" s="36"/>
      <c r="AD717" s="36"/>
      <c r="AF717" s="36"/>
      <c r="AH717" s="36"/>
      <c r="AM717" s="40"/>
      <c r="AN717" s="40"/>
    </row>
    <row r="718" spans="1:40" x14ac:dyDescent="0.3">
      <c r="A718" s="70"/>
      <c r="B718" s="70"/>
      <c r="E718" s="40"/>
      <c r="G718" s="40"/>
      <c r="H718" s="40"/>
      <c r="I718" s="36"/>
      <c r="J718" s="36"/>
      <c r="K718" s="36"/>
      <c r="L718" s="36"/>
      <c r="M718" s="36"/>
      <c r="N718" s="36"/>
      <c r="P718" s="59"/>
      <c r="Q718" s="36"/>
      <c r="S718" s="36"/>
      <c r="T718" s="36"/>
      <c r="U718" s="36"/>
      <c r="AD718" s="36"/>
      <c r="AF718" s="36"/>
      <c r="AH718" s="36"/>
      <c r="AM718" s="40"/>
      <c r="AN718" s="40"/>
    </row>
    <row r="719" spans="1:40" x14ac:dyDescent="0.3">
      <c r="A719" s="70"/>
      <c r="B719" s="70"/>
      <c r="E719" s="40"/>
      <c r="G719" s="40"/>
      <c r="H719" s="40"/>
      <c r="I719" s="36"/>
      <c r="J719" s="36"/>
      <c r="K719" s="36"/>
      <c r="L719" s="36"/>
      <c r="M719" s="36"/>
      <c r="N719" s="36"/>
      <c r="P719" s="59"/>
      <c r="Q719" s="36"/>
      <c r="S719" s="36"/>
      <c r="T719" s="36"/>
      <c r="U719" s="36"/>
      <c r="AD719" s="36"/>
      <c r="AF719" s="36"/>
      <c r="AH719" s="36"/>
      <c r="AM719" s="40"/>
      <c r="AN719" s="40"/>
    </row>
    <row r="720" spans="1:40" x14ac:dyDescent="0.3">
      <c r="A720" s="70"/>
      <c r="B720" s="70"/>
      <c r="E720" s="40"/>
      <c r="G720" s="40"/>
      <c r="H720" s="40"/>
      <c r="I720" s="36"/>
      <c r="J720" s="36"/>
      <c r="K720" s="36"/>
      <c r="L720" s="36"/>
      <c r="M720" s="36"/>
      <c r="N720" s="36"/>
      <c r="P720" s="59"/>
      <c r="Q720" s="36"/>
      <c r="S720" s="36"/>
      <c r="T720" s="36"/>
      <c r="U720" s="36"/>
      <c r="AD720" s="36"/>
      <c r="AF720" s="36"/>
      <c r="AH720" s="36"/>
      <c r="AM720" s="40"/>
      <c r="AN720" s="40"/>
    </row>
    <row r="721" spans="1:40" x14ac:dyDescent="0.3">
      <c r="A721" s="70"/>
      <c r="B721" s="70"/>
      <c r="E721" s="40"/>
      <c r="G721" s="40"/>
      <c r="H721" s="40"/>
      <c r="I721" s="36"/>
      <c r="J721" s="36"/>
      <c r="K721" s="36"/>
      <c r="L721" s="36"/>
      <c r="M721" s="36"/>
      <c r="N721" s="36"/>
      <c r="P721" s="59"/>
      <c r="Q721" s="36"/>
      <c r="S721" s="36"/>
      <c r="T721" s="36"/>
      <c r="U721" s="36"/>
      <c r="AD721" s="36"/>
      <c r="AF721" s="36"/>
      <c r="AH721" s="36"/>
      <c r="AM721" s="40"/>
      <c r="AN721" s="40"/>
    </row>
    <row r="722" spans="1:40" x14ac:dyDescent="0.3">
      <c r="A722" s="70"/>
      <c r="B722" s="70"/>
      <c r="E722" s="40"/>
      <c r="G722" s="40"/>
      <c r="H722" s="40"/>
      <c r="I722" s="36"/>
      <c r="J722" s="36"/>
      <c r="K722" s="36"/>
      <c r="L722" s="36"/>
      <c r="M722" s="36"/>
      <c r="N722" s="36"/>
      <c r="P722" s="59"/>
      <c r="Q722" s="36"/>
      <c r="S722" s="36"/>
      <c r="T722" s="36"/>
      <c r="U722" s="36"/>
      <c r="AD722" s="36"/>
      <c r="AF722" s="36"/>
      <c r="AH722" s="36"/>
      <c r="AM722" s="40"/>
      <c r="AN722" s="40"/>
    </row>
    <row r="723" spans="1:40" x14ac:dyDescent="0.3">
      <c r="A723" s="70"/>
      <c r="B723" s="70"/>
      <c r="E723" s="40"/>
      <c r="G723" s="40"/>
      <c r="H723" s="40"/>
      <c r="I723" s="36"/>
      <c r="J723" s="36"/>
      <c r="K723" s="36"/>
      <c r="L723" s="36"/>
      <c r="M723" s="36"/>
      <c r="N723" s="36"/>
      <c r="P723" s="59"/>
      <c r="Q723" s="36"/>
      <c r="S723" s="36"/>
      <c r="T723" s="36"/>
      <c r="U723" s="36"/>
      <c r="AD723" s="36"/>
      <c r="AF723" s="36"/>
      <c r="AH723" s="36"/>
      <c r="AM723" s="40"/>
      <c r="AN723" s="40"/>
    </row>
    <row r="724" spans="1:40" x14ac:dyDescent="0.3">
      <c r="A724" s="70"/>
      <c r="B724" s="70"/>
      <c r="E724" s="40"/>
      <c r="G724" s="40"/>
      <c r="H724" s="40"/>
      <c r="I724" s="36"/>
      <c r="J724" s="36"/>
      <c r="K724" s="36"/>
      <c r="L724" s="36"/>
      <c r="M724" s="36"/>
      <c r="N724" s="36"/>
      <c r="P724" s="59"/>
      <c r="Q724" s="36"/>
      <c r="S724" s="36"/>
      <c r="T724" s="36"/>
      <c r="U724" s="36"/>
      <c r="AD724" s="36"/>
      <c r="AF724" s="36"/>
      <c r="AH724" s="36"/>
      <c r="AM724" s="40"/>
      <c r="AN724" s="40"/>
    </row>
    <row r="725" spans="1:40" x14ac:dyDescent="0.3">
      <c r="A725" s="70"/>
      <c r="B725" s="70"/>
      <c r="E725" s="40"/>
      <c r="G725" s="40"/>
      <c r="H725" s="40"/>
      <c r="I725" s="36"/>
      <c r="J725" s="36"/>
      <c r="K725" s="36"/>
      <c r="L725" s="36"/>
      <c r="M725" s="36"/>
      <c r="N725" s="36"/>
      <c r="P725" s="59"/>
      <c r="Q725" s="36"/>
      <c r="S725" s="36"/>
      <c r="T725" s="36"/>
      <c r="U725" s="36"/>
      <c r="AD725" s="36"/>
      <c r="AF725" s="36"/>
      <c r="AH725" s="36"/>
      <c r="AM725" s="40"/>
      <c r="AN725" s="40"/>
    </row>
    <row r="726" spans="1:40" x14ac:dyDescent="0.3">
      <c r="A726" s="70"/>
      <c r="B726" s="70"/>
      <c r="E726" s="40"/>
      <c r="G726" s="40"/>
      <c r="H726" s="40"/>
      <c r="I726" s="36"/>
      <c r="J726" s="36"/>
      <c r="K726" s="36"/>
      <c r="L726" s="36"/>
      <c r="M726" s="36"/>
      <c r="N726" s="36"/>
      <c r="P726" s="59"/>
      <c r="Q726" s="36"/>
      <c r="S726" s="36"/>
      <c r="T726" s="36"/>
      <c r="U726" s="36"/>
      <c r="AD726" s="36"/>
      <c r="AF726" s="36"/>
      <c r="AH726" s="36"/>
      <c r="AM726" s="40"/>
      <c r="AN726" s="40"/>
    </row>
    <row r="727" spans="1:40" x14ac:dyDescent="0.3">
      <c r="A727" s="70"/>
      <c r="B727" s="70"/>
      <c r="E727" s="40"/>
      <c r="G727" s="40"/>
      <c r="H727" s="40"/>
      <c r="I727" s="36"/>
      <c r="J727" s="36"/>
      <c r="K727" s="36"/>
      <c r="L727" s="36"/>
      <c r="M727" s="36"/>
      <c r="N727" s="36"/>
      <c r="P727" s="59"/>
      <c r="Q727" s="36"/>
      <c r="S727" s="36"/>
      <c r="T727" s="36"/>
      <c r="U727" s="36"/>
      <c r="AD727" s="36"/>
      <c r="AF727" s="36"/>
      <c r="AH727" s="36"/>
      <c r="AM727" s="40"/>
      <c r="AN727" s="40"/>
    </row>
    <row r="728" spans="1:40" x14ac:dyDescent="0.3">
      <c r="A728" s="70"/>
      <c r="B728" s="70"/>
      <c r="E728" s="40"/>
      <c r="G728" s="40"/>
      <c r="H728" s="40"/>
      <c r="I728" s="36"/>
      <c r="J728" s="36"/>
      <c r="K728" s="36"/>
      <c r="L728" s="36"/>
      <c r="M728" s="36"/>
      <c r="N728" s="36"/>
      <c r="P728" s="59"/>
      <c r="Q728" s="36"/>
      <c r="S728" s="36"/>
      <c r="T728" s="36"/>
      <c r="U728" s="36"/>
      <c r="AD728" s="36"/>
      <c r="AF728" s="36"/>
      <c r="AH728" s="36"/>
      <c r="AM728" s="40"/>
      <c r="AN728" s="40"/>
    </row>
    <row r="729" spans="1:40" x14ac:dyDescent="0.3">
      <c r="A729" s="70"/>
      <c r="B729" s="70"/>
      <c r="E729" s="40"/>
      <c r="G729" s="40"/>
      <c r="H729" s="40"/>
      <c r="I729" s="36"/>
      <c r="J729" s="36"/>
      <c r="K729" s="36"/>
      <c r="L729" s="36"/>
      <c r="M729" s="36"/>
      <c r="N729" s="36"/>
      <c r="P729" s="59"/>
      <c r="Q729" s="36"/>
      <c r="S729" s="36"/>
      <c r="T729" s="36"/>
      <c r="U729" s="36"/>
      <c r="AD729" s="36"/>
      <c r="AF729" s="36"/>
      <c r="AH729" s="36"/>
      <c r="AM729" s="40"/>
      <c r="AN729" s="40"/>
    </row>
    <row r="730" spans="1:40" x14ac:dyDescent="0.3">
      <c r="A730" s="70"/>
      <c r="B730" s="70"/>
      <c r="E730" s="40"/>
      <c r="G730" s="40"/>
      <c r="H730" s="40"/>
      <c r="I730" s="36"/>
      <c r="J730" s="36"/>
      <c r="K730" s="36"/>
      <c r="L730" s="36"/>
      <c r="M730" s="36"/>
      <c r="N730" s="36"/>
      <c r="P730" s="59"/>
      <c r="Q730" s="36"/>
      <c r="S730" s="36"/>
      <c r="T730" s="36"/>
      <c r="U730" s="36"/>
      <c r="AD730" s="36"/>
      <c r="AF730" s="36"/>
      <c r="AH730" s="36"/>
      <c r="AM730" s="40"/>
      <c r="AN730" s="40"/>
    </row>
    <row r="731" spans="1:40" x14ac:dyDescent="0.3">
      <c r="A731" s="70"/>
      <c r="B731" s="70"/>
      <c r="E731" s="40"/>
      <c r="G731" s="40"/>
      <c r="H731" s="40"/>
      <c r="I731" s="36"/>
      <c r="J731" s="36"/>
      <c r="K731" s="36"/>
      <c r="L731" s="36"/>
      <c r="M731" s="36"/>
      <c r="N731" s="36"/>
      <c r="P731" s="59"/>
      <c r="Q731" s="36"/>
      <c r="S731" s="36"/>
      <c r="T731" s="36"/>
      <c r="U731" s="36"/>
      <c r="AD731" s="36"/>
      <c r="AF731" s="36"/>
      <c r="AH731" s="36"/>
      <c r="AM731" s="40"/>
      <c r="AN731" s="40"/>
    </row>
    <row r="732" spans="1:40" x14ac:dyDescent="0.3">
      <c r="A732" s="70"/>
      <c r="B732" s="70"/>
      <c r="E732" s="40"/>
      <c r="G732" s="40"/>
      <c r="H732" s="40"/>
      <c r="I732" s="36"/>
      <c r="J732" s="36"/>
      <c r="K732" s="36"/>
      <c r="L732" s="36"/>
      <c r="M732" s="36"/>
      <c r="N732" s="36"/>
      <c r="P732" s="59"/>
      <c r="Q732" s="36"/>
      <c r="S732" s="36"/>
      <c r="T732" s="36"/>
      <c r="U732" s="36"/>
      <c r="AD732" s="36"/>
      <c r="AF732" s="36"/>
      <c r="AH732" s="36"/>
      <c r="AM732" s="40"/>
      <c r="AN732" s="40"/>
    </row>
    <row r="733" spans="1:40" x14ac:dyDescent="0.3">
      <c r="A733" s="70"/>
      <c r="B733" s="70"/>
      <c r="E733" s="40"/>
      <c r="G733" s="40"/>
      <c r="H733" s="40"/>
      <c r="I733" s="36"/>
      <c r="J733" s="36"/>
      <c r="K733" s="36"/>
      <c r="L733" s="36"/>
      <c r="M733" s="36"/>
      <c r="N733" s="36"/>
      <c r="P733" s="59"/>
      <c r="Q733" s="36"/>
      <c r="S733" s="36"/>
      <c r="T733" s="36"/>
      <c r="U733" s="36"/>
      <c r="AD733" s="36"/>
      <c r="AF733" s="36"/>
      <c r="AH733" s="36"/>
      <c r="AM733" s="40"/>
      <c r="AN733" s="40"/>
    </row>
    <row r="734" spans="1:40" x14ac:dyDescent="0.3">
      <c r="A734" s="70"/>
      <c r="B734" s="70"/>
      <c r="E734" s="40"/>
      <c r="G734" s="40"/>
      <c r="H734" s="40"/>
      <c r="I734" s="36"/>
      <c r="J734" s="36"/>
      <c r="K734" s="36"/>
      <c r="L734" s="36"/>
      <c r="M734" s="36"/>
      <c r="N734" s="36"/>
      <c r="P734" s="59"/>
      <c r="Q734" s="36"/>
      <c r="S734" s="36"/>
      <c r="T734" s="36"/>
      <c r="U734" s="36"/>
      <c r="AD734" s="36"/>
      <c r="AF734" s="36"/>
      <c r="AH734" s="36"/>
      <c r="AM734" s="40"/>
      <c r="AN734" s="40"/>
    </row>
    <row r="735" spans="1:40" x14ac:dyDescent="0.3">
      <c r="A735" s="70"/>
      <c r="B735" s="70"/>
      <c r="E735" s="40"/>
      <c r="G735" s="40"/>
      <c r="H735" s="40"/>
      <c r="I735" s="36"/>
      <c r="J735" s="36"/>
      <c r="K735" s="36"/>
      <c r="L735" s="36"/>
      <c r="M735" s="36"/>
      <c r="N735" s="36"/>
      <c r="P735" s="59"/>
      <c r="Q735" s="36"/>
      <c r="S735" s="36"/>
      <c r="T735" s="36"/>
      <c r="U735" s="36"/>
      <c r="AD735" s="36"/>
      <c r="AF735" s="36"/>
      <c r="AH735" s="36"/>
      <c r="AM735" s="40"/>
      <c r="AN735" s="40"/>
    </row>
    <row r="736" spans="1:40" x14ac:dyDescent="0.3">
      <c r="A736" s="70"/>
      <c r="B736" s="70"/>
      <c r="E736" s="40"/>
      <c r="G736" s="40"/>
      <c r="H736" s="40"/>
      <c r="I736" s="36"/>
      <c r="J736" s="36"/>
      <c r="K736" s="36"/>
      <c r="L736" s="36"/>
      <c r="M736" s="36"/>
      <c r="N736" s="36"/>
      <c r="P736" s="59"/>
      <c r="Q736" s="36"/>
      <c r="S736" s="36"/>
      <c r="T736" s="36"/>
      <c r="U736" s="36"/>
      <c r="AD736" s="36"/>
      <c r="AF736" s="36"/>
      <c r="AH736" s="36"/>
      <c r="AM736" s="40"/>
      <c r="AN736" s="40"/>
    </row>
    <row r="737" spans="1:40" x14ac:dyDescent="0.3">
      <c r="A737" s="70"/>
      <c r="B737" s="70"/>
      <c r="E737" s="40"/>
      <c r="G737" s="40"/>
      <c r="H737" s="40"/>
      <c r="I737" s="36"/>
      <c r="J737" s="36"/>
      <c r="K737" s="36"/>
      <c r="L737" s="36"/>
      <c r="M737" s="36"/>
      <c r="N737" s="36"/>
      <c r="P737" s="59"/>
      <c r="Q737" s="36"/>
      <c r="S737" s="36"/>
      <c r="T737" s="36"/>
      <c r="U737" s="36"/>
      <c r="AD737" s="36"/>
      <c r="AF737" s="36"/>
      <c r="AH737" s="36"/>
      <c r="AM737" s="40"/>
      <c r="AN737" s="40"/>
    </row>
    <row r="738" spans="1:40" x14ac:dyDescent="0.3">
      <c r="A738" s="70"/>
      <c r="B738" s="70"/>
      <c r="E738" s="40"/>
      <c r="G738" s="40"/>
      <c r="H738" s="40"/>
      <c r="I738" s="36"/>
      <c r="J738" s="36"/>
      <c r="K738" s="36"/>
      <c r="L738" s="36"/>
      <c r="M738" s="36"/>
      <c r="N738" s="36"/>
      <c r="P738" s="59"/>
      <c r="Q738" s="36"/>
      <c r="S738" s="36"/>
      <c r="T738" s="36"/>
      <c r="U738" s="36"/>
      <c r="AD738" s="36"/>
      <c r="AF738" s="36"/>
      <c r="AH738" s="36"/>
      <c r="AM738" s="40"/>
      <c r="AN738" s="40"/>
    </row>
    <row r="739" spans="1:40" x14ac:dyDescent="0.3">
      <c r="A739" s="70"/>
      <c r="B739" s="70"/>
      <c r="E739" s="40"/>
      <c r="G739" s="40"/>
      <c r="H739" s="40"/>
      <c r="I739" s="36"/>
      <c r="J739" s="36"/>
      <c r="K739" s="36"/>
      <c r="L739" s="36"/>
      <c r="M739" s="36"/>
      <c r="N739" s="36"/>
      <c r="P739" s="59"/>
      <c r="Q739" s="36"/>
      <c r="S739" s="36"/>
      <c r="T739" s="36"/>
      <c r="U739" s="36"/>
      <c r="AD739" s="36"/>
      <c r="AF739" s="36"/>
      <c r="AH739" s="36"/>
      <c r="AM739" s="40"/>
      <c r="AN739" s="40"/>
    </row>
    <row r="740" spans="1:40" x14ac:dyDescent="0.3">
      <c r="A740" s="70"/>
      <c r="B740" s="70"/>
      <c r="E740" s="40"/>
      <c r="G740" s="40"/>
      <c r="H740" s="40"/>
      <c r="I740" s="36"/>
      <c r="J740" s="36"/>
      <c r="K740" s="36"/>
      <c r="L740" s="36"/>
      <c r="M740" s="36"/>
      <c r="N740" s="36"/>
      <c r="P740" s="59"/>
      <c r="Q740" s="36"/>
      <c r="S740" s="36"/>
      <c r="T740" s="36"/>
      <c r="U740" s="36"/>
      <c r="AD740" s="36"/>
      <c r="AF740" s="36"/>
      <c r="AH740" s="36"/>
      <c r="AM740" s="40"/>
      <c r="AN740" s="40"/>
    </row>
    <row r="741" spans="1:40" x14ac:dyDescent="0.3">
      <c r="A741" s="70"/>
      <c r="B741" s="70"/>
      <c r="E741" s="40"/>
      <c r="G741" s="40"/>
      <c r="H741" s="40"/>
      <c r="I741" s="36"/>
      <c r="J741" s="36"/>
      <c r="K741" s="36"/>
      <c r="L741" s="36"/>
      <c r="M741" s="36"/>
      <c r="N741" s="36"/>
      <c r="P741" s="59"/>
      <c r="Q741" s="36"/>
      <c r="S741" s="36"/>
      <c r="T741" s="36"/>
      <c r="U741" s="36"/>
      <c r="AD741" s="36"/>
      <c r="AF741" s="36"/>
      <c r="AH741" s="36"/>
      <c r="AM741" s="40"/>
      <c r="AN741" s="40"/>
    </row>
    <row r="742" spans="1:40" x14ac:dyDescent="0.3">
      <c r="A742" s="70"/>
      <c r="B742" s="70"/>
      <c r="E742" s="40"/>
      <c r="G742" s="40"/>
      <c r="H742" s="40"/>
      <c r="I742" s="36"/>
      <c r="J742" s="36"/>
      <c r="K742" s="36"/>
      <c r="L742" s="36"/>
      <c r="M742" s="36"/>
      <c r="N742" s="36"/>
      <c r="P742" s="59"/>
      <c r="Q742" s="36"/>
      <c r="S742" s="36"/>
      <c r="T742" s="36"/>
      <c r="U742" s="36"/>
      <c r="AD742" s="36"/>
      <c r="AF742" s="36"/>
      <c r="AH742" s="36"/>
      <c r="AM742" s="40"/>
      <c r="AN742" s="40"/>
    </row>
    <row r="743" spans="1:40" x14ac:dyDescent="0.3">
      <c r="A743" s="70"/>
      <c r="B743" s="70"/>
      <c r="E743" s="40"/>
      <c r="G743" s="40"/>
      <c r="H743" s="40"/>
      <c r="I743" s="36"/>
      <c r="J743" s="36"/>
      <c r="K743" s="36"/>
      <c r="L743" s="36"/>
      <c r="M743" s="36"/>
      <c r="N743" s="36"/>
      <c r="P743" s="59"/>
      <c r="Q743" s="36"/>
      <c r="S743" s="36"/>
      <c r="T743" s="36"/>
      <c r="U743" s="36"/>
      <c r="AD743" s="36"/>
      <c r="AF743" s="36"/>
      <c r="AH743" s="36"/>
      <c r="AM743" s="40"/>
      <c r="AN743" s="40"/>
    </row>
    <row r="744" spans="1:40" x14ac:dyDescent="0.3">
      <c r="A744" s="70"/>
      <c r="B744" s="70"/>
      <c r="E744" s="40"/>
      <c r="G744" s="40"/>
      <c r="H744" s="40"/>
      <c r="I744" s="36"/>
      <c r="J744" s="36"/>
      <c r="K744" s="36"/>
      <c r="L744" s="36"/>
      <c r="M744" s="36"/>
      <c r="N744" s="36"/>
      <c r="P744" s="59"/>
      <c r="Q744" s="36"/>
      <c r="S744" s="36"/>
      <c r="T744" s="36"/>
      <c r="U744" s="36"/>
      <c r="AD744" s="36"/>
      <c r="AF744" s="36"/>
      <c r="AH744" s="36"/>
      <c r="AM744" s="40"/>
      <c r="AN744" s="40"/>
    </row>
    <row r="745" spans="1:40" x14ac:dyDescent="0.3">
      <c r="A745" s="70"/>
      <c r="B745" s="70"/>
      <c r="E745" s="40"/>
      <c r="G745" s="40"/>
      <c r="H745" s="40"/>
      <c r="I745" s="36"/>
      <c r="J745" s="36"/>
      <c r="K745" s="36"/>
      <c r="L745" s="36"/>
      <c r="M745" s="36"/>
      <c r="N745" s="36"/>
      <c r="P745" s="59"/>
      <c r="Q745" s="36"/>
      <c r="S745" s="36"/>
      <c r="T745" s="36"/>
      <c r="U745" s="36"/>
      <c r="AD745" s="36"/>
      <c r="AF745" s="36"/>
      <c r="AH745" s="36"/>
      <c r="AM745" s="40"/>
      <c r="AN745" s="40"/>
    </row>
    <row r="746" spans="1:40" x14ac:dyDescent="0.3">
      <c r="A746" s="70"/>
      <c r="B746" s="70"/>
      <c r="E746" s="40"/>
      <c r="G746" s="40"/>
      <c r="H746" s="40"/>
      <c r="I746" s="36"/>
      <c r="J746" s="36"/>
      <c r="K746" s="36"/>
      <c r="L746" s="36"/>
      <c r="M746" s="36"/>
      <c r="N746" s="36"/>
      <c r="P746" s="59"/>
      <c r="Q746" s="36"/>
      <c r="S746" s="36"/>
      <c r="T746" s="36"/>
      <c r="U746" s="36"/>
      <c r="AD746" s="36"/>
      <c r="AF746" s="36"/>
      <c r="AH746" s="36"/>
      <c r="AM746" s="40"/>
      <c r="AN746" s="40"/>
    </row>
    <row r="747" spans="1:40" x14ac:dyDescent="0.3">
      <c r="A747" s="70"/>
      <c r="B747" s="70"/>
      <c r="E747" s="40"/>
      <c r="G747" s="40"/>
      <c r="H747" s="40"/>
      <c r="I747" s="36"/>
      <c r="J747" s="36"/>
      <c r="K747" s="36"/>
      <c r="L747" s="36"/>
      <c r="M747" s="36"/>
      <c r="N747" s="36"/>
      <c r="P747" s="59"/>
      <c r="Q747" s="36"/>
      <c r="S747" s="36"/>
      <c r="T747" s="36"/>
      <c r="U747" s="36"/>
      <c r="AD747" s="36"/>
      <c r="AF747" s="36"/>
      <c r="AH747" s="36"/>
      <c r="AM747" s="40"/>
      <c r="AN747" s="40"/>
    </row>
    <row r="748" spans="1:40" x14ac:dyDescent="0.3">
      <c r="A748" s="70"/>
      <c r="B748" s="70"/>
      <c r="E748" s="40"/>
      <c r="G748" s="40"/>
      <c r="H748" s="40"/>
      <c r="I748" s="36"/>
      <c r="J748" s="36"/>
      <c r="K748" s="36"/>
      <c r="L748" s="36"/>
      <c r="M748" s="36"/>
      <c r="N748" s="36"/>
      <c r="P748" s="59"/>
      <c r="Q748" s="36"/>
      <c r="S748" s="36"/>
      <c r="T748" s="36"/>
      <c r="U748" s="36"/>
      <c r="AD748" s="36"/>
      <c r="AF748" s="36"/>
      <c r="AH748" s="36"/>
      <c r="AM748" s="40"/>
      <c r="AN748" s="40"/>
    </row>
    <row r="749" spans="1:40" x14ac:dyDescent="0.3">
      <c r="A749" s="70"/>
      <c r="B749" s="70"/>
      <c r="E749" s="40"/>
      <c r="G749" s="40"/>
      <c r="H749" s="40"/>
      <c r="I749" s="36"/>
      <c r="J749" s="36"/>
      <c r="K749" s="36"/>
      <c r="L749" s="36"/>
      <c r="M749" s="36"/>
      <c r="N749" s="36"/>
      <c r="P749" s="59"/>
      <c r="Q749" s="36"/>
      <c r="S749" s="36"/>
      <c r="T749" s="36"/>
      <c r="U749" s="36"/>
      <c r="AD749" s="36"/>
      <c r="AF749" s="36"/>
      <c r="AH749" s="36"/>
      <c r="AM749" s="40"/>
      <c r="AN749" s="40"/>
    </row>
    <row r="750" spans="1:40" x14ac:dyDescent="0.3">
      <c r="A750" s="70"/>
      <c r="B750" s="70"/>
      <c r="E750" s="40"/>
      <c r="G750" s="40"/>
      <c r="H750" s="40"/>
      <c r="I750" s="36"/>
      <c r="J750" s="36"/>
      <c r="K750" s="36"/>
      <c r="L750" s="36"/>
      <c r="M750" s="36"/>
      <c r="N750" s="36"/>
      <c r="P750" s="59"/>
      <c r="Q750" s="36"/>
      <c r="S750" s="36"/>
      <c r="T750" s="36"/>
      <c r="U750" s="36"/>
      <c r="AD750" s="36"/>
      <c r="AF750" s="36"/>
      <c r="AH750" s="36"/>
      <c r="AM750" s="40"/>
      <c r="AN750" s="40"/>
    </row>
    <row r="751" spans="1:40" x14ac:dyDescent="0.3">
      <c r="A751" s="70"/>
      <c r="B751" s="70"/>
      <c r="E751" s="40"/>
      <c r="G751" s="40"/>
      <c r="H751" s="40"/>
      <c r="I751" s="36"/>
      <c r="J751" s="36"/>
      <c r="K751" s="36"/>
      <c r="L751" s="36"/>
      <c r="M751" s="36"/>
      <c r="N751" s="36"/>
      <c r="P751" s="59"/>
      <c r="Q751" s="36"/>
      <c r="S751" s="36"/>
      <c r="T751" s="36"/>
      <c r="U751" s="36"/>
      <c r="AD751" s="36"/>
      <c r="AF751" s="36"/>
      <c r="AH751" s="36"/>
      <c r="AM751" s="40"/>
      <c r="AN751" s="40"/>
    </row>
    <row r="752" spans="1:40" x14ac:dyDescent="0.3">
      <c r="A752" s="70"/>
      <c r="B752" s="70"/>
      <c r="E752" s="40"/>
      <c r="G752" s="40"/>
      <c r="H752" s="40"/>
      <c r="I752" s="36"/>
      <c r="J752" s="36"/>
      <c r="K752" s="36"/>
      <c r="L752" s="36"/>
      <c r="M752" s="36"/>
      <c r="N752" s="36"/>
      <c r="P752" s="59"/>
      <c r="Q752" s="36"/>
      <c r="S752" s="36"/>
      <c r="T752" s="36"/>
      <c r="U752" s="36"/>
      <c r="AD752" s="36"/>
      <c r="AF752" s="36"/>
      <c r="AH752" s="36"/>
      <c r="AM752" s="40"/>
      <c r="AN752" s="40"/>
    </row>
    <row r="753" spans="1:40" x14ac:dyDescent="0.3">
      <c r="A753" s="70"/>
      <c r="B753" s="70"/>
      <c r="E753" s="40"/>
      <c r="G753" s="40"/>
      <c r="H753" s="40"/>
      <c r="I753" s="36"/>
      <c r="J753" s="36"/>
      <c r="K753" s="36"/>
      <c r="L753" s="36"/>
      <c r="M753" s="36"/>
      <c r="N753" s="36"/>
      <c r="P753" s="59"/>
      <c r="Q753" s="36"/>
      <c r="S753" s="36"/>
      <c r="T753" s="36"/>
      <c r="U753" s="36"/>
      <c r="AD753" s="36"/>
      <c r="AF753" s="36"/>
      <c r="AH753" s="36"/>
      <c r="AM753" s="40"/>
      <c r="AN753" s="40"/>
    </row>
    <row r="754" spans="1:40" x14ac:dyDescent="0.3">
      <c r="A754" s="70"/>
      <c r="B754" s="70"/>
      <c r="E754" s="40"/>
      <c r="G754" s="40"/>
      <c r="H754" s="40"/>
      <c r="I754" s="36"/>
      <c r="J754" s="36"/>
      <c r="K754" s="36"/>
      <c r="L754" s="36"/>
      <c r="M754" s="36"/>
      <c r="N754" s="36"/>
      <c r="P754" s="59"/>
      <c r="Q754" s="36"/>
      <c r="S754" s="36"/>
      <c r="T754" s="36"/>
      <c r="U754" s="36"/>
      <c r="AD754" s="36"/>
      <c r="AF754" s="36"/>
      <c r="AH754" s="36"/>
      <c r="AM754" s="40"/>
      <c r="AN754" s="40"/>
    </row>
    <row r="755" spans="1:40" x14ac:dyDescent="0.3">
      <c r="A755" s="70"/>
      <c r="B755" s="70"/>
      <c r="E755" s="40"/>
      <c r="G755" s="40"/>
      <c r="H755" s="40"/>
      <c r="I755" s="36"/>
      <c r="J755" s="36"/>
      <c r="K755" s="36"/>
      <c r="L755" s="36"/>
      <c r="M755" s="36"/>
      <c r="N755" s="36"/>
      <c r="P755" s="59"/>
      <c r="Q755" s="36"/>
      <c r="S755" s="36"/>
      <c r="T755" s="36"/>
      <c r="U755" s="36"/>
      <c r="AD755" s="36"/>
      <c r="AF755" s="36"/>
      <c r="AH755" s="36"/>
      <c r="AM755" s="40"/>
      <c r="AN755" s="40"/>
    </row>
    <row r="756" spans="1:40" x14ac:dyDescent="0.3">
      <c r="A756" s="70"/>
      <c r="B756" s="70"/>
      <c r="E756" s="40"/>
      <c r="G756" s="40"/>
      <c r="H756" s="40"/>
      <c r="I756" s="36"/>
      <c r="J756" s="36"/>
      <c r="K756" s="36"/>
      <c r="L756" s="36"/>
      <c r="M756" s="36"/>
      <c r="N756" s="36"/>
      <c r="P756" s="59"/>
      <c r="Q756" s="36"/>
      <c r="S756" s="36"/>
      <c r="T756" s="36"/>
      <c r="U756" s="36"/>
      <c r="AD756" s="36"/>
      <c r="AF756" s="36"/>
      <c r="AH756" s="36"/>
      <c r="AM756" s="40"/>
      <c r="AN756" s="40"/>
    </row>
    <row r="757" spans="1:40" x14ac:dyDescent="0.3">
      <c r="A757" s="70"/>
      <c r="B757" s="70"/>
      <c r="E757" s="40"/>
      <c r="G757" s="40"/>
      <c r="H757" s="40"/>
      <c r="I757" s="36"/>
      <c r="J757" s="36"/>
      <c r="K757" s="36"/>
      <c r="L757" s="36"/>
      <c r="M757" s="36"/>
      <c r="N757" s="36"/>
      <c r="P757" s="59"/>
      <c r="Q757" s="36"/>
      <c r="S757" s="36"/>
      <c r="T757" s="36"/>
      <c r="U757" s="36"/>
      <c r="AD757" s="36"/>
      <c r="AF757" s="36"/>
      <c r="AH757" s="36"/>
      <c r="AM757" s="40"/>
      <c r="AN757" s="40"/>
    </row>
    <row r="758" spans="1:40" x14ac:dyDescent="0.3">
      <c r="A758" s="70"/>
      <c r="B758" s="70"/>
      <c r="E758" s="40"/>
      <c r="G758" s="40"/>
      <c r="H758" s="40"/>
      <c r="I758" s="36"/>
      <c r="J758" s="36"/>
      <c r="K758" s="36"/>
      <c r="L758" s="36"/>
      <c r="M758" s="36"/>
      <c r="N758" s="36"/>
      <c r="P758" s="59"/>
      <c r="Q758" s="36"/>
      <c r="S758" s="36"/>
      <c r="T758" s="36"/>
      <c r="U758" s="36"/>
      <c r="AD758" s="36"/>
      <c r="AF758" s="36"/>
      <c r="AH758" s="36"/>
      <c r="AM758" s="40"/>
      <c r="AN758" s="40"/>
    </row>
    <row r="759" spans="1:40" x14ac:dyDescent="0.3">
      <c r="A759" s="70"/>
      <c r="B759" s="70"/>
      <c r="E759" s="40"/>
      <c r="G759" s="40"/>
      <c r="H759" s="40"/>
      <c r="I759" s="36"/>
      <c r="J759" s="36"/>
      <c r="K759" s="36"/>
      <c r="L759" s="36"/>
      <c r="M759" s="36"/>
      <c r="N759" s="36"/>
      <c r="P759" s="59"/>
      <c r="Q759" s="36"/>
      <c r="S759" s="36"/>
      <c r="T759" s="36"/>
      <c r="U759" s="36"/>
      <c r="AD759" s="36"/>
      <c r="AF759" s="36"/>
      <c r="AH759" s="36"/>
      <c r="AM759" s="40"/>
      <c r="AN759" s="40"/>
    </row>
    <row r="760" spans="1:40" x14ac:dyDescent="0.3">
      <c r="A760" s="70"/>
      <c r="B760" s="70"/>
      <c r="E760" s="40"/>
      <c r="G760" s="40"/>
      <c r="H760" s="40"/>
      <c r="I760" s="36"/>
      <c r="J760" s="36"/>
      <c r="K760" s="36"/>
      <c r="L760" s="36"/>
      <c r="M760" s="36"/>
      <c r="N760" s="36"/>
      <c r="P760" s="59"/>
      <c r="Q760" s="36"/>
      <c r="S760" s="36"/>
      <c r="T760" s="36"/>
      <c r="U760" s="36"/>
      <c r="AD760" s="36"/>
      <c r="AF760" s="36"/>
      <c r="AH760" s="36"/>
      <c r="AM760" s="40"/>
      <c r="AN760" s="40"/>
    </row>
    <row r="761" spans="1:40" x14ac:dyDescent="0.3">
      <c r="A761" s="70"/>
      <c r="B761" s="70"/>
      <c r="E761" s="40"/>
      <c r="G761" s="40"/>
      <c r="H761" s="40"/>
      <c r="I761" s="36"/>
      <c r="J761" s="36"/>
      <c r="K761" s="36"/>
      <c r="L761" s="36"/>
      <c r="M761" s="36"/>
      <c r="N761" s="36"/>
      <c r="P761" s="59"/>
      <c r="Q761" s="36"/>
      <c r="S761" s="36"/>
      <c r="T761" s="36"/>
      <c r="U761" s="36"/>
      <c r="AD761" s="36"/>
      <c r="AF761" s="36"/>
      <c r="AH761" s="36"/>
      <c r="AM761" s="40"/>
      <c r="AN761" s="40"/>
    </row>
    <row r="762" spans="1:40" x14ac:dyDescent="0.3">
      <c r="A762" s="70"/>
      <c r="B762" s="70"/>
      <c r="E762" s="40"/>
      <c r="G762" s="40"/>
      <c r="H762" s="40"/>
      <c r="I762" s="36"/>
      <c r="J762" s="36"/>
      <c r="K762" s="36"/>
      <c r="L762" s="36"/>
      <c r="M762" s="36"/>
      <c r="N762" s="36"/>
      <c r="P762" s="59"/>
      <c r="Q762" s="36"/>
      <c r="S762" s="36"/>
      <c r="T762" s="36"/>
      <c r="U762" s="36"/>
      <c r="AD762" s="36"/>
      <c r="AF762" s="36"/>
      <c r="AH762" s="36"/>
      <c r="AM762" s="40"/>
      <c r="AN762" s="40"/>
    </row>
    <row r="763" spans="1:40" x14ac:dyDescent="0.3">
      <c r="A763" s="70"/>
      <c r="B763" s="70"/>
      <c r="E763" s="40"/>
      <c r="G763" s="40"/>
      <c r="H763" s="40"/>
      <c r="I763" s="36"/>
      <c r="J763" s="36"/>
      <c r="K763" s="36"/>
      <c r="L763" s="36"/>
      <c r="M763" s="36"/>
      <c r="N763" s="36"/>
      <c r="P763" s="59"/>
      <c r="Q763" s="36"/>
      <c r="S763" s="36"/>
      <c r="T763" s="36"/>
      <c r="U763" s="36"/>
      <c r="AD763" s="36"/>
      <c r="AF763" s="36"/>
      <c r="AH763" s="36"/>
      <c r="AM763" s="40"/>
      <c r="AN763" s="40"/>
    </row>
    <row r="764" spans="1:40" x14ac:dyDescent="0.3">
      <c r="A764" s="70"/>
      <c r="B764" s="70"/>
      <c r="E764" s="40"/>
      <c r="G764" s="40"/>
      <c r="H764" s="40"/>
      <c r="I764" s="36"/>
      <c r="J764" s="36"/>
      <c r="K764" s="36"/>
      <c r="L764" s="36"/>
      <c r="M764" s="36"/>
      <c r="N764" s="36"/>
      <c r="P764" s="59"/>
      <c r="Q764" s="36"/>
      <c r="S764" s="36"/>
      <c r="T764" s="36"/>
      <c r="U764" s="36"/>
      <c r="AD764" s="36"/>
      <c r="AF764" s="36"/>
      <c r="AH764" s="36"/>
      <c r="AM764" s="40"/>
      <c r="AN764" s="40"/>
    </row>
    <row r="765" spans="1:40" x14ac:dyDescent="0.3">
      <c r="A765" s="70"/>
      <c r="B765" s="70"/>
      <c r="E765" s="40"/>
      <c r="G765" s="40"/>
      <c r="H765" s="40"/>
      <c r="I765" s="36"/>
      <c r="J765" s="36"/>
      <c r="K765" s="36"/>
      <c r="L765" s="36"/>
      <c r="M765" s="36"/>
      <c r="N765" s="36"/>
      <c r="P765" s="59"/>
      <c r="Q765" s="36"/>
      <c r="S765" s="36"/>
      <c r="T765" s="36"/>
      <c r="U765" s="36"/>
      <c r="AD765" s="36"/>
      <c r="AF765" s="36"/>
      <c r="AH765" s="36"/>
      <c r="AM765" s="40"/>
      <c r="AN765" s="40"/>
    </row>
    <row r="766" spans="1:40" x14ac:dyDescent="0.3">
      <c r="A766" s="70"/>
      <c r="B766" s="70"/>
      <c r="E766" s="40"/>
      <c r="G766" s="40"/>
      <c r="H766" s="40"/>
      <c r="I766" s="36"/>
      <c r="J766" s="36"/>
      <c r="K766" s="36"/>
      <c r="L766" s="36"/>
      <c r="M766" s="36"/>
      <c r="N766" s="36"/>
      <c r="P766" s="59"/>
      <c r="Q766" s="36"/>
      <c r="S766" s="36"/>
      <c r="T766" s="36"/>
      <c r="U766" s="36"/>
      <c r="AD766" s="36"/>
      <c r="AF766" s="36"/>
      <c r="AH766" s="36"/>
      <c r="AM766" s="40"/>
      <c r="AN766" s="40"/>
    </row>
    <row r="767" spans="1:40" x14ac:dyDescent="0.3">
      <c r="A767" s="70"/>
      <c r="B767" s="70"/>
      <c r="E767" s="40"/>
      <c r="G767" s="40"/>
      <c r="H767" s="40"/>
      <c r="I767" s="36"/>
      <c r="J767" s="36"/>
      <c r="K767" s="36"/>
      <c r="L767" s="36"/>
      <c r="M767" s="36"/>
      <c r="N767" s="36"/>
      <c r="P767" s="59"/>
      <c r="Q767" s="36"/>
      <c r="S767" s="36"/>
      <c r="T767" s="36"/>
      <c r="U767" s="36"/>
      <c r="AD767" s="36"/>
      <c r="AF767" s="36"/>
      <c r="AH767" s="36"/>
      <c r="AM767" s="40"/>
      <c r="AN767" s="40"/>
    </row>
    <row r="768" spans="1:40" x14ac:dyDescent="0.3">
      <c r="A768" s="70"/>
      <c r="B768" s="70"/>
      <c r="E768" s="40"/>
      <c r="G768" s="40"/>
      <c r="H768" s="40"/>
      <c r="I768" s="36"/>
      <c r="J768" s="36"/>
      <c r="K768" s="36"/>
      <c r="L768" s="36"/>
      <c r="M768" s="36"/>
      <c r="N768" s="36"/>
      <c r="P768" s="59"/>
      <c r="Q768" s="36"/>
      <c r="S768" s="36"/>
      <c r="T768" s="36"/>
      <c r="U768" s="36"/>
      <c r="AD768" s="36"/>
      <c r="AF768" s="36"/>
      <c r="AH768" s="36"/>
      <c r="AM768" s="40"/>
      <c r="AN768" s="40"/>
    </row>
    <row r="769" spans="1:40" x14ac:dyDescent="0.3">
      <c r="A769" s="70"/>
      <c r="B769" s="70"/>
      <c r="E769" s="40"/>
      <c r="G769" s="40"/>
      <c r="H769" s="40"/>
      <c r="I769" s="36"/>
      <c r="J769" s="36"/>
      <c r="K769" s="36"/>
      <c r="L769" s="36"/>
      <c r="M769" s="36"/>
      <c r="N769" s="36"/>
      <c r="P769" s="59"/>
      <c r="Q769" s="36"/>
      <c r="S769" s="36"/>
      <c r="T769" s="36"/>
      <c r="U769" s="36"/>
      <c r="AD769" s="36"/>
      <c r="AF769" s="36"/>
      <c r="AH769" s="36"/>
      <c r="AM769" s="40"/>
      <c r="AN769" s="40"/>
    </row>
    <row r="770" spans="1:40" x14ac:dyDescent="0.3">
      <c r="A770" s="70"/>
      <c r="B770" s="70"/>
      <c r="E770" s="40"/>
      <c r="G770" s="40"/>
      <c r="H770" s="40"/>
      <c r="I770" s="36"/>
      <c r="J770" s="36"/>
      <c r="K770" s="36"/>
      <c r="L770" s="36"/>
      <c r="M770" s="36"/>
      <c r="N770" s="36"/>
      <c r="P770" s="59"/>
      <c r="Q770" s="36"/>
      <c r="S770" s="36"/>
      <c r="T770" s="36"/>
      <c r="U770" s="36"/>
      <c r="AD770" s="36"/>
      <c r="AF770" s="36"/>
      <c r="AH770" s="36"/>
      <c r="AM770" s="40"/>
      <c r="AN770" s="40"/>
    </row>
    <row r="771" spans="1:40" x14ac:dyDescent="0.3">
      <c r="A771" s="70"/>
      <c r="B771" s="70"/>
      <c r="E771" s="40"/>
      <c r="G771" s="40"/>
      <c r="H771" s="40"/>
      <c r="I771" s="36"/>
      <c r="J771" s="36"/>
      <c r="K771" s="36"/>
      <c r="L771" s="36"/>
      <c r="M771" s="36"/>
      <c r="N771" s="36"/>
      <c r="P771" s="59"/>
      <c r="Q771" s="36"/>
      <c r="S771" s="36"/>
      <c r="T771" s="36"/>
      <c r="U771" s="36"/>
      <c r="AD771" s="36"/>
      <c r="AF771" s="36"/>
      <c r="AH771" s="36"/>
      <c r="AM771" s="40"/>
      <c r="AN771" s="40"/>
    </row>
    <row r="772" spans="1:40" x14ac:dyDescent="0.3">
      <c r="A772" s="70"/>
      <c r="B772" s="70"/>
      <c r="E772" s="40"/>
      <c r="G772" s="40"/>
      <c r="H772" s="40"/>
      <c r="I772" s="36"/>
      <c r="J772" s="36"/>
      <c r="K772" s="36"/>
      <c r="L772" s="36"/>
      <c r="M772" s="36"/>
      <c r="N772" s="36"/>
      <c r="P772" s="59"/>
      <c r="Q772" s="36"/>
      <c r="S772" s="36"/>
      <c r="T772" s="36"/>
      <c r="U772" s="36"/>
      <c r="AD772" s="36"/>
      <c r="AF772" s="36"/>
      <c r="AH772" s="36"/>
      <c r="AM772" s="40"/>
      <c r="AN772" s="40"/>
    </row>
    <row r="773" spans="1:40" x14ac:dyDescent="0.3">
      <c r="A773" s="70"/>
      <c r="B773" s="70"/>
      <c r="E773" s="40"/>
      <c r="G773" s="40"/>
      <c r="H773" s="40"/>
      <c r="I773" s="36"/>
      <c r="J773" s="36"/>
      <c r="K773" s="36"/>
      <c r="L773" s="36"/>
      <c r="M773" s="36"/>
      <c r="N773" s="36"/>
      <c r="P773" s="59"/>
      <c r="Q773" s="36"/>
      <c r="S773" s="36"/>
      <c r="T773" s="36"/>
      <c r="U773" s="36"/>
      <c r="AD773" s="36"/>
      <c r="AF773" s="36"/>
      <c r="AH773" s="36"/>
      <c r="AM773" s="40"/>
      <c r="AN773" s="40"/>
    </row>
    <row r="774" spans="1:40" x14ac:dyDescent="0.3">
      <c r="A774" s="70"/>
      <c r="B774" s="70"/>
      <c r="E774" s="40"/>
      <c r="G774" s="40"/>
      <c r="H774" s="40"/>
      <c r="I774" s="36"/>
      <c r="J774" s="36"/>
      <c r="K774" s="36"/>
      <c r="L774" s="36"/>
      <c r="M774" s="36"/>
      <c r="N774" s="36"/>
      <c r="P774" s="59"/>
      <c r="Q774" s="36"/>
      <c r="S774" s="36"/>
      <c r="T774" s="36"/>
      <c r="U774" s="36"/>
      <c r="AD774" s="36"/>
      <c r="AF774" s="36"/>
      <c r="AH774" s="36"/>
      <c r="AM774" s="40"/>
      <c r="AN774" s="40"/>
    </row>
    <row r="775" spans="1:40" x14ac:dyDescent="0.3">
      <c r="A775" s="70"/>
      <c r="B775" s="70"/>
      <c r="E775" s="40"/>
      <c r="G775" s="40"/>
      <c r="H775" s="40"/>
      <c r="I775" s="36"/>
      <c r="J775" s="36"/>
      <c r="K775" s="36"/>
      <c r="L775" s="36"/>
      <c r="M775" s="36"/>
      <c r="N775" s="36"/>
      <c r="P775" s="59"/>
      <c r="Q775" s="36"/>
      <c r="S775" s="36"/>
      <c r="T775" s="36"/>
      <c r="U775" s="36"/>
      <c r="AD775" s="36"/>
      <c r="AF775" s="36"/>
      <c r="AH775" s="36"/>
      <c r="AM775" s="40"/>
      <c r="AN775" s="40"/>
    </row>
    <row r="776" spans="1:40" x14ac:dyDescent="0.3">
      <c r="A776" s="70"/>
      <c r="B776" s="70"/>
      <c r="E776" s="40"/>
      <c r="G776" s="40"/>
      <c r="H776" s="40"/>
      <c r="I776" s="36"/>
      <c r="J776" s="36"/>
      <c r="K776" s="36"/>
      <c r="L776" s="36"/>
      <c r="M776" s="36"/>
      <c r="N776" s="36"/>
      <c r="P776" s="59"/>
      <c r="Q776" s="36"/>
      <c r="S776" s="36"/>
      <c r="T776" s="36"/>
      <c r="U776" s="36"/>
      <c r="AD776" s="36"/>
      <c r="AF776" s="36"/>
      <c r="AH776" s="36"/>
      <c r="AM776" s="40"/>
      <c r="AN776" s="40"/>
    </row>
    <row r="777" spans="1:40" x14ac:dyDescent="0.3">
      <c r="A777" s="70"/>
      <c r="B777" s="70"/>
      <c r="E777" s="40"/>
      <c r="G777" s="40"/>
      <c r="H777" s="40"/>
      <c r="I777" s="36"/>
      <c r="J777" s="36"/>
      <c r="K777" s="36"/>
      <c r="L777" s="36"/>
      <c r="M777" s="36"/>
      <c r="N777" s="36"/>
      <c r="P777" s="59"/>
      <c r="Q777" s="36"/>
      <c r="S777" s="36"/>
      <c r="T777" s="36"/>
      <c r="U777" s="36"/>
      <c r="AD777" s="36"/>
      <c r="AF777" s="36"/>
      <c r="AH777" s="36"/>
      <c r="AM777" s="40"/>
      <c r="AN777" s="40"/>
    </row>
    <row r="778" spans="1:40" x14ac:dyDescent="0.3">
      <c r="A778" s="70"/>
      <c r="B778" s="70"/>
      <c r="E778" s="40"/>
      <c r="G778" s="40"/>
      <c r="H778" s="40"/>
      <c r="I778" s="36"/>
      <c r="J778" s="36"/>
      <c r="K778" s="36"/>
      <c r="L778" s="36"/>
      <c r="M778" s="36"/>
      <c r="N778" s="36"/>
      <c r="P778" s="59"/>
      <c r="Q778" s="36"/>
      <c r="S778" s="36"/>
      <c r="T778" s="36"/>
      <c r="U778" s="36"/>
      <c r="AD778" s="36"/>
      <c r="AF778" s="36"/>
      <c r="AH778" s="36"/>
      <c r="AM778" s="40"/>
      <c r="AN778" s="40"/>
    </row>
    <row r="779" spans="1:40" x14ac:dyDescent="0.3">
      <c r="A779" s="70"/>
      <c r="B779" s="70"/>
      <c r="E779" s="40"/>
      <c r="H779" s="40"/>
      <c r="I779" s="36"/>
      <c r="J779" s="36"/>
      <c r="K779" s="36"/>
      <c r="L779" s="36"/>
      <c r="M779" s="36"/>
      <c r="N779" s="36"/>
      <c r="P779" s="59"/>
      <c r="Q779" s="36"/>
      <c r="S779" s="36"/>
      <c r="T779" s="36"/>
      <c r="U779" s="36"/>
      <c r="AD779" s="36"/>
      <c r="AF779" s="36"/>
      <c r="AH779" s="36"/>
      <c r="AM779" s="40"/>
      <c r="AN779" s="40"/>
    </row>
    <row r="780" spans="1:40" x14ac:dyDescent="0.3">
      <c r="A780" s="70"/>
      <c r="B780" s="70"/>
      <c r="H780" s="40"/>
      <c r="I780" s="36"/>
      <c r="J780" s="36"/>
      <c r="K780" s="36"/>
      <c r="L780" s="36"/>
      <c r="M780" s="36"/>
      <c r="N780" s="36"/>
      <c r="P780" s="59"/>
      <c r="Q780" s="36"/>
      <c r="S780" s="36"/>
      <c r="T780" s="36"/>
      <c r="U780" s="36"/>
      <c r="AD780" s="36"/>
      <c r="AF780" s="36"/>
      <c r="AH780" s="36"/>
      <c r="AM780" s="40"/>
      <c r="AN780" s="40"/>
    </row>
    <row r="781" spans="1:40" x14ac:dyDescent="0.3">
      <c r="A781" s="70"/>
      <c r="B781" s="70"/>
      <c r="H781" s="40"/>
      <c r="I781" s="36"/>
      <c r="J781" s="36"/>
      <c r="K781" s="36"/>
      <c r="L781" s="36"/>
      <c r="M781" s="36"/>
      <c r="N781" s="36"/>
      <c r="P781" s="59"/>
      <c r="Q781" s="36"/>
      <c r="S781" s="36"/>
      <c r="T781" s="36"/>
      <c r="U781" s="36"/>
      <c r="AD781" s="36"/>
      <c r="AF781" s="36"/>
      <c r="AH781" s="36"/>
      <c r="AM781" s="40"/>
      <c r="AN781" s="40"/>
    </row>
    <row r="782" spans="1:40" x14ac:dyDescent="0.3">
      <c r="A782" s="70"/>
      <c r="B782" s="70"/>
      <c r="H782" s="40"/>
      <c r="I782" s="36"/>
      <c r="J782" s="36"/>
      <c r="K782" s="36"/>
      <c r="L782" s="36"/>
      <c r="M782" s="36"/>
      <c r="N782" s="36"/>
      <c r="P782" s="59"/>
      <c r="Q782" s="36"/>
      <c r="S782" s="36"/>
      <c r="T782" s="36"/>
      <c r="U782" s="36"/>
      <c r="AD782" s="36"/>
      <c r="AF782" s="36"/>
      <c r="AH782" s="36"/>
      <c r="AM782" s="40"/>
      <c r="AN782" s="40"/>
    </row>
    <row r="783" spans="1:40" x14ac:dyDescent="0.3">
      <c r="A783" s="70"/>
      <c r="B783" s="70"/>
      <c r="H783" s="40"/>
      <c r="I783" s="36"/>
      <c r="J783" s="36"/>
      <c r="K783" s="36"/>
      <c r="L783" s="36"/>
      <c r="M783" s="36"/>
      <c r="N783" s="36"/>
      <c r="P783" s="59"/>
      <c r="Q783" s="36"/>
      <c r="S783" s="36"/>
      <c r="T783" s="36"/>
      <c r="U783" s="36"/>
      <c r="AD783" s="36"/>
      <c r="AF783" s="36"/>
      <c r="AH783" s="36"/>
      <c r="AM783" s="40"/>
      <c r="AN783" s="40"/>
    </row>
    <row r="784" spans="1:40" x14ac:dyDescent="0.3">
      <c r="A784" s="70"/>
      <c r="B784" s="70"/>
      <c r="H784" s="40"/>
      <c r="I784" s="36"/>
      <c r="J784" s="36"/>
      <c r="K784" s="36"/>
      <c r="L784" s="36"/>
      <c r="M784" s="36"/>
      <c r="N784" s="36"/>
      <c r="P784" s="59"/>
      <c r="Q784" s="36"/>
      <c r="S784" s="36"/>
      <c r="T784" s="36"/>
      <c r="U784" s="36"/>
      <c r="AD784" s="36"/>
      <c r="AF784" s="36"/>
      <c r="AH784" s="36"/>
      <c r="AM784" s="40"/>
      <c r="AN784" s="40"/>
    </row>
    <row r="785" spans="1:40" x14ac:dyDescent="0.3">
      <c r="A785" s="70"/>
      <c r="B785" s="70"/>
      <c r="H785" s="40"/>
      <c r="I785" s="36"/>
      <c r="J785" s="36"/>
      <c r="K785" s="36"/>
      <c r="L785" s="36"/>
      <c r="M785" s="36"/>
      <c r="N785" s="36"/>
      <c r="P785" s="59"/>
      <c r="Q785" s="36"/>
      <c r="S785" s="36"/>
      <c r="T785" s="36"/>
      <c r="U785" s="36"/>
      <c r="AD785" s="36"/>
      <c r="AF785" s="36"/>
      <c r="AH785" s="36"/>
      <c r="AM785" s="40"/>
      <c r="AN785" s="40"/>
    </row>
    <row r="786" spans="1:40" x14ac:dyDescent="0.3">
      <c r="A786" s="70"/>
      <c r="B786" s="70"/>
      <c r="H786" s="40"/>
      <c r="I786" s="36"/>
      <c r="J786" s="36"/>
      <c r="K786" s="36"/>
      <c r="L786" s="36"/>
      <c r="M786" s="36"/>
      <c r="N786" s="36"/>
      <c r="P786" s="59"/>
      <c r="Q786" s="36"/>
      <c r="S786" s="36"/>
      <c r="T786" s="36"/>
      <c r="U786" s="36"/>
      <c r="AD786" s="36"/>
      <c r="AF786" s="36"/>
      <c r="AH786" s="36"/>
      <c r="AM786" s="40"/>
      <c r="AN786" s="40"/>
    </row>
    <row r="787" spans="1:40" x14ac:dyDescent="0.3">
      <c r="A787" s="70"/>
      <c r="B787" s="70"/>
      <c r="H787" s="40"/>
      <c r="I787" s="36"/>
      <c r="J787" s="36"/>
      <c r="K787" s="36"/>
      <c r="L787" s="36"/>
      <c r="M787" s="36"/>
      <c r="N787" s="36"/>
      <c r="P787" s="59"/>
      <c r="Q787" s="36"/>
      <c r="S787" s="36"/>
      <c r="T787" s="36"/>
      <c r="U787" s="36"/>
      <c r="AD787" s="36"/>
      <c r="AF787" s="36"/>
      <c r="AH787" s="36"/>
      <c r="AM787" s="40"/>
      <c r="AN787" s="40"/>
    </row>
    <row r="788" spans="1:40" x14ac:dyDescent="0.3">
      <c r="A788" s="70"/>
      <c r="B788" s="70"/>
      <c r="H788" s="40"/>
      <c r="I788" s="36"/>
      <c r="J788" s="36"/>
      <c r="K788" s="36"/>
      <c r="L788" s="36"/>
      <c r="M788" s="36"/>
      <c r="N788" s="36"/>
      <c r="P788" s="59"/>
      <c r="Q788" s="36"/>
      <c r="S788" s="36"/>
      <c r="T788" s="36"/>
      <c r="U788" s="36"/>
      <c r="AD788" s="36"/>
      <c r="AF788" s="36"/>
      <c r="AH788" s="36"/>
      <c r="AM788" s="40"/>
      <c r="AN788" s="40"/>
    </row>
    <row r="789" spans="1:40" x14ac:dyDescent="0.3">
      <c r="A789" s="70"/>
      <c r="B789" s="70"/>
      <c r="H789" s="40"/>
      <c r="I789" s="36"/>
      <c r="J789" s="36"/>
      <c r="K789" s="36"/>
      <c r="L789" s="36"/>
      <c r="M789" s="36"/>
      <c r="N789" s="36"/>
      <c r="P789" s="59"/>
      <c r="Q789" s="36"/>
      <c r="S789" s="36"/>
      <c r="T789" s="36"/>
      <c r="U789" s="36"/>
      <c r="AD789" s="36"/>
      <c r="AF789" s="36"/>
      <c r="AH789" s="36"/>
      <c r="AM789" s="40"/>
      <c r="AN789" s="40"/>
    </row>
    <row r="790" spans="1:40" x14ac:dyDescent="0.3">
      <c r="A790" s="70"/>
      <c r="B790" s="70"/>
      <c r="H790" s="40"/>
      <c r="I790" s="36"/>
      <c r="J790" s="36"/>
      <c r="K790" s="36"/>
      <c r="L790" s="36"/>
      <c r="M790" s="36"/>
      <c r="N790" s="36"/>
      <c r="P790" s="59"/>
      <c r="Q790" s="36"/>
      <c r="S790" s="36"/>
      <c r="T790" s="36"/>
      <c r="U790" s="36"/>
      <c r="AD790" s="36"/>
      <c r="AF790" s="36"/>
      <c r="AH790" s="36"/>
      <c r="AM790" s="40"/>
      <c r="AN790" s="40"/>
    </row>
    <row r="791" spans="1:40" x14ac:dyDescent="0.3">
      <c r="A791" s="70"/>
      <c r="B791" s="70"/>
      <c r="H791" s="40"/>
      <c r="I791" s="36"/>
      <c r="J791" s="36"/>
      <c r="K791" s="36"/>
      <c r="L791" s="36"/>
      <c r="M791" s="36"/>
      <c r="N791" s="36"/>
      <c r="P791" s="59"/>
      <c r="Q791" s="36"/>
      <c r="S791" s="36"/>
      <c r="T791" s="36"/>
      <c r="U791" s="36"/>
      <c r="AD791" s="36"/>
      <c r="AF791" s="36"/>
      <c r="AH791" s="36"/>
      <c r="AM791" s="40"/>
      <c r="AN791" s="40"/>
    </row>
    <row r="792" spans="1:40" x14ac:dyDescent="0.3">
      <c r="A792" s="70"/>
      <c r="B792" s="70"/>
      <c r="H792" s="40"/>
      <c r="I792" s="36"/>
      <c r="J792" s="36"/>
      <c r="K792" s="36"/>
      <c r="L792" s="36"/>
      <c r="M792" s="36"/>
      <c r="N792" s="36"/>
      <c r="P792" s="59"/>
      <c r="Q792" s="36"/>
      <c r="S792" s="36"/>
      <c r="T792" s="36"/>
      <c r="U792" s="36"/>
      <c r="AD792" s="36"/>
      <c r="AF792" s="36"/>
      <c r="AH792" s="36"/>
      <c r="AM792" s="40"/>
      <c r="AN792" s="40"/>
    </row>
    <row r="793" spans="1:40" x14ac:dyDescent="0.3">
      <c r="A793" s="70"/>
      <c r="B793" s="70"/>
      <c r="H793" s="40"/>
      <c r="I793" s="36"/>
      <c r="J793" s="36"/>
      <c r="K793" s="36"/>
      <c r="L793" s="36"/>
      <c r="M793" s="36"/>
      <c r="N793" s="36"/>
      <c r="P793" s="59"/>
      <c r="Q793" s="36"/>
      <c r="S793" s="36"/>
      <c r="T793" s="36"/>
      <c r="U793" s="36"/>
      <c r="AD793" s="36"/>
      <c r="AF793" s="36"/>
      <c r="AH793" s="36"/>
      <c r="AM793" s="40"/>
      <c r="AN793" s="40"/>
    </row>
    <row r="794" spans="1:40" x14ac:dyDescent="0.3">
      <c r="A794" s="70"/>
      <c r="B794" s="70"/>
      <c r="H794" s="40"/>
      <c r="I794" s="36"/>
      <c r="J794" s="36"/>
      <c r="K794" s="36"/>
      <c r="L794" s="36"/>
      <c r="M794" s="36"/>
      <c r="N794" s="36"/>
      <c r="P794" s="59"/>
      <c r="Q794" s="36"/>
      <c r="S794" s="36"/>
      <c r="T794" s="36"/>
      <c r="U794" s="36"/>
      <c r="AD794" s="36"/>
      <c r="AF794" s="36"/>
      <c r="AH794" s="36"/>
      <c r="AM794" s="40"/>
      <c r="AN794" s="40"/>
    </row>
    <row r="795" spans="1:40" x14ac:dyDescent="0.3">
      <c r="A795" s="70"/>
      <c r="B795" s="70"/>
      <c r="H795" s="40"/>
      <c r="I795" s="36"/>
      <c r="J795" s="36"/>
      <c r="K795" s="36"/>
      <c r="L795" s="36"/>
      <c r="M795" s="36"/>
      <c r="N795" s="36"/>
      <c r="P795" s="59"/>
      <c r="Q795" s="36"/>
      <c r="S795" s="36"/>
      <c r="T795" s="36"/>
      <c r="U795" s="36"/>
      <c r="AD795" s="36"/>
      <c r="AF795" s="36"/>
      <c r="AH795" s="36"/>
      <c r="AM795" s="40"/>
      <c r="AN795" s="40"/>
    </row>
    <row r="796" spans="1:40" x14ac:dyDescent="0.3">
      <c r="A796" s="70"/>
      <c r="B796" s="70"/>
      <c r="H796" s="40"/>
      <c r="I796" s="36"/>
      <c r="J796" s="36"/>
      <c r="K796" s="36"/>
      <c r="L796" s="36"/>
      <c r="M796" s="36"/>
      <c r="N796" s="36"/>
      <c r="P796" s="59"/>
      <c r="Q796" s="36"/>
      <c r="S796" s="36"/>
      <c r="T796" s="36"/>
      <c r="U796" s="36"/>
      <c r="AD796" s="36"/>
      <c r="AF796" s="36"/>
      <c r="AH796" s="36"/>
      <c r="AM796" s="40"/>
      <c r="AN796" s="40"/>
    </row>
    <row r="797" spans="1:40" x14ac:dyDescent="0.3">
      <c r="A797" s="70"/>
      <c r="B797" s="70"/>
      <c r="H797" s="40"/>
      <c r="I797" s="36"/>
      <c r="J797" s="36"/>
      <c r="K797" s="36"/>
      <c r="L797" s="36"/>
      <c r="M797" s="36"/>
      <c r="N797" s="36"/>
      <c r="P797" s="59"/>
      <c r="Q797" s="36"/>
      <c r="S797" s="36"/>
      <c r="T797" s="36"/>
      <c r="U797" s="36"/>
      <c r="AD797" s="36"/>
      <c r="AF797" s="36"/>
      <c r="AH797" s="36"/>
      <c r="AM797" s="40"/>
      <c r="AN797" s="40"/>
    </row>
    <row r="798" spans="1:40" x14ac:dyDescent="0.3">
      <c r="A798" s="70"/>
      <c r="B798" s="70"/>
      <c r="H798" s="40"/>
      <c r="I798" s="36"/>
      <c r="J798" s="36"/>
      <c r="K798" s="36"/>
      <c r="L798" s="36"/>
      <c r="M798" s="36"/>
      <c r="N798" s="36"/>
      <c r="P798" s="59"/>
      <c r="Q798" s="36"/>
      <c r="S798" s="36"/>
      <c r="T798" s="36"/>
      <c r="U798" s="36"/>
      <c r="AD798" s="36"/>
      <c r="AF798" s="36"/>
      <c r="AH798" s="36"/>
      <c r="AM798" s="40"/>
      <c r="AN798" s="40"/>
    </row>
    <row r="799" spans="1:40" x14ac:dyDescent="0.3">
      <c r="A799" s="70"/>
      <c r="B799" s="70"/>
      <c r="H799" s="40"/>
      <c r="I799" s="36"/>
      <c r="J799" s="36"/>
      <c r="K799" s="36"/>
      <c r="L799" s="36"/>
      <c r="M799" s="36"/>
      <c r="N799" s="36"/>
      <c r="P799" s="59"/>
      <c r="Q799" s="36"/>
      <c r="S799" s="36"/>
      <c r="T799" s="36"/>
      <c r="U799" s="36"/>
      <c r="AD799" s="36"/>
      <c r="AF799" s="36"/>
      <c r="AH799" s="36"/>
      <c r="AM799" s="40"/>
      <c r="AN799" s="40"/>
    </row>
    <row r="800" spans="1:40" x14ac:dyDescent="0.3">
      <c r="A800" s="70"/>
      <c r="B800" s="70"/>
      <c r="H800" s="40"/>
      <c r="I800" s="36"/>
      <c r="J800" s="36"/>
      <c r="K800" s="36"/>
      <c r="L800" s="36"/>
      <c r="M800" s="36"/>
      <c r="N800" s="36"/>
      <c r="P800" s="59"/>
      <c r="Q800" s="36"/>
      <c r="S800" s="36"/>
      <c r="T800" s="36"/>
      <c r="U800" s="36"/>
      <c r="AD800" s="36"/>
      <c r="AF800" s="36"/>
      <c r="AH800" s="36"/>
      <c r="AM800" s="40"/>
      <c r="AN800" s="40"/>
    </row>
    <row r="801" spans="1:40" x14ac:dyDescent="0.3">
      <c r="A801" s="70"/>
      <c r="B801" s="70"/>
      <c r="H801" s="40"/>
      <c r="I801" s="36"/>
      <c r="J801" s="36"/>
      <c r="K801" s="36"/>
      <c r="L801" s="36"/>
      <c r="M801" s="36"/>
      <c r="N801" s="36"/>
      <c r="P801" s="59"/>
      <c r="Q801" s="36"/>
      <c r="S801" s="36"/>
      <c r="T801" s="36"/>
      <c r="U801" s="36"/>
      <c r="AD801" s="36"/>
      <c r="AF801" s="36"/>
      <c r="AH801" s="36"/>
      <c r="AM801" s="40"/>
      <c r="AN801" s="40"/>
    </row>
    <row r="802" spans="1:40" x14ac:dyDescent="0.3">
      <c r="A802" s="70"/>
      <c r="B802" s="70"/>
      <c r="H802" s="40"/>
      <c r="I802" s="36"/>
      <c r="J802" s="36"/>
      <c r="K802" s="36"/>
      <c r="L802" s="36"/>
      <c r="M802" s="36"/>
      <c r="N802" s="36"/>
      <c r="P802" s="59"/>
      <c r="Q802" s="36"/>
      <c r="S802" s="36"/>
      <c r="T802" s="36"/>
      <c r="U802" s="36"/>
      <c r="AD802" s="36"/>
      <c r="AF802" s="36"/>
      <c r="AH802" s="36"/>
      <c r="AM802" s="40"/>
      <c r="AN802" s="40"/>
    </row>
    <row r="803" spans="1:40" x14ac:dyDescent="0.3">
      <c r="A803" s="70"/>
      <c r="B803" s="70"/>
      <c r="H803" s="40"/>
      <c r="I803" s="36"/>
      <c r="J803" s="36"/>
      <c r="K803" s="36"/>
      <c r="L803" s="36"/>
      <c r="M803" s="36"/>
      <c r="N803" s="36"/>
      <c r="P803" s="59"/>
      <c r="Q803" s="36"/>
      <c r="S803" s="36"/>
      <c r="T803" s="36"/>
      <c r="U803" s="36"/>
      <c r="AD803" s="36"/>
      <c r="AF803" s="36"/>
      <c r="AH803" s="36"/>
      <c r="AM803" s="40"/>
      <c r="AN803" s="40"/>
    </row>
    <row r="804" spans="1:40" x14ac:dyDescent="0.3">
      <c r="A804" s="70"/>
      <c r="B804" s="70"/>
      <c r="H804" s="40"/>
      <c r="I804" s="36"/>
      <c r="J804" s="36"/>
      <c r="K804" s="36"/>
      <c r="L804" s="36"/>
      <c r="M804" s="36"/>
      <c r="N804" s="36"/>
      <c r="P804" s="59"/>
      <c r="Q804" s="36"/>
      <c r="S804" s="36"/>
      <c r="T804" s="36"/>
      <c r="U804" s="36"/>
      <c r="AD804" s="36"/>
      <c r="AF804" s="36"/>
      <c r="AH804" s="36"/>
      <c r="AM804" s="40"/>
      <c r="AN804" s="40"/>
    </row>
    <row r="805" spans="1:40" x14ac:dyDescent="0.3">
      <c r="A805" s="70"/>
      <c r="B805" s="70"/>
      <c r="H805" s="40"/>
      <c r="I805" s="36"/>
      <c r="J805" s="36"/>
      <c r="K805" s="36"/>
      <c r="L805" s="36"/>
      <c r="M805" s="36"/>
      <c r="N805" s="36"/>
      <c r="P805" s="59"/>
      <c r="Q805" s="36"/>
      <c r="S805" s="36"/>
      <c r="T805" s="36"/>
      <c r="U805" s="36"/>
      <c r="AD805" s="36"/>
      <c r="AF805" s="36"/>
      <c r="AH805" s="36"/>
      <c r="AM805" s="40"/>
      <c r="AN805" s="40"/>
    </row>
    <row r="806" spans="1:40" x14ac:dyDescent="0.3">
      <c r="A806" s="70"/>
      <c r="B806" s="70"/>
      <c r="H806" s="40"/>
      <c r="I806" s="36"/>
      <c r="J806" s="36"/>
      <c r="K806" s="36"/>
      <c r="L806" s="36"/>
      <c r="M806" s="36"/>
      <c r="N806" s="36"/>
      <c r="P806" s="59"/>
      <c r="Q806" s="36"/>
      <c r="S806" s="36"/>
      <c r="T806" s="36"/>
      <c r="U806" s="36"/>
      <c r="AD806" s="36"/>
      <c r="AF806" s="36"/>
      <c r="AH806" s="36"/>
      <c r="AM806" s="40"/>
      <c r="AN806" s="40"/>
    </row>
    <row r="807" spans="1:40" x14ac:dyDescent="0.3">
      <c r="A807" s="70"/>
      <c r="B807" s="70"/>
      <c r="H807" s="40"/>
      <c r="I807" s="36"/>
      <c r="J807" s="36"/>
      <c r="K807" s="36"/>
      <c r="L807" s="36"/>
      <c r="M807" s="36"/>
      <c r="N807" s="36"/>
      <c r="P807" s="59"/>
      <c r="Q807" s="36"/>
      <c r="S807" s="36"/>
      <c r="T807" s="36"/>
      <c r="U807" s="36"/>
      <c r="AD807" s="36"/>
      <c r="AF807" s="36"/>
      <c r="AH807" s="36"/>
      <c r="AM807" s="40"/>
      <c r="AN807" s="40"/>
    </row>
    <row r="808" spans="1:40" x14ac:dyDescent="0.3">
      <c r="A808" s="70"/>
      <c r="B808" s="70"/>
      <c r="H808" s="40"/>
      <c r="I808" s="36"/>
      <c r="J808" s="36"/>
      <c r="K808" s="36"/>
      <c r="L808" s="36"/>
      <c r="M808" s="36"/>
      <c r="N808" s="36"/>
      <c r="P808" s="59"/>
      <c r="Q808" s="36"/>
      <c r="S808" s="36"/>
      <c r="T808" s="36"/>
      <c r="U808" s="36"/>
      <c r="AD808" s="36"/>
      <c r="AF808" s="36"/>
      <c r="AH808" s="36"/>
      <c r="AM808" s="40"/>
      <c r="AN808" s="40"/>
    </row>
    <row r="809" spans="1:40" x14ac:dyDescent="0.3">
      <c r="A809" s="70"/>
      <c r="B809" s="70"/>
      <c r="H809" s="40"/>
      <c r="I809" s="36"/>
      <c r="J809" s="36"/>
      <c r="K809" s="36"/>
      <c r="L809" s="36"/>
      <c r="M809" s="36"/>
      <c r="N809" s="36"/>
      <c r="P809" s="59"/>
      <c r="Q809" s="36"/>
      <c r="S809" s="36"/>
      <c r="T809" s="36"/>
      <c r="U809" s="36"/>
      <c r="AD809" s="36"/>
      <c r="AF809" s="36"/>
      <c r="AH809" s="36"/>
      <c r="AM809" s="40"/>
      <c r="AN809" s="40"/>
    </row>
    <row r="810" spans="1:40" x14ac:dyDescent="0.3">
      <c r="A810" s="70"/>
      <c r="B810" s="70"/>
      <c r="H810" s="40"/>
      <c r="I810" s="36"/>
      <c r="J810" s="36"/>
      <c r="K810" s="36"/>
      <c r="L810" s="36"/>
      <c r="M810" s="36"/>
      <c r="N810" s="36"/>
      <c r="P810" s="59"/>
      <c r="Q810" s="36"/>
      <c r="S810" s="36"/>
      <c r="T810" s="36"/>
      <c r="U810" s="36"/>
      <c r="AD810" s="36"/>
      <c r="AF810" s="36"/>
      <c r="AH810" s="36"/>
      <c r="AM810" s="40"/>
      <c r="AN810" s="40"/>
    </row>
    <row r="811" spans="1:40" x14ac:dyDescent="0.3">
      <c r="A811" s="70"/>
      <c r="B811" s="70"/>
      <c r="H811" s="40"/>
      <c r="I811" s="36"/>
      <c r="J811" s="36"/>
      <c r="K811" s="36"/>
      <c r="L811" s="36"/>
      <c r="M811" s="36"/>
      <c r="N811" s="36"/>
      <c r="P811" s="59"/>
      <c r="Q811" s="36"/>
      <c r="S811" s="36"/>
      <c r="T811" s="36"/>
      <c r="U811" s="36"/>
      <c r="AD811" s="36"/>
      <c r="AF811" s="36"/>
      <c r="AH811" s="36"/>
      <c r="AM811" s="40"/>
      <c r="AN811" s="40"/>
    </row>
    <row r="812" spans="1:40" x14ac:dyDescent="0.3">
      <c r="A812" s="70"/>
      <c r="B812" s="70"/>
      <c r="H812" s="40"/>
      <c r="I812" s="36"/>
      <c r="J812" s="36"/>
      <c r="K812" s="36"/>
      <c r="L812" s="36"/>
      <c r="M812" s="36"/>
      <c r="N812" s="36"/>
      <c r="P812" s="59"/>
      <c r="Q812" s="36"/>
      <c r="S812" s="36"/>
      <c r="T812" s="36"/>
      <c r="U812" s="36"/>
      <c r="AD812" s="36"/>
      <c r="AF812" s="36"/>
      <c r="AH812" s="36"/>
      <c r="AM812" s="40"/>
      <c r="AN812" s="40"/>
    </row>
    <row r="813" spans="1:40" x14ac:dyDescent="0.3">
      <c r="A813" s="70"/>
      <c r="B813" s="70"/>
      <c r="H813" s="40"/>
      <c r="I813" s="36"/>
      <c r="J813" s="36"/>
      <c r="K813" s="36"/>
      <c r="L813" s="36"/>
      <c r="M813" s="36"/>
      <c r="N813" s="36"/>
      <c r="P813" s="59"/>
      <c r="Q813" s="36"/>
      <c r="S813" s="36"/>
      <c r="T813" s="36"/>
      <c r="U813" s="36"/>
      <c r="AD813" s="36"/>
      <c r="AF813" s="36"/>
      <c r="AH813" s="36"/>
      <c r="AM813" s="40"/>
      <c r="AN813" s="40"/>
    </row>
    <row r="814" spans="1:40" x14ac:dyDescent="0.3">
      <c r="A814" s="70"/>
      <c r="B814" s="70"/>
      <c r="H814" s="40"/>
      <c r="I814" s="36"/>
      <c r="J814" s="36"/>
      <c r="K814" s="36"/>
      <c r="L814" s="36"/>
      <c r="M814" s="36"/>
      <c r="N814" s="36"/>
      <c r="P814" s="59"/>
      <c r="Q814" s="36"/>
      <c r="S814" s="36"/>
      <c r="T814" s="36"/>
      <c r="U814" s="36"/>
      <c r="AD814" s="36"/>
      <c r="AF814" s="36"/>
      <c r="AH814" s="36"/>
      <c r="AM814" s="40"/>
      <c r="AN814" s="40"/>
    </row>
    <row r="815" spans="1:40" x14ac:dyDescent="0.3">
      <c r="A815" s="70"/>
      <c r="B815" s="70"/>
      <c r="H815" s="40"/>
      <c r="I815" s="36"/>
      <c r="J815" s="36"/>
      <c r="K815" s="36"/>
      <c r="L815" s="36"/>
      <c r="M815" s="36"/>
      <c r="N815" s="36"/>
      <c r="P815" s="59"/>
      <c r="Q815" s="36"/>
      <c r="S815" s="36"/>
      <c r="T815" s="36"/>
      <c r="U815" s="36"/>
      <c r="AD815" s="36"/>
      <c r="AF815" s="36"/>
      <c r="AH815" s="36"/>
      <c r="AM815" s="40"/>
      <c r="AN815" s="40"/>
    </row>
    <row r="816" spans="1:40" x14ac:dyDescent="0.3">
      <c r="A816" s="70"/>
      <c r="B816" s="70"/>
      <c r="H816" s="40"/>
      <c r="I816" s="36"/>
      <c r="J816" s="36"/>
      <c r="K816" s="36"/>
      <c r="L816" s="36"/>
      <c r="M816" s="36"/>
      <c r="N816" s="36"/>
      <c r="P816" s="59"/>
      <c r="Q816" s="36"/>
      <c r="S816" s="36"/>
      <c r="T816" s="36"/>
      <c r="U816" s="36"/>
      <c r="AD816" s="36"/>
      <c r="AF816" s="36"/>
      <c r="AH816" s="36"/>
      <c r="AM816" s="40"/>
      <c r="AN816" s="40"/>
    </row>
    <row r="817" spans="1:40" x14ac:dyDescent="0.3">
      <c r="A817" s="70"/>
      <c r="B817" s="70"/>
      <c r="H817" s="40"/>
      <c r="I817" s="36"/>
      <c r="J817" s="36"/>
      <c r="K817" s="36"/>
      <c r="L817" s="36"/>
      <c r="M817" s="36"/>
      <c r="N817" s="36"/>
      <c r="P817" s="59"/>
      <c r="Q817" s="36"/>
      <c r="S817" s="36"/>
      <c r="T817" s="36"/>
      <c r="U817" s="36"/>
      <c r="AD817" s="36"/>
      <c r="AF817" s="36"/>
      <c r="AH817" s="36"/>
      <c r="AM817" s="40"/>
      <c r="AN817" s="40"/>
    </row>
    <row r="818" spans="1:40" x14ac:dyDescent="0.3">
      <c r="A818" s="70"/>
      <c r="B818" s="70"/>
      <c r="H818" s="40"/>
      <c r="I818" s="36"/>
      <c r="J818" s="36"/>
      <c r="K818" s="36"/>
      <c r="L818" s="36"/>
      <c r="M818" s="36"/>
      <c r="N818" s="36"/>
      <c r="P818" s="59"/>
      <c r="Q818" s="36"/>
      <c r="S818" s="36"/>
      <c r="T818" s="36"/>
      <c r="U818" s="36"/>
      <c r="AD818" s="36"/>
      <c r="AF818" s="36"/>
      <c r="AH818" s="36"/>
      <c r="AM818" s="40"/>
      <c r="AN818" s="40"/>
    </row>
    <row r="819" spans="1:40" x14ac:dyDescent="0.3">
      <c r="A819" s="70"/>
      <c r="B819" s="70"/>
      <c r="H819" s="40"/>
      <c r="I819" s="36"/>
      <c r="J819" s="36"/>
      <c r="K819" s="36"/>
      <c r="L819" s="36"/>
      <c r="M819" s="36"/>
      <c r="N819" s="36"/>
      <c r="P819" s="59"/>
      <c r="Q819" s="36"/>
      <c r="S819" s="36"/>
      <c r="T819" s="36"/>
      <c r="U819" s="36"/>
      <c r="AD819" s="36"/>
      <c r="AF819" s="36"/>
      <c r="AH819" s="36"/>
      <c r="AM819" s="40"/>
      <c r="AN819" s="40"/>
    </row>
    <row r="820" spans="1:40" x14ac:dyDescent="0.3">
      <c r="A820" s="70"/>
      <c r="B820" s="70"/>
      <c r="H820" s="40"/>
      <c r="I820" s="36"/>
      <c r="J820" s="36"/>
      <c r="K820" s="36"/>
      <c r="L820" s="36"/>
      <c r="M820" s="36"/>
      <c r="N820" s="36"/>
      <c r="P820" s="59"/>
      <c r="Q820" s="36"/>
      <c r="S820" s="36"/>
      <c r="T820" s="36"/>
      <c r="U820" s="36"/>
      <c r="AD820" s="36"/>
      <c r="AF820" s="36"/>
      <c r="AH820" s="36"/>
      <c r="AM820" s="40"/>
      <c r="AN820" s="40"/>
    </row>
    <row r="821" spans="1:40" x14ac:dyDescent="0.3">
      <c r="A821" s="70"/>
      <c r="B821" s="70"/>
      <c r="H821" s="40"/>
      <c r="I821" s="36"/>
      <c r="J821" s="36"/>
      <c r="K821" s="36"/>
      <c r="L821" s="36"/>
      <c r="M821" s="36"/>
      <c r="N821" s="36"/>
      <c r="P821" s="59"/>
      <c r="Q821" s="36"/>
      <c r="S821" s="36"/>
      <c r="T821" s="36"/>
      <c r="U821" s="36"/>
      <c r="AD821" s="36"/>
      <c r="AF821" s="36"/>
      <c r="AH821" s="36"/>
      <c r="AM821" s="40"/>
      <c r="AN821" s="40"/>
    </row>
    <row r="822" spans="1:40" x14ac:dyDescent="0.3">
      <c r="A822" s="70"/>
      <c r="B822" s="70"/>
      <c r="H822" s="40"/>
      <c r="I822" s="36"/>
      <c r="J822" s="36"/>
      <c r="K822" s="36"/>
      <c r="L822" s="36"/>
      <c r="M822" s="36"/>
      <c r="N822" s="36"/>
      <c r="P822" s="59"/>
      <c r="Q822" s="36"/>
      <c r="S822" s="36"/>
      <c r="T822" s="36"/>
      <c r="U822" s="36"/>
      <c r="AD822" s="36"/>
      <c r="AF822" s="36"/>
      <c r="AH822" s="36"/>
      <c r="AM822" s="40"/>
      <c r="AN822" s="40"/>
    </row>
    <row r="823" spans="1:40" x14ac:dyDescent="0.3">
      <c r="A823" s="70"/>
      <c r="B823" s="70"/>
      <c r="H823" s="40"/>
      <c r="I823" s="36"/>
      <c r="J823" s="36"/>
      <c r="K823" s="36"/>
      <c r="L823" s="36"/>
      <c r="M823" s="36"/>
      <c r="N823" s="36"/>
      <c r="P823" s="59"/>
      <c r="Q823" s="36"/>
      <c r="S823" s="36"/>
      <c r="T823" s="36"/>
      <c r="U823" s="36"/>
      <c r="AD823" s="36"/>
      <c r="AF823" s="36"/>
      <c r="AH823" s="36"/>
      <c r="AM823" s="40"/>
      <c r="AN823" s="40"/>
    </row>
    <row r="824" spans="1:40" x14ac:dyDescent="0.3">
      <c r="A824" s="70"/>
      <c r="B824" s="70"/>
      <c r="H824" s="40"/>
      <c r="I824" s="36"/>
      <c r="J824" s="36"/>
      <c r="K824" s="36"/>
      <c r="L824" s="36"/>
      <c r="M824" s="36"/>
      <c r="N824" s="36"/>
      <c r="P824" s="59"/>
      <c r="Q824" s="36"/>
      <c r="S824" s="36"/>
      <c r="T824" s="36"/>
      <c r="U824" s="36"/>
      <c r="AD824" s="36"/>
      <c r="AF824" s="36"/>
      <c r="AH824" s="36"/>
      <c r="AM824" s="40"/>
      <c r="AN824" s="40"/>
    </row>
    <row r="825" spans="1:40" x14ac:dyDescent="0.3">
      <c r="A825" s="70"/>
      <c r="B825" s="70"/>
      <c r="H825" s="40"/>
      <c r="I825" s="36"/>
      <c r="J825" s="36"/>
      <c r="K825" s="36"/>
      <c r="L825" s="36"/>
      <c r="M825" s="36"/>
      <c r="N825" s="36"/>
      <c r="P825" s="59"/>
      <c r="Q825" s="36"/>
      <c r="S825" s="36"/>
      <c r="T825" s="36"/>
      <c r="U825" s="36"/>
      <c r="AD825" s="36"/>
      <c r="AF825" s="36"/>
      <c r="AH825" s="36"/>
      <c r="AM825" s="40"/>
      <c r="AN825" s="40"/>
    </row>
    <row r="826" spans="1:40" x14ac:dyDescent="0.3">
      <c r="A826" s="70"/>
      <c r="B826" s="70"/>
      <c r="H826" s="40"/>
      <c r="I826" s="36"/>
      <c r="J826" s="36"/>
      <c r="K826" s="36"/>
      <c r="L826" s="36"/>
      <c r="M826" s="36"/>
      <c r="N826" s="36"/>
      <c r="P826" s="59"/>
      <c r="Q826" s="36"/>
      <c r="S826" s="36"/>
      <c r="T826" s="36"/>
      <c r="U826" s="36"/>
      <c r="AD826" s="36"/>
      <c r="AF826" s="36"/>
      <c r="AH826" s="36"/>
      <c r="AM826" s="40"/>
      <c r="AN826" s="40"/>
    </row>
    <row r="827" spans="1:40" x14ac:dyDescent="0.3">
      <c r="A827" s="70"/>
      <c r="B827" s="70"/>
      <c r="H827" s="40"/>
      <c r="I827" s="36"/>
      <c r="J827" s="36"/>
      <c r="K827" s="36"/>
      <c r="L827" s="36"/>
      <c r="M827" s="36"/>
      <c r="N827" s="36"/>
      <c r="P827" s="59"/>
      <c r="Q827" s="36"/>
      <c r="S827" s="36"/>
      <c r="T827" s="36"/>
      <c r="U827" s="36"/>
      <c r="AD827" s="36"/>
      <c r="AF827" s="36"/>
      <c r="AH827" s="36"/>
      <c r="AM827" s="40"/>
      <c r="AN827" s="40"/>
    </row>
    <row r="828" spans="1:40" x14ac:dyDescent="0.3">
      <c r="A828" s="70"/>
      <c r="B828" s="70"/>
      <c r="H828" s="40"/>
      <c r="I828" s="36"/>
      <c r="J828" s="36"/>
      <c r="K828" s="36"/>
      <c r="L828" s="36"/>
      <c r="M828" s="36"/>
      <c r="N828" s="36"/>
      <c r="P828" s="59"/>
      <c r="Q828" s="36"/>
      <c r="S828" s="36"/>
      <c r="T828" s="36"/>
      <c r="U828" s="36"/>
      <c r="AD828" s="36"/>
      <c r="AF828" s="36"/>
      <c r="AH828" s="36"/>
      <c r="AM828" s="40"/>
      <c r="AN828" s="40"/>
    </row>
    <row r="829" spans="1:40" x14ac:dyDescent="0.3">
      <c r="A829" s="70"/>
      <c r="B829" s="70"/>
      <c r="H829" s="40"/>
      <c r="I829" s="36"/>
      <c r="J829" s="36"/>
      <c r="K829" s="36"/>
      <c r="L829" s="36"/>
      <c r="M829" s="36"/>
      <c r="N829" s="36"/>
      <c r="P829" s="59"/>
      <c r="Q829" s="36"/>
      <c r="S829" s="36"/>
      <c r="T829" s="36"/>
      <c r="U829" s="36"/>
      <c r="AD829" s="36"/>
      <c r="AF829" s="36"/>
      <c r="AH829" s="36"/>
      <c r="AM829" s="40"/>
      <c r="AN829" s="40"/>
    </row>
    <row r="830" spans="1:40" x14ac:dyDescent="0.3">
      <c r="A830" s="70"/>
      <c r="B830" s="70"/>
      <c r="H830" s="40"/>
      <c r="I830" s="36"/>
      <c r="J830" s="36"/>
      <c r="K830" s="36"/>
      <c r="L830" s="36"/>
      <c r="M830" s="36"/>
      <c r="N830" s="36"/>
      <c r="P830" s="59"/>
      <c r="Q830" s="36"/>
      <c r="S830" s="36"/>
      <c r="T830" s="36"/>
      <c r="U830" s="36"/>
      <c r="AD830" s="36"/>
      <c r="AF830" s="36"/>
      <c r="AH830" s="36"/>
      <c r="AM830" s="40"/>
      <c r="AN830" s="40"/>
    </row>
    <row r="831" spans="1:40" x14ac:dyDescent="0.3">
      <c r="A831" s="70"/>
      <c r="B831" s="70"/>
      <c r="H831" s="40"/>
      <c r="I831" s="36"/>
      <c r="J831" s="36"/>
      <c r="K831" s="36"/>
      <c r="L831" s="36"/>
      <c r="M831" s="36"/>
      <c r="N831" s="36"/>
      <c r="P831" s="59"/>
      <c r="Q831" s="36"/>
      <c r="S831" s="36"/>
      <c r="T831" s="36"/>
      <c r="U831" s="36"/>
      <c r="AD831" s="36"/>
      <c r="AF831" s="36"/>
      <c r="AH831" s="36"/>
      <c r="AM831" s="40"/>
      <c r="AN831" s="40"/>
    </row>
    <row r="832" spans="1:40" x14ac:dyDescent="0.3">
      <c r="A832" s="70"/>
      <c r="B832" s="70"/>
      <c r="H832" s="40"/>
      <c r="I832" s="36"/>
      <c r="J832" s="36"/>
      <c r="K832" s="36"/>
      <c r="L832" s="36"/>
      <c r="M832" s="36"/>
      <c r="N832" s="36"/>
      <c r="P832" s="59"/>
      <c r="Q832" s="36"/>
      <c r="S832" s="36"/>
      <c r="T832" s="36"/>
      <c r="U832" s="36"/>
      <c r="AD832" s="36"/>
      <c r="AF832" s="36"/>
      <c r="AH832" s="36"/>
      <c r="AM832" s="40"/>
      <c r="AN832" s="40"/>
    </row>
    <row r="833" spans="1:40" x14ac:dyDescent="0.3">
      <c r="A833" s="70"/>
      <c r="B833" s="70"/>
      <c r="H833" s="40"/>
      <c r="I833" s="36"/>
      <c r="J833" s="36"/>
      <c r="K833" s="36"/>
      <c r="L833" s="36"/>
      <c r="M833" s="36"/>
      <c r="N833" s="36"/>
      <c r="P833" s="59"/>
      <c r="Q833" s="36"/>
      <c r="S833" s="36"/>
      <c r="T833" s="36"/>
      <c r="U833" s="36"/>
      <c r="AD833" s="36"/>
      <c r="AF833" s="36"/>
      <c r="AH833" s="36"/>
      <c r="AM833" s="40"/>
      <c r="AN833" s="40"/>
    </row>
    <row r="834" spans="1:40" x14ac:dyDescent="0.3">
      <c r="A834" s="70"/>
      <c r="B834" s="70"/>
      <c r="H834" s="40"/>
      <c r="I834" s="36"/>
      <c r="J834" s="36"/>
      <c r="K834" s="36"/>
      <c r="L834" s="36"/>
      <c r="M834" s="36"/>
      <c r="N834" s="36"/>
      <c r="P834" s="59"/>
      <c r="Q834" s="36"/>
      <c r="S834" s="36"/>
      <c r="T834" s="36"/>
      <c r="U834" s="36"/>
      <c r="AD834" s="36"/>
      <c r="AF834" s="36"/>
      <c r="AH834" s="36"/>
      <c r="AM834" s="40"/>
      <c r="AN834" s="40"/>
    </row>
    <row r="835" spans="1:40" x14ac:dyDescent="0.3">
      <c r="A835" s="70"/>
      <c r="B835" s="70"/>
      <c r="H835" s="40"/>
      <c r="I835" s="36"/>
      <c r="J835" s="36"/>
      <c r="K835" s="36"/>
      <c r="L835" s="36"/>
      <c r="M835" s="36"/>
      <c r="N835" s="36"/>
      <c r="P835" s="59"/>
      <c r="Q835" s="36"/>
      <c r="S835" s="36"/>
      <c r="T835" s="36"/>
      <c r="U835" s="36"/>
      <c r="AD835" s="36"/>
      <c r="AF835" s="36"/>
      <c r="AH835" s="36"/>
      <c r="AM835" s="40"/>
      <c r="AN835" s="40"/>
    </row>
    <row r="836" spans="1:40" x14ac:dyDescent="0.3">
      <c r="A836" s="70"/>
      <c r="B836" s="70"/>
      <c r="H836" s="40"/>
      <c r="I836" s="36"/>
      <c r="J836" s="36"/>
      <c r="K836" s="36"/>
      <c r="L836" s="36"/>
      <c r="M836" s="36"/>
      <c r="N836" s="36"/>
      <c r="P836" s="59"/>
      <c r="Q836" s="36"/>
      <c r="S836" s="36"/>
      <c r="T836" s="36"/>
      <c r="U836" s="36"/>
      <c r="AD836" s="36"/>
      <c r="AF836" s="36"/>
      <c r="AH836" s="36"/>
      <c r="AM836" s="40"/>
      <c r="AN836" s="40"/>
    </row>
    <row r="837" spans="1:40" x14ac:dyDescent="0.3">
      <c r="A837" s="70"/>
      <c r="B837" s="70"/>
      <c r="H837" s="40"/>
      <c r="I837" s="36"/>
      <c r="J837" s="36"/>
      <c r="K837" s="36"/>
      <c r="L837" s="36"/>
      <c r="M837" s="36"/>
      <c r="N837" s="36"/>
      <c r="P837" s="59"/>
      <c r="Q837" s="36"/>
      <c r="S837" s="36"/>
      <c r="T837" s="36"/>
      <c r="U837" s="36"/>
      <c r="AD837" s="36"/>
      <c r="AF837" s="36"/>
      <c r="AH837" s="36"/>
      <c r="AM837" s="40"/>
      <c r="AN837" s="40"/>
    </row>
    <row r="838" spans="1:40" x14ac:dyDescent="0.3">
      <c r="A838" s="70"/>
      <c r="B838" s="70"/>
      <c r="H838" s="40"/>
      <c r="I838" s="36"/>
      <c r="J838" s="36"/>
      <c r="K838" s="36"/>
      <c r="L838" s="36"/>
      <c r="M838" s="36"/>
      <c r="N838" s="36"/>
      <c r="P838" s="59"/>
      <c r="Q838" s="36"/>
      <c r="S838" s="36"/>
      <c r="T838" s="36"/>
      <c r="U838" s="36"/>
      <c r="AD838" s="36"/>
      <c r="AF838" s="36"/>
      <c r="AH838" s="36"/>
      <c r="AM838" s="40"/>
      <c r="AN838" s="40"/>
    </row>
    <row r="839" spans="1:40" x14ac:dyDescent="0.3">
      <c r="A839" s="70"/>
      <c r="B839" s="70"/>
      <c r="H839" s="40"/>
      <c r="I839" s="36"/>
      <c r="J839" s="36"/>
      <c r="K839" s="36"/>
      <c r="L839" s="36"/>
      <c r="M839" s="36"/>
      <c r="N839" s="36"/>
      <c r="P839" s="59"/>
      <c r="Q839" s="36"/>
      <c r="S839" s="36"/>
      <c r="T839" s="36"/>
      <c r="U839" s="36"/>
      <c r="AD839" s="36"/>
      <c r="AF839" s="36"/>
      <c r="AH839" s="36"/>
      <c r="AM839" s="40"/>
      <c r="AN839" s="40"/>
    </row>
    <row r="840" spans="1:40" x14ac:dyDescent="0.3">
      <c r="A840" s="70"/>
      <c r="B840" s="70"/>
      <c r="H840" s="40"/>
      <c r="I840" s="36"/>
      <c r="J840" s="36"/>
      <c r="K840" s="36"/>
      <c r="L840" s="36"/>
      <c r="M840" s="36"/>
      <c r="N840" s="36"/>
      <c r="P840" s="59"/>
      <c r="Q840" s="36"/>
      <c r="S840" s="36"/>
      <c r="T840" s="36"/>
      <c r="U840" s="36"/>
      <c r="AD840" s="36"/>
      <c r="AF840" s="36"/>
      <c r="AH840" s="36"/>
      <c r="AM840" s="40"/>
      <c r="AN840" s="40"/>
    </row>
    <row r="841" spans="1:40" x14ac:dyDescent="0.3">
      <c r="A841" s="70"/>
      <c r="B841" s="70"/>
      <c r="H841" s="40"/>
      <c r="I841" s="36"/>
      <c r="J841" s="36"/>
      <c r="K841" s="36"/>
      <c r="L841" s="36"/>
      <c r="M841" s="36"/>
      <c r="N841" s="36"/>
      <c r="P841" s="59"/>
      <c r="Q841" s="36"/>
      <c r="S841" s="36"/>
      <c r="T841" s="36"/>
      <c r="U841" s="36"/>
      <c r="AD841" s="36"/>
      <c r="AF841" s="36"/>
      <c r="AH841" s="36"/>
      <c r="AM841" s="40"/>
      <c r="AN841" s="40"/>
    </row>
    <row r="842" spans="1:40" x14ac:dyDescent="0.3">
      <c r="A842" s="70"/>
      <c r="B842" s="70"/>
      <c r="H842" s="40"/>
      <c r="I842" s="36"/>
      <c r="J842" s="36"/>
      <c r="K842" s="36"/>
      <c r="L842" s="36"/>
      <c r="M842" s="36"/>
      <c r="N842" s="36"/>
      <c r="P842" s="59"/>
      <c r="Q842" s="36"/>
      <c r="S842" s="36"/>
      <c r="T842" s="36"/>
      <c r="U842" s="36"/>
      <c r="AD842" s="36"/>
      <c r="AF842" s="36"/>
      <c r="AH842" s="36"/>
      <c r="AM842" s="40"/>
      <c r="AN842" s="40"/>
    </row>
    <row r="843" spans="1:40" x14ac:dyDescent="0.3">
      <c r="A843" s="70"/>
      <c r="B843" s="70"/>
      <c r="H843" s="40"/>
      <c r="I843" s="36"/>
      <c r="J843" s="36"/>
      <c r="K843" s="36"/>
      <c r="L843" s="36"/>
      <c r="M843" s="36"/>
      <c r="N843" s="36"/>
      <c r="P843" s="59"/>
      <c r="Q843" s="36"/>
      <c r="S843" s="36"/>
      <c r="T843" s="36"/>
      <c r="U843" s="36"/>
      <c r="AD843" s="36"/>
      <c r="AF843" s="36"/>
      <c r="AH843" s="36"/>
      <c r="AM843" s="40"/>
      <c r="AN843" s="40"/>
    </row>
    <row r="844" spans="1:40" x14ac:dyDescent="0.3">
      <c r="A844" s="70"/>
      <c r="B844" s="70"/>
      <c r="H844" s="40"/>
      <c r="I844" s="36"/>
      <c r="J844" s="36"/>
      <c r="K844" s="36"/>
      <c r="L844" s="36"/>
      <c r="M844" s="36"/>
      <c r="N844" s="36"/>
      <c r="P844" s="59"/>
      <c r="Q844" s="36"/>
      <c r="S844" s="36"/>
      <c r="T844" s="36"/>
      <c r="U844" s="36"/>
      <c r="AD844" s="36"/>
      <c r="AF844" s="36"/>
      <c r="AH844" s="36"/>
      <c r="AM844" s="40"/>
      <c r="AN844" s="40"/>
    </row>
    <row r="845" spans="1:40" x14ac:dyDescent="0.3">
      <c r="A845" s="70"/>
      <c r="B845" s="70"/>
      <c r="H845" s="40"/>
      <c r="I845" s="36"/>
      <c r="J845" s="36"/>
      <c r="K845" s="36"/>
      <c r="L845" s="36"/>
      <c r="M845" s="36"/>
      <c r="N845" s="36"/>
      <c r="P845" s="59"/>
      <c r="Q845" s="36"/>
      <c r="S845" s="36"/>
      <c r="T845" s="36"/>
      <c r="U845" s="36"/>
      <c r="AD845" s="36"/>
      <c r="AF845" s="36"/>
      <c r="AH845" s="36"/>
      <c r="AM845" s="40"/>
      <c r="AN845" s="40"/>
    </row>
    <row r="846" spans="1:40" x14ac:dyDescent="0.3">
      <c r="A846" s="70"/>
      <c r="B846" s="70"/>
      <c r="H846" s="40"/>
      <c r="I846" s="36"/>
      <c r="J846" s="36"/>
      <c r="K846" s="36"/>
      <c r="L846" s="36"/>
      <c r="M846" s="36"/>
      <c r="N846" s="36"/>
      <c r="P846" s="59"/>
      <c r="Q846" s="36"/>
      <c r="S846" s="36"/>
      <c r="T846" s="36"/>
      <c r="U846" s="36"/>
      <c r="AD846" s="36"/>
      <c r="AF846" s="36"/>
      <c r="AH846" s="36"/>
      <c r="AM846" s="40"/>
      <c r="AN846" s="40"/>
    </row>
    <row r="847" spans="1:40" x14ac:dyDescent="0.3">
      <c r="A847" s="70"/>
      <c r="B847" s="70"/>
      <c r="H847" s="40"/>
      <c r="I847" s="36"/>
      <c r="J847" s="36"/>
      <c r="K847" s="36"/>
      <c r="L847" s="36"/>
      <c r="M847" s="36"/>
      <c r="N847" s="36"/>
      <c r="P847" s="59"/>
      <c r="Q847" s="36"/>
      <c r="S847" s="36"/>
      <c r="T847" s="36"/>
      <c r="U847" s="36"/>
      <c r="AD847" s="36"/>
      <c r="AF847" s="36"/>
      <c r="AH847" s="36"/>
      <c r="AM847" s="40"/>
      <c r="AN847" s="40"/>
    </row>
    <row r="848" spans="1:40" x14ac:dyDescent="0.3">
      <c r="A848" s="70"/>
      <c r="B848" s="70"/>
      <c r="H848" s="40"/>
      <c r="I848" s="36"/>
      <c r="J848" s="36"/>
      <c r="K848" s="36"/>
      <c r="L848" s="36"/>
      <c r="M848" s="36"/>
      <c r="N848" s="36"/>
      <c r="P848" s="59"/>
      <c r="Q848" s="36"/>
      <c r="S848" s="36"/>
      <c r="T848" s="36"/>
      <c r="U848" s="36"/>
      <c r="AD848" s="36"/>
      <c r="AF848" s="36"/>
      <c r="AH848" s="36"/>
      <c r="AM848" s="40"/>
      <c r="AN848" s="40"/>
    </row>
    <row r="849" spans="1:40" x14ac:dyDescent="0.3">
      <c r="A849" s="70"/>
      <c r="B849" s="70"/>
      <c r="H849" s="40"/>
      <c r="I849" s="36"/>
      <c r="J849" s="36"/>
      <c r="K849" s="36"/>
      <c r="L849" s="36"/>
      <c r="M849" s="36"/>
      <c r="N849" s="36"/>
      <c r="P849" s="59"/>
      <c r="Q849" s="36"/>
      <c r="S849" s="36"/>
      <c r="T849" s="36"/>
      <c r="U849" s="36"/>
      <c r="AD849" s="36"/>
      <c r="AF849" s="36"/>
      <c r="AH849" s="36"/>
      <c r="AM849" s="40"/>
      <c r="AN849" s="40"/>
    </row>
    <row r="850" spans="1:40" x14ac:dyDescent="0.3">
      <c r="A850" s="70"/>
      <c r="B850" s="70"/>
      <c r="H850" s="40"/>
      <c r="I850" s="36"/>
      <c r="J850" s="36"/>
      <c r="K850" s="36"/>
      <c r="L850" s="36"/>
      <c r="M850" s="36"/>
      <c r="N850" s="36"/>
      <c r="P850" s="59"/>
      <c r="Q850" s="36"/>
      <c r="S850" s="36"/>
      <c r="T850" s="36"/>
      <c r="U850" s="36"/>
      <c r="AD850" s="36"/>
      <c r="AF850" s="36"/>
      <c r="AH850" s="36"/>
      <c r="AM850" s="40"/>
      <c r="AN850" s="40"/>
    </row>
    <row r="851" spans="1:40" x14ac:dyDescent="0.3">
      <c r="A851" s="70"/>
      <c r="B851" s="70"/>
      <c r="H851" s="40"/>
      <c r="I851" s="36"/>
      <c r="J851" s="36"/>
      <c r="K851" s="36"/>
      <c r="L851" s="36"/>
      <c r="M851" s="36"/>
      <c r="N851" s="36"/>
      <c r="P851" s="59"/>
      <c r="Q851" s="36"/>
      <c r="S851" s="36"/>
      <c r="T851" s="36"/>
      <c r="U851" s="36"/>
      <c r="AD851" s="36"/>
      <c r="AF851" s="36"/>
      <c r="AH851" s="36"/>
      <c r="AM851" s="40"/>
      <c r="AN851" s="40"/>
    </row>
    <row r="852" spans="1:40" x14ac:dyDescent="0.3">
      <c r="A852" s="70"/>
      <c r="B852" s="70"/>
      <c r="H852" s="40"/>
      <c r="I852" s="36"/>
      <c r="J852" s="36"/>
      <c r="K852" s="36"/>
      <c r="L852" s="36"/>
      <c r="M852" s="36"/>
      <c r="N852" s="36"/>
      <c r="P852" s="59"/>
      <c r="Q852" s="36"/>
      <c r="S852" s="36"/>
      <c r="T852" s="36"/>
      <c r="U852" s="36"/>
      <c r="AD852" s="36"/>
      <c r="AF852" s="36"/>
      <c r="AH852" s="36"/>
      <c r="AM852" s="40"/>
      <c r="AN852" s="40"/>
    </row>
    <row r="853" spans="1:40" x14ac:dyDescent="0.3">
      <c r="A853" s="70"/>
      <c r="B853" s="70"/>
      <c r="H853" s="40"/>
      <c r="I853" s="36"/>
      <c r="J853" s="36"/>
      <c r="K853" s="36"/>
      <c r="L853" s="36"/>
      <c r="M853" s="36"/>
      <c r="N853" s="36"/>
      <c r="P853" s="59"/>
      <c r="Q853" s="36"/>
      <c r="S853" s="36"/>
      <c r="T853" s="36"/>
      <c r="U853" s="36"/>
      <c r="AD853" s="36"/>
      <c r="AF853" s="36"/>
      <c r="AH853" s="36"/>
      <c r="AM853" s="40"/>
      <c r="AN853" s="40"/>
    </row>
    <row r="854" spans="1:40" x14ac:dyDescent="0.3">
      <c r="A854" s="70"/>
      <c r="B854" s="70"/>
      <c r="H854" s="40"/>
      <c r="I854" s="36"/>
      <c r="J854" s="36"/>
      <c r="K854" s="36"/>
      <c r="L854" s="36"/>
      <c r="M854" s="36"/>
      <c r="N854" s="36"/>
      <c r="P854" s="59"/>
      <c r="Q854" s="36"/>
      <c r="S854" s="36"/>
      <c r="T854" s="36"/>
      <c r="U854" s="36"/>
      <c r="AD854" s="36"/>
      <c r="AF854" s="36"/>
      <c r="AH854" s="36"/>
      <c r="AM854" s="40"/>
      <c r="AN854" s="40"/>
    </row>
    <row r="855" spans="1:40" x14ac:dyDescent="0.3">
      <c r="A855" s="70"/>
      <c r="B855" s="70"/>
      <c r="H855" s="40"/>
      <c r="I855" s="36"/>
      <c r="J855" s="36"/>
      <c r="K855" s="36"/>
      <c r="L855" s="36"/>
      <c r="M855" s="36"/>
      <c r="N855" s="36"/>
      <c r="P855" s="59"/>
      <c r="Q855" s="36"/>
      <c r="S855" s="36"/>
      <c r="T855" s="36"/>
      <c r="U855" s="36"/>
      <c r="AD855" s="36"/>
      <c r="AF855" s="36"/>
      <c r="AH855" s="36"/>
      <c r="AM855" s="40"/>
      <c r="AN855" s="40"/>
    </row>
    <row r="856" spans="1:40" x14ac:dyDescent="0.3">
      <c r="A856" s="70"/>
      <c r="B856" s="70"/>
      <c r="H856" s="40"/>
      <c r="I856" s="36"/>
      <c r="J856" s="36"/>
      <c r="K856" s="36"/>
      <c r="L856" s="36"/>
      <c r="M856" s="36"/>
      <c r="N856" s="36"/>
      <c r="P856" s="59"/>
      <c r="Q856" s="36"/>
      <c r="S856" s="36"/>
      <c r="T856" s="36"/>
      <c r="U856" s="36"/>
      <c r="AD856" s="36"/>
      <c r="AF856" s="36"/>
      <c r="AH856" s="36"/>
      <c r="AM856" s="40"/>
      <c r="AN856" s="40"/>
    </row>
    <row r="857" spans="1:40" x14ac:dyDescent="0.3">
      <c r="A857" s="70"/>
      <c r="B857" s="70"/>
      <c r="H857" s="40"/>
      <c r="I857" s="36"/>
      <c r="J857" s="36"/>
      <c r="K857" s="36"/>
      <c r="L857" s="36"/>
      <c r="M857" s="36"/>
      <c r="N857" s="36"/>
      <c r="P857" s="59"/>
      <c r="Q857" s="36"/>
      <c r="S857" s="36"/>
      <c r="T857" s="36"/>
      <c r="U857" s="36"/>
      <c r="AD857" s="36"/>
      <c r="AF857" s="36"/>
      <c r="AH857" s="36"/>
      <c r="AM857" s="40"/>
      <c r="AN857" s="40"/>
    </row>
    <row r="858" spans="1:40" x14ac:dyDescent="0.3">
      <c r="A858" s="70"/>
      <c r="B858" s="70"/>
      <c r="H858" s="40"/>
      <c r="I858" s="36"/>
      <c r="J858" s="36"/>
      <c r="K858" s="36"/>
      <c r="L858" s="36"/>
      <c r="M858" s="36"/>
      <c r="N858" s="36"/>
      <c r="P858" s="59"/>
      <c r="Q858" s="36"/>
      <c r="S858" s="36"/>
      <c r="T858" s="36"/>
      <c r="U858" s="36"/>
      <c r="AD858" s="36"/>
      <c r="AF858" s="36"/>
      <c r="AH858" s="36"/>
      <c r="AM858" s="40"/>
      <c r="AN858" s="40"/>
    </row>
    <row r="859" spans="1:40" x14ac:dyDescent="0.3">
      <c r="A859" s="70"/>
      <c r="B859" s="70"/>
      <c r="H859" s="40"/>
      <c r="I859" s="36"/>
      <c r="J859" s="36"/>
      <c r="K859" s="36"/>
      <c r="L859" s="36"/>
      <c r="M859" s="36"/>
      <c r="N859" s="36"/>
      <c r="P859" s="59"/>
      <c r="Q859" s="36"/>
      <c r="S859" s="36"/>
      <c r="T859" s="36"/>
      <c r="U859" s="36"/>
      <c r="AD859" s="36"/>
      <c r="AF859" s="36"/>
      <c r="AH859" s="36"/>
      <c r="AM859" s="40"/>
      <c r="AN859" s="40"/>
    </row>
    <row r="860" spans="1:40" x14ac:dyDescent="0.3">
      <c r="A860" s="70"/>
      <c r="B860" s="70"/>
      <c r="H860" s="40"/>
      <c r="I860" s="36"/>
      <c r="J860" s="36"/>
      <c r="K860" s="36"/>
      <c r="L860" s="36"/>
      <c r="M860" s="36"/>
      <c r="N860" s="36"/>
      <c r="P860" s="59"/>
      <c r="Q860" s="36"/>
      <c r="S860" s="36"/>
      <c r="T860" s="36"/>
      <c r="U860" s="36"/>
      <c r="AD860" s="36"/>
      <c r="AF860" s="36"/>
      <c r="AH860" s="36"/>
      <c r="AM860" s="40"/>
      <c r="AN860" s="40"/>
    </row>
    <row r="861" spans="1:40" x14ac:dyDescent="0.3">
      <c r="A861" s="70"/>
      <c r="B861" s="70"/>
      <c r="H861" s="40"/>
      <c r="I861" s="36"/>
      <c r="J861" s="36"/>
      <c r="K861" s="36"/>
      <c r="L861" s="36"/>
      <c r="M861" s="36"/>
      <c r="N861" s="36"/>
      <c r="P861" s="59"/>
      <c r="Q861" s="36"/>
      <c r="S861" s="36"/>
      <c r="T861" s="36"/>
      <c r="U861" s="36"/>
      <c r="AD861" s="36"/>
      <c r="AF861" s="36"/>
      <c r="AH861" s="36"/>
      <c r="AM861" s="40"/>
      <c r="AN861" s="40"/>
    </row>
    <row r="862" spans="1:40" x14ac:dyDescent="0.3">
      <c r="A862" s="70"/>
      <c r="B862" s="70"/>
      <c r="H862" s="40"/>
      <c r="I862" s="36"/>
      <c r="J862" s="36"/>
      <c r="K862" s="36"/>
      <c r="L862" s="36"/>
      <c r="M862" s="36"/>
      <c r="N862" s="36"/>
      <c r="P862" s="59"/>
      <c r="Q862" s="36"/>
      <c r="S862" s="36"/>
      <c r="T862" s="36"/>
      <c r="U862" s="36"/>
      <c r="AD862" s="36"/>
      <c r="AF862" s="36"/>
      <c r="AH862" s="36"/>
      <c r="AM862" s="40"/>
      <c r="AN862" s="40"/>
    </row>
    <row r="863" spans="1:40" x14ac:dyDescent="0.3">
      <c r="A863" s="70"/>
      <c r="B863" s="70"/>
      <c r="H863" s="40"/>
      <c r="I863" s="36"/>
      <c r="J863" s="36"/>
      <c r="K863" s="36"/>
      <c r="L863" s="36"/>
      <c r="M863" s="36"/>
      <c r="N863" s="36"/>
      <c r="P863" s="59"/>
      <c r="Q863" s="36"/>
      <c r="S863" s="36"/>
      <c r="T863" s="36"/>
      <c r="U863" s="36"/>
      <c r="AD863" s="36"/>
      <c r="AF863" s="36"/>
      <c r="AH863" s="36"/>
      <c r="AM863" s="40"/>
      <c r="AN863" s="40"/>
    </row>
    <row r="864" spans="1:40" x14ac:dyDescent="0.3">
      <c r="A864" s="70"/>
      <c r="B864" s="70"/>
      <c r="H864" s="40"/>
      <c r="I864" s="36"/>
      <c r="J864" s="36"/>
      <c r="K864" s="36"/>
      <c r="L864" s="36"/>
      <c r="M864" s="36"/>
      <c r="N864" s="36"/>
      <c r="P864" s="59"/>
      <c r="Q864" s="36"/>
      <c r="S864" s="36"/>
      <c r="T864" s="36"/>
      <c r="U864" s="36"/>
      <c r="AD864" s="36"/>
      <c r="AF864" s="36"/>
      <c r="AH864" s="36"/>
      <c r="AM864" s="40"/>
      <c r="AN864" s="40"/>
    </row>
    <row r="865" spans="1:40" x14ac:dyDescent="0.3">
      <c r="A865" s="70"/>
      <c r="B865" s="70"/>
      <c r="H865" s="40"/>
      <c r="I865" s="36"/>
      <c r="J865" s="36"/>
      <c r="K865" s="36"/>
      <c r="L865" s="36"/>
      <c r="M865" s="36"/>
      <c r="N865" s="36"/>
      <c r="P865" s="59"/>
      <c r="Q865" s="36"/>
      <c r="S865" s="36"/>
      <c r="T865" s="36"/>
      <c r="U865" s="36"/>
      <c r="AD865" s="36"/>
      <c r="AF865" s="36"/>
      <c r="AH865" s="36"/>
      <c r="AM865" s="40"/>
      <c r="AN865" s="40"/>
    </row>
    <row r="866" spans="1:40" x14ac:dyDescent="0.3">
      <c r="A866" s="70"/>
      <c r="B866" s="70"/>
      <c r="H866" s="40"/>
      <c r="I866" s="36"/>
      <c r="J866" s="36"/>
      <c r="K866" s="36"/>
      <c r="L866" s="36"/>
      <c r="M866" s="36"/>
      <c r="N866" s="36"/>
      <c r="P866" s="59"/>
      <c r="Q866" s="36"/>
      <c r="S866" s="36"/>
      <c r="T866" s="36"/>
      <c r="U866" s="36"/>
      <c r="AD866" s="36"/>
      <c r="AF866" s="36"/>
      <c r="AH866" s="36"/>
      <c r="AM866" s="40"/>
      <c r="AN866" s="40"/>
    </row>
    <row r="867" spans="1:40" x14ac:dyDescent="0.3">
      <c r="A867" s="70"/>
      <c r="B867" s="70"/>
      <c r="H867" s="40"/>
      <c r="I867" s="36"/>
      <c r="J867" s="36"/>
      <c r="K867" s="36"/>
      <c r="L867" s="36"/>
      <c r="M867" s="36"/>
      <c r="N867" s="36"/>
      <c r="P867" s="59"/>
      <c r="Q867" s="36"/>
      <c r="S867" s="36"/>
      <c r="T867" s="36"/>
      <c r="U867" s="36"/>
      <c r="AD867" s="36"/>
      <c r="AF867" s="36"/>
      <c r="AH867" s="36"/>
      <c r="AM867" s="40"/>
      <c r="AN867" s="40"/>
    </row>
    <row r="868" spans="1:40" x14ac:dyDescent="0.3">
      <c r="A868" s="70"/>
      <c r="B868" s="70"/>
      <c r="H868" s="40"/>
      <c r="I868" s="36"/>
      <c r="J868" s="36"/>
      <c r="K868" s="36"/>
      <c r="L868" s="36"/>
      <c r="M868" s="36"/>
      <c r="N868" s="36"/>
      <c r="P868" s="59"/>
      <c r="Q868" s="36"/>
      <c r="S868" s="36"/>
      <c r="T868" s="36"/>
      <c r="U868" s="36"/>
      <c r="AD868" s="36"/>
      <c r="AF868" s="36"/>
      <c r="AH868" s="36"/>
      <c r="AM868" s="40"/>
      <c r="AN868" s="40"/>
    </row>
    <row r="869" spans="1:40" x14ac:dyDescent="0.3">
      <c r="A869" s="70"/>
      <c r="B869" s="70"/>
      <c r="H869" s="40"/>
      <c r="I869" s="36"/>
      <c r="J869" s="36"/>
      <c r="K869" s="36"/>
      <c r="L869" s="36"/>
      <c r="M869" s="36"/>
      <c r="N869" s="36"/>
      <c r="P869" s="59"/>
      <c r="Q869" s="36"/>
      <c r="S869" s="36"/>
      <c r="T869" s="36"/>
      <c r="U869" s="36"/>
      <c r="AD869" s="36"/>
      <c r="AF869" s="36"/>
      <c r="AH869" s="36"/>
      <c r="AM869" s="40"/>
      <c r="AN869" s="40"/>
    </row>
    <row r="870" spans="1:40" x14ac:dyDescent="0.3">
      <c r="A870" s="70"/>
      <c r="B870" s="70"/>
      <c r="H870" s="40"/>
      <c r="I870" s="36"/>
      <c r="J870" s="36"/>
      <c r="K870" s="36"/>
      <c r="L870" s="36"/>
      <c r="M870" s="36"/>
      <c r="N870" s="36"/>
      <c r="P870" s="59"/>
      <c r="Q870" s="36"/>
      <c r="S870" s="36"/>
      <c r="T870" s="36"/>
      <c r="U870" s="36"/>
      <c r="AD870" s="36"/>
      <c r="AF870" s="36"/>
      <c r="AH870" s="36"/>
      <c r="AM870" s="40"/>
      <c r="AN870" s="40"/>
    </row>
    <row r="871" spans="1:40" x14ac:dyDescent="0.3">
      <c r="A871" s="70"/>
      <c r="B871" s="70"/>
      <c r="H871" s="40"/>
      <c r="I871" s="36"/>
      <c r="J871" s="36"/>
      <c r="K871" s="36"/>
      <c r="L871" s="36"/>
      <c r="M871" s="36"/>
      <c r="N871" s="36"/>
      <c r="P871" s="59"/>
      <c r="Q871" s="36"/>
      <c r="S871" s="36"/>
      <c r="T871" s="36"/>
      <c r="U871" s="36"/>
      <c r="AD871" s="36"/>
      <c r="AF871" s="36"/>
      <c r="AH871" s="36"/>
      <c r="AM871" s="40"/>
      <c r="AN871" s="40"/>
    </row>
    <row r="872" spans="1:40" x14ac:dyDescent="0.3">
      <c r="A872" s="70"/>
      <c r="B872" s="70"/>
      <c r="H872" s="40"/>
      <c r="I872" s="36"/>
      <c r="J872" s="36"/>
      <c r="K872" s="36"/>
      <c r="L872" s="36"/>
      <c r="M872" s="36"/>
      <c r="N872" s="36"/>
      <c r="P872" s="59"/>
      <c r="Q872" s="36"/>
      <c r="S872" s="36"/>
      <c r="T872" s="36"/>
      <c r="U872" s="36"/>
      <c r="AD872" s="36"/>
      <c r="AF872" s="36"/>
      <c r="AH872" s="36"/>
      <c r="AM872" s="40"/>
      <c r="AN872" s="40"/>
    </row>
    <row r="873" spans="1:40" x14ac:dyDescent="0.3">
      <c r="A873" s="70"/>
      <c r="B873" s="70"/>
      <c r="H873" s="40"/>
      <c r="I873" s="36"/>
      <c r="J873" s="36"/>
      <c r="K873" s="36"/>
      <c r="L873" s="36"/>
      <c r="M873" s="36"/>
      <c r="N873" s="36"/>
      <c r="P873" s="59"/>
      <c r="Q873" s="36"/>
      <c r="S873" s="36"/>
      <c r="T873" s="36"/>
      <c r="U873" s="36"/>
      <c r="AD873" s="36"/>
      <c r="AF873" s="36"/>
      <c r="AH873" s="36"/>
      <c r="AM873" s="40"/>
      <c r="AN873" s="40"/>
    </row>
    <row r="874" spans="1:40" x14ac:dyDescent="0.3">
      <c r="A874" s="70"/>
      <c r="B874" s="70"/>
      <c r="H874" s="40"/>
      <c r="I874" s="36"/>
      <c r="J874" s="36"/>
      <c r="K874" s="36"/>
      <c r="L874" s="36"/>
      <c r="M874" s="36"/>
      <c r="N874" s="36"/>
      <c r="P874" s="59"/>
      <c r="Q874" s="36"/>
      <c r="S874" s="36"/>
      <c r="T874" s="36"/>
      <c r="U874" s="36"/>
      <c r="AD874" s="36"/>
      <c r="AF874" s="36"/>
      <c r="AH874" s="36"/>
      <c r="AM874" s="40"/>
      <c r="AN874" s="40"/>
    </row>
    <row r="875" spans="1:40" x14ac:dyDescent="0.3">
      <c r="A875" s="70"/>
      <c r="B875" s="70"/>
      <c r="H875" s="40"/>
      <c r="I875" s="36"/>
      <c r="J875" s="36"/>
      <c r="K875" s="36"/>
      <c r="L875" s="36"/>
      <c r="M875" s="36"/>
      <c r="N875" s="36"/>
      <c r="P875" s="59"/>
      <c r="Q875" s="36"/>
      <c r="S875" s="36"/>
      <c r="T875" s="36"/>
      <c r="U875" s="36"/>
      <c r="AD875" s="36"/>
      <c r="AF875" s="36"/>
      <c r="AH875" s="36"/>
      <c r="AM875" s="40"/>
      <c r="AN875" s="40"/>
    </row>
    <row r="876" spans="1:40" x14ac:dyDescent="0.3">
      <c r="A876" s="70"/>
      <c r="B876" s="70"/>
      <c r="H876" s="40"/>
      <c r="I876" s="36"/>
      <c r="J876" s="36"/>
      <c r="K876" s="36"/>
      <c r="L876" s="36"/>
      <c r="M876" s="36"/>
      <c r="N876" s="36"/>
      <c r="P876" s="59"/>
      <c r="Q876" s="36"/>
      <c r="S876" s="36"/>
      <c r="T876" s="36"/>
      <c r="U876" s="36"/>
      <c r="AD876" s="36"/>
      <c r="AF876" s="36"/>
      <c r="AH876" s="36"/>
      <c r="AM876" s="40"/>
      <c r="AN876" s="40"/>
    </row>
    <row r="877" spans="1:40" x14ac:dyDescent="0.3">
      <c r="H877" s="40"/>
      <c r="I877" s="36"/>
      <c r="J877" s="36"/>
      <c r="K877" s="36"/>
      <c r="L877" s="36"/>
      <c r="M877" s="36"/>
      <c r="N877" s="36"/>
      <c r="P877" s="59"/>
      <c r="Q877" s="36"/>
      <c r="S877" s="36"/>
      <c r="T877" s="36"/>
      <c r="U877" s="36"/>
      <c r="AD877" s="36"/>
      <c r="AF877" s="36"/>
      <c r="AM877" s="40"/>
      <c r="AN877" s="40"/>
    </row>
    <row r="878" spans="1:40" x14ac:dyDescent="0.3">
      <c r="H878" s="40"/>
      <c r="I878" s="36"/>
      <c r="J878" s="36"/>
      <c r="K878" s="36"/>
      <c r="L878" s="36"/>
      <c r="M878" s="36"/>
      <c r="N878" s="36"/>
      <c r="P878" s="59"/>
      <c r="Q878" s="36"/>
      <c r="S878" s="36"/>
      <c r="T878" s="36"/>
      <c r="U878" s="36"/>
      <c r="AD878" s="36"/>
      <c r="AF878" s="36"/>
      <c r="AM878" s="40"/>
      <c r="AN878" s="40"/>
    </row>
    <row r="879" spans="1:40" x14ac:dyDescent="0.3">
      <c r="H879" s="40"/>
      <c r="I879" s="36"/>
      <c r="J879" s="36"/>
      <c r="K879" s="36"/>
      <c r="L879" s="36"/>
      <c r="M879" s="36"/>
      <c r="N879" s="36"/>
      <c r="P879" s="59"/>
      <c r="Q879" s="36"/>
      <c r="S879" s="36"/>
      <c r="T879" s="36"/>
      <c r="U879" s="36"/>
      <c r="AD879" s="36"/>
      <c r="AF879" s="36"/>
      <c r="AM879" s="40"/>
      <c r="AN879" s="40"/>
    </row>
    <row r="880" spans="1:40" x14ac:dyDescent="0.3">
      <c r="H880" s="40"/>
      <c r="I880" s="36"/>
      <c r="J880" s="36"/>
      <c r="K880" s="36"/>
      <c r="L880" s="36"/>
      <c r="M880" s="36"/>
      <c r="N880" s="36"/>
      <c r="P880" s="59"/>
      <c r="Q880" s="36"/>
      <c r="S880" s="36"/>
      <c r="T880" s="36"/>
      <c r="U880" s="36"/>
      <c r="AD880" s="36"/>
      <c r="AF880" s="36"/>
      <c r="AM880" s="40"/>
      <c r="AN880" s="40"/>
    </row>
    <row r="881" spans="8:40" x14ac:dyDescent="0.3">
      <c r="H881" s="40"/>
      <c r="I881" s="36"/>
      <c r="J881" s="36"/>
      <c r="K881" s="36"/>
      <c r="L881" s="36"/>
      <c r="M881" s="36"/>
      <c r="N881" s="36"/>
      <c r="P881" s="59"/>
      <c r="Q881" s="36"/>
      <c r="S881" s="36"/>
      <c r="T881" s="36"/>
      <c r="U881" s="36"/>
      <c r="AD881" s="36"/>
      <c r="AF881" s="36"/>
      <c r="AM881" s="40"/>
      <c r="AN881" s="40"/>
    </row>
    <row r="882" spans="8:40" x14ac:dyDescent="0.3">
      <c r="H882" s="40"/>
      <c r="I882" s="36"/>
      <c r="J882" s="36"/>
      <c r="K882" s="36"/>
      <c r="L882" s="36"/>
      <c r="M882" s="36"/>
      <c r="N882" s="36"/>
      <c r="P882" s="59"/>
      <c r="Q882" s="36"/>
      <c r="S882" s="36"/>
      <c r="T882" s="36"/>
      <c r="U882" s="36"/>
      <c r="AD882" s="36"/>
      <c r="AF882" s="36"/>
      <c r="AM882" s="40"/>
      <c r="AN882" s="40"/>
    </row>
    <row r="883" spans="8:40" x14ac:dyDescent="0.3">
      <c r="H883" s="40"/>
      <c r="I883" s="36"/>
      <c r="J883" s="36"/>
      <c r="K883" s="36"/>
      <c r="L883" s="36"/>
      <c r="M883" s="36"/>
      <c r="N883" s="36"/>
      <c r="P883" s="59"/>
      <c r="Q883" s="36"/>
      <c r="S883" s="36"/>
      <c r="T883" s="36"/>
      <c r="U883" s="36"/>
      <c r="AD883" s="36"/>
      <c r="AF883" s="36"/>
      <c r="AM883" s="40"/>
      <c r="AN883" s="40"/>
    </row>
    <row r="884" spans="8:40" x14ac:dyDescent="0.3">
      <c r="H884" s="40"/>
      <c r="I884" s="36"/>
      <c r="J884" s="36"/>
      <c r="K884" s="36"/>
      <c r="L884" s="36"/>
      <c r="M884" s="36"/>
      <c r="N884" s="36"/>
      <c r="P884" s="59"/>
      <c r="Q884" s="36"/>
      <c r="S884" s="36"/>
      <c r="T884" s="36"/>
      <c r="U884" s="36"/>
      <c r="AD884" s="36"/>
      <c r="AF884" s="36"/>
      <c r="AM884" s="40"/>
      <c r="AN884" s="40"/>
    </row>
    <row r="885" spans="8:40" x14ac:dyDescent="0.3">
      <c r="H885" s="40"/>
      <c r="I885" s="36"/>
      <c r="J885" s="36"/>
      <c r="K885" s="36"/>
      <c r="L885" s="36"/>
      <c r="M885" s="36"/>
      <c r="N885" s="36"/>
      <c r="P885" s="59"/>
      <c r="Q885" s="36"/>
      <c r="S885" s="36"/>
      <c r="T885" s="36"/>
      <c r="U885" s="36"/>
      <c r="AD885" s="36"/>
      <c r="AF885" s="36"/>
      <c r="AM885" s="40"/>
      <c r="AN885" s="40"/>
    </row>
    <row r="886" spans="8:40" x14ac:dyDescent="0.3">
      <c r="H886" s="40"/>
      <c r="I886" s="36"/>
      <c r="J886" s="36"/>
      <c r="K886" s="36"/>
      <c r="L886" s="36"/>
      <c r="M886" s="36"/>
      <c r="N886" s="36"/>
      <c r="P886" s="59"/>
      <c r="Q886" s="36"/>
      <c r="S886" s="36"/>
      <c r="T886" s="36"/>
      <c r="U886" s="36"/>
      <c r="AD886" s="36"/>
      <c r="AF886" s="36"/>
      <c r="AM886" s="40"/>
      <c r="AN886" s="40"/>
    </row>
    <row r="887" spans="8:40" x14ac:dyDescent="0.3">
      <c r="H887" s="40"/>
      <c r="I887" s="36"/>
      <c r="J887" s="36"/>
      <c r="K887" s="36"/>
      <c r="L887" s="36"/>
      <c r="M887" s="36"/>
      <c r="N887" s="36"/>
      <c r="P887" s="59"/>
      <c r="Q887" s="36"/>
      <c r="S887" s="36"/>
      <c r="T887" s="36"/>
      <c r="U887" s="36"/>
      <c r="AD887" s="36"/>
      <c r="AF887" s="36"/>
      <c r="AM887" s="40"/>
      <c r="AN887" s="40"/>
    </row>
    <row r="888" spans="8:40" x14ac:dyDescent="0.3">
      <c r="H888" s="40"/>
      <c r="I888" s="36"/>
      <c r="J888" s="36"/>
      <c r="K888" s="36"/>
      <c r="L888" s="36"/>
      <c r="M888" s="36"/>
      <c r="N888" s="36"/>
      <c r="P888" s="59"/>
      <c r="Q888" s="36"/>
      <c r="S888" s="36"/>
      <c r="T888" s="36"/>
      <c r="U888" s="36"/>
      <c r="AD888" s="36"/>
      <c r="AF888" s="36"/>
      <c r="AM888" s="40"/>
      <c r="AN888" s="40"/>
    </row>
    <row r="889" spans="8:40" x14ac:dyDescent="0.3">
      <c r="H889" s="40"/>
      <c r="I889" s="36"/>
      <c r="J889" s="36"/>
      <c r="K889" s="36"/>
      <c r="L889" s="36"/>
      <c r="M889" s="36"/>
      <c r="N889" s="36"/>
      <c r="P889" s="59"/>
      <c r="Q889" s="36"/>
      <c r="S889" s="36"/>
      <c r="T889" s="36"/>
      <c r="U889" s="36"/>
      <c r="AD889" s="36"/>
      <c r="AF889" s="36"/>
      <c r="AM889" s="40"/>
      <c r="AN889" s="40"/>
    </row>
    <row r="890" spans="8:40" x14ac:dyDescent="0.3">
      <c r="H890" s="40"/>
      <c r="I890" s="36"/>
      <c r="J890" s="36"/>
      <c r="K890" s="36"/>
      <c r="L890" s="36"/>
      <c r="M890" s="36"/>
      <c r="N890" s="36"/>
      <c r="P890" s="59"/>
      <c r="Q890" s="36"/>
      <c r="S890" s="36"/>
      <c r="T890" s="36"/>
      <c r="U890" s="36"/>
      <c r="AD890" s="36"/>
      <c r="AF890" s="36"/>
      <c r="AM890" s="40"/>
      <c r="AN890" s="40"/>
    </row>
    <row r="891" spans="8:40" x14ac:dyDescent="0.3">
      <c r="H891" s="40"/>
      <c r="I891" s="36"/>
      <c r="J891" s="36"/>
      <c r="K891" s="36"/>
      <c r="L891" s="36"/>
      <c r="M891" s="36"/>
      <c r="N891" s="36"/>
      <c r="P891" s="59"/>
      <c r="Q891" s="36"/>
      <c r="S891" s="36"/>
      <c r="T891" s="36"/>
      <c r="U891" s="36"/>
      <c r="AD891" s="36"/>
      <c r="AF891" s="36"/>
      <c r="AM891" s="40"/>
      <c r="AN891" s="40"/>
    </row>
    <row r="892" spans="8:40" x14ac:dyDescent="0.3">
      <c r="H892" s="40"/>
      <c r="I892" s="36"/>
      <c r="J892" s="36"/>
      <c r="K892" s="36"/>
      <c r="L892" s="36"/>
      <c r="M892" s="36"/>
      <c r="N892" s="36"/>
      <c r="P892" s="59"/>
      <c r="Q892" s="36"/>
      <c r="S892" s="36"/>
      <c r="T892" s="36"/>
      <c r="U892" s="36"/>
      <c r="AD892" s="36"/>
      <c r="AF892" s="36"/>
      <c r="AM892" s="40"/>
      <c r="AN892" s="40"/>
    </row>
    <row r="893" spans="8:40" x14ac:dyDescent="0.3">
      <c r="H893" s="40"/>
      <c r="I893" s="36"/>
      <c r="J893" s="36"/>
      <c r="K893" s="36"/>
      <c r="L893" s="36"/>
      <c r="M893" s="36"/>
      <c r="N893" s="36"/>
      <c r="P893" s="59"/>
      <c r="Q893" s="36"/>
      <c r="S893" s="36"/>
      <c r="T893" s="36"/>
      <c r="U893" s="36"/>
      <c r="AD893" s="36"/>
      <c r="AF893" s="36"/>
      <c r="AM893" s="40"/>
      <c r="AN893" s="40"/>
    </row>
    <row r="894" spans="8:40" x14ac:dyDescent="0.3">
      <c r="H894" s="40"/>
      <c r="I894" s="36"/>
      <c r="J894" s="36"/>
      <c r="K894" s="36"/>
      <c r="L894" s="36"/>
      <c r="M894" s="36"/>
      <c r="N894" s="36"/>
      <c r="P894" s="59"/>
      <c r="Q894" s="36"/>
      <c r="S894" s="36"/>
      <c r="T894" s="36"/>
      <c r="U894" s="36"/>
      <c r="AD894" s="36"/>
      <c r="AF894" s="36"/>
      <c r="AM894" s="40"/>
      <c r="AN894" s="40"/>
    </row>
    <row r="895" spans="8:40" x14ac:dyDescent="0.3">
      <c r="H895" s="40"/>
      <c r="I895" s="36"/>
      <c r="J895" s="36"/>
      <c r="K895" s="36"/>
      <c r="L895" s="36"/>
      <c r="M895" s="36"/>
      <c r="N895" s="36"/>
      <c r="P895" s="59"/>
      <c r="Q895" s="36"/>
      <c r="S895" s="36"/>
      <c r="T895" s="36"/>
      <c r="U895" s="36"/>
      <c r="AD895" s="36"/>
      <c r="AF895" s="36"/>
      <c r="AM895" s="40"/>
      <c r="AN895" s="40"/>
    </row>
    <row r="896" spans="8:40" x14ac:dyDescent="0.3">
      <c r="H896" s="40"/>
      <c r="I896" s="36"/>
      <c r="J896" s="36"/>
      <c r="K896" s="36"/>
      <c r="L896" s="36"/>
      <c r="M896" s="36"/>
      <c r="N896" s="36"/>
      <c r="P896" s="59"/>
      <c r="Q896" s="36"/>
      <c r="S896" s="36"/>
      <c r="T896" s="36"/>
      <c r="U896" s="36"/>
      <c r="AD896" s="36"/>
      <c r="AF896" s="36"/>
      <c r="AM896" s="40"/>
      <c r="AN896" s="40"/>
    </row>
    <row r="897" spans="8:40" x14ac:dyDescent="0.3">
      <c r="H897" s="40"/>
      <c r="I897" s="36"/>
      <c r="J897" s="36"/>
      <c r="K897" s="36"/>
      <c r="L897" s="36"/>
      <c r="M897" s="36"/>
      <c r="N897" s="36"/>
      <c r="P897" s="59"/>
      <c r="Q897" s="36"/>
      <c r="S897" s="36"/>
      <c r="T897" s="36"/>
      <c r="U897" s="36"/>
      <c r="AD897" s="36"/>
      <c r="AF897" s="36"/>
      <c r="AM897" s="40"/>
      <c r="AN897" s="40"/>
    </row>
    <row r="898" spans="8:40" x14ac:dyDescent="0.3">
      <c r="H898" s="40"/>
      <c r="I898" s="36"/>
      <c r="J898" s="36"/>
      <c r="K898" s="36"/>
      <c r="L898" s="36"/>
      <c r="M898" s="36"/>
      <c r="N898" s="36"/>
      <c r="P898" s="59"/>
      <c r="Q898" s="36"/>
      <c r="S898" s="36"/>
      <c r="T898" s="36"/>
      <c r="U898" s="36"/>
      <c r="AD898" s="36"/>
      <c r="AF898" s="36"/>
      <c r="AM898" s="40"/>
      <c r="AN898" s="40"/>
    </row>
    <row r="899" spans="8:40" x14ac:dyDescent="0.3">
      <c r="H899" s="40"/>
      <c r="I899" s="36"/>
      <c r="J899" s="36"/>
      <c r="K899" s="36"/>
      <c r="L899" s="36"/>
      <c r="M899" s="36"/>
      <c r="N899" s="36"/>
      <c r="P899" s="59"/>
      <c r="Q899" s="36"/>
      <c r="S899" s="36"/>
      <c r="T899" s="36"/>
      <c r="U899" s="36"/>
      <c r="AD899" s="36"/>
      <c r="AF899" s="36"/>
      <c r="AM899" s="40"/>
      <c r="AN899" s="40"/>
    </row>
    <row r="900" spans="8:40" x14ac:dyDescent="0.3">
      <c r="H900" s="40"/>
      <c r="I900" s="36"/>
      <c r="J900" s="36"/>
      <c r="K900" s="36"/>
      <c r="L900" s="36"/>
      <c r="M900" s="36"/>
      <c r="N900" s="36"/>
      <c r="P900" s="59"/>
      <c r="Q900" s="36"/>
      <c r="S900" s="36"/>
      <c r="T900" s="36"/>
      <c r="U900" s="36"/>
      <c r="AD900" s="36"/>
      <c r="AF900" s="36"/>
      <c r="AM900" s="40"/>
      <c r="AN900" s="40"/>
    </row>
    <row r="901" spans="8:40" x14ac:dyDescent="0.3">
      <c r="H901" s="40"/>
      <c r="I901" s="36"/>
      <c r="J901" s="36"/>
      <c r="K901" s="36"/>
      <c r="L901" s="36"/>
      <c r="M901" s="36"/>
      <c r="N901" s="36"/>
      <c r="P901" s="59"/>
      <c r="Q901" s="36"/>
      <c r="S901" s="36"/>
      <c r="T901" s="36"/>
      <c r="U901" s="36"/>
      <c r="AD901" s="36"/>
      <c r="AF901" s="36"/>
      <c r="AM901" s="40"/>
      <c r="AN901" s="40"/>
    </row>
    <row r="902" spans="8:40" x14ac:dyDescent="0.3">
      <c r="H902" s="40"/>
      <c r="I902" s="36"/>
      <c r="J902" s="36"/>
      <c r="K902" s="36"/>
      <c r="L902" s="36"/>
      <c r="M902" s="36"/>
      <c r="N902" s="36"/>
      <c r="P902" s="59"/>
      <c r="Q902" s="36"/>
      <c r="S902" s="36"/>
      <c r="T902" s="36"/>
      <c r="U902" s="36"/>
      <c r="AD902" s="36"/>
      <c r="AF902" s="36"/>
      <c r="AM902" s="40"/>
      <c r="AN902" s="40"/>
    </row>
    <row r="903" spans="8:40" x14ac:dyDescent="0.3">
      <c r="H903" s="40"/>
      <c r="I903" s="36"/>
      <c r="J903" s="36"/>
      <c r="K903" s="36"/>
      <c r="L903" s="36"/>
      <c r="M903" s="36"/>
      <c r="N903" s="36"/>
      <c r="P903" s="59"/>
      <c r="Q903" s="36"/>
      <c r="S903" s="36"/>
      <c r="T903" s="36"/>
      <c r="U903" s="36"/>
      <c r="AD903" s="36"/>
      <c r="AF903" s="36"/>
      <c r="AM903" s="40"/>
      <c r="AN903" s="40"/>
    </row>
    <row r="904" spans="8:40" x14ac:dyDescent="0.3">
      <c r="H904" s="40"/>
      <c r="I904" s="36"/>
      <c r="J904" s="36"/>
      <c r="K904" s="36"/>
      <c r="L904" s="36"/>
      <c r="M904" s="36"/>
      <c r="N904" s="36"/>
      <c r="P904" s="59"/>
      <c r="Q904" s="36"/>
      <c r="S904" s="36"/>
      <c r="T904" s="36"/>
      <c r="U904" s="36"/>
      <c r="AD904" s="36"/>
      <c r="AF904" s="36"/>
      <c r="AM904" s="40"/>
      <c r="AN904" s="40"/>
    </row>
    <row r="905" spans="8:40" x14ac:dyDescent="0.3">
      <c r="H905" s="40"/>
      <c r="I905" s="36"/>
      <c r="J905" s="36"/>
      <c r="K905" s="36"/>
      <c r="L905" s="36"/>
      <c r="M905" s="36"/>
      <c r="N905" s="36"/>
      <c r="P905" s="59"/>
      <c r="Q905" s="36"/>
      <c r="S905" s="36"/>
      <c r="T905" s="36"/>
      <c r="U905" s="36"/>
      <c r="AD905" s="36"/>
      <c r="AF905" s="36"/>
      <c r="AM905" s="40"/>
      <c r="AN905" s="40"/>
    </row>
    <row r="906" spans="8:40" x14ac:dyDescent="0.3">
      <c r="H906" s="40"/>
      <c r="I906" s="36"/>
      <c r="J906" s="36"/>
      <c r="K906" s="36"/>
      <c r="L906" s="36"/>
      <c r="M906" s="36"/>
      <c r="N906" s="36"/>
      <c r="P906" s="59"/>
      <c r="Q906" s="36"/>
      <c r="S906" s="36"/>
      <c r="T906" s="36"/>
      <c r="U906" s="36"/>
      <c r="AD906" s="36"/>
      <c r="AF906" s="36"/>
      <c r="AM906" s="40"/>
      <c r="AN906" s="40"/>
    </row>
    <row r="907" spans="8:40" x14ac:dyDescent="0.3">
      <c r="H907" s="40"/>
      <c r="I907" s="36"/>
      <c r="J907" s="36"/>
      <c r="K907" s="36"/>
      <c r="L907" s="36"/>
      <c r="M907" s="36"/>
      <c r="N907" s="36"/>
      <c r="P907" s="59"/>
      <c r="Q907" s="36"/>
      <c r="S907" s="36"/>
      <c r="T907" s="36"/>
      <c r="U907" s="36"/>
      <c r="AD907" s="36"/>
      <c r="AF907" s="36"/>
      <c r="AM907" s="40"/>
      <c r="AN907" s="40"/>
    </row>
    <row r="908" spans="8:40" x14ac:dyDescent="0.3">
      <c r="H908" s="40"/>
      <c r="I908" s="36"/>
      <c r="J908" s="36"/>
      <c r="K908" s="36"/>
      <c r="L908" s="36"/>
      <c r="M908" s="36"/>
      <c r="N908" s="36"/>
      <c r="P908" s="59"/>
      <c r="Q908" s="36"/>
      <c r="S908" s="36"/>
      <c r="T908" s="36"/>
      <c r="U908" s="36"/>
      <c r="AD908" s="36"/>
      <c r="AF908" s="36"/>
      <c r="AM908" s="40"/>
      <c r="AN908" s="40"/>
    </row>
    <row r="909" spans="8:40" x14ac:dyDescent="0.3">
      <c r="H909" s="40"/>
      <c r="I909" s="36"/>
      <c r="J909" s="36"/>
      <c r="K909" s="36"/>
      <c r="L909" s="36"/>
      <c r="M909" s="36"/>
      <c r="N909" s="36"/>
      <c r="P909" s="59"/>
      <c r="Q909" s="36"/>
      <c r="S909" s="36"/>
      <c r="T909" s="36"/>
      <c r="U909" s="36"/>
      <c r="AD909" s="36"/>
      <c r="AF909" s="36"/>
      <c r="AM909" s="40"/>
      <c r="AN909" s="40"/>
    </row>
    <row r="910" spans="8:40" x14ac:dyDescent="0.3">
      <c r="H910" s="40"/>
      <c r="I910" s="36"/>
      <c r="J910" s="36"/>
      <c r="K910" s="36"/>
      <c r="L910" s="36"/>
      <c r="M910" s="36"/>
      <c r="N910" s="36"/>
      <c r="P910" s="59"/>
      <c r="Q910" s="36"/>
      <c r="S910" s="36"/>
      <c r="T910" s="36"/>
      <c r="U910" s="36"/>
      <c r="AD910" s="36"/>
      <c r="AF910" s="36"/>
      <c r="AM910" s="40"/>
      <c r="AN910" s="40"/>
    </row>
    <row r="911" spans="8:40" x14ac:dyDescent="0.3">
      <c r="H911" s="40"/>
      <c r="I911" s="36"/>
      <c r="J911" s="36"/>
      <c r="K911" s="36"/>
      <c r="L911" s="36"/>
      <c r="M911" s="36"/>
      <c r="N911" s="36"/>
      <c r="P911" s="59"/>
      <c r="Q911" s="36"/>
      <c r="S911" s="36"/>
      <c r="T911" s="36"/>
      <c r="U911" s="36"/>
      <c r="AD911" s="36"/>
      <c r="AF911" s="36"/>
      <c r="AM911" s="40"/>
      <c r="AN911" s="40"/>
    </row>
    <row r="912" spans="8:40" x14ac:dyDescent="0.3">
      <c r="H912" s="40"/>
      <c r="I912" s="36"/>
      <c r="J912" s="36"/>
      <c r="K912" s="36"/>
      <c r="L912" s="36"/>
      <c r="M912" s="36"/>
      <c r="N912" s="36"/>
      <c r="P912" s="59"/>
      <c r="Q912" s="36"/>
      <c r="S912" s="36"/>
      <c r="T912" s="36"/>
      <c r="U912" s="36"/>
      <c r="AD912" s="36"/>
      <c r="AF912" s="36"/>
      <c r="AM912" s="40"/>
      <c r="AN912" s="40"/>
    </row>
    <row r="913" spans="8:40" x14ac:dyDescent="0.3">
      <c r="H913" s="40"/>
      <c r="I913" s="36"/>
      <c r="J913" s="36"/>
      <c r="K913" s="36"/>
      <c r="L913" s="36"/>
      <c r="M913" s="36"/>
      <c r="N913" s="36"/>
      <c r="P913" s="59"/>
      <c r="Q913" s="36"/>
      <c r="S913" s="36"/>
      <c r="T913" s="36"/>
      <c r="U913" s="36"/>
      <c r="AD913" s="36"/>
      <c r="AF913" s="36"/>
      <c r="AM913" s="40"/>
      <c r="AN913" s="40"/>
    </row>
    <row r="914" spans="8:40" x14ac:dyDescent="0.3">
      <c r="H914" s="40"/>
      <c r="I914" s="36"/>
      <c r="J914" s="36"/>
      <c r="K914" s="36"/>
      <c r="L914" s="36"/>
      <c r="M914" s="36"/>
      <c r="N914" s="36"/>
      <c r="P914" s="59"/>
      <c r="Q914" s="36"/>
      <c r="S914" s="36"/>
      <c r="T914" s="36"/>
      <c r="U914" s="36"/>
      <c r="AD914" s="36"/>
      <c r="AF914" s="36"/>
      <c r="AM914" s="40"/>
      <c r="AN914" s="40"/>
    </row>
    <row r="915" spans="8:40" x14ac:dyDescent="0.3">
      <c r="H915" s="40"/>
      <c r="I915" s="36"/>
      <c r="J915" s="36"/>
      <c r="K915" s="36"/>
      <c r="L915" s="36"/>
      <c r="M915" s="36"/>
      <c r="N915" s="36"/>
      <c r="P915" s="59"/>
      <c r="Q915" s="36"/>
      <c r="S915" s="36"/>
      <c r="T915" s="36"/>
      <c r="U915" s="36"/>
      <c r="AD915" s="36"/>
      <c r="AF915" s="36"/>
      <c r="AM915" s="40"/>
      <c r="AN915" s="40"/>
    </row>
    <row r="916" spans="8:40" x14ac:dyDescent="0.3">
      <c r="H916" s="40"/>
      <c r="I916" s="36"/>
      <c r="J916" s="36"/>
      <c r="K916" s="36"/>
      <c r="L916" s="36"/>
      <c r="M916" s="36"/>
      <c r="N916" s="36"/>
      <c r="P916" s="59"/>
      <c r="Q916" s="36"/>
      <c r="S916" s="36"/>
      <c r="T916" s="36"/>
      <c r="U916" s="36"/>
      <c r="AD916" s="36"/>
      <c r="AF916" s="36"/>
      <c r="AM916" s="40"/>
      <c r="AN916" s="40"/>
    </row>
    <row r="917" spans="8:40" x14ac:dyDescent="0.3">
      <c r="H917" s="40"/>
      <c r="I917" s="36"/>
      <c r="J917" s="36"/>
      <c r="K917" s="36"/>
      <c r="L917" s="36"/>
      <c r="M917" s="36"/>
      <c r="N917" s="36"/>
      <c r="P917" s="59"/>
      <c r="Q917" s="36"/>
      <c r="S917" s="36"/>
      <c r="T917" s="36"/>
      <c r="U917" s="36"/>
      <c r="AD917" s="36"/>
      <c r="AF917" s="36"/>
      <c r="AM917" s="40"/>
      <c r="AN917" s="40"/>
    </row>
    <row r="918" spans="8:40" x14ac:dyDescent="0.3">
      <c r="H918" s="40"/>
      <c r="I918" s="36"/>
      <c r="J918" s="36"/>
      <c r="K918" s="36"/>
      <c r="L918" s="36"/>
      <c r="M918" s="36"/>
      <c r="N918" s="36"/>
      <c r="P918" s="59"/>
      <c r="Q918" s="36"/>
      <c r="S918" s="36"/>
      <c r="T918" s="36"/>
      <c r="U918" s="36"/>
      <c r="AD918" s="36"/>
      <c r="AF918" s="36"/>
      <c r="AM918" s="40"/>
      <c r="AN918" s="40"/>
    </row>
    <row r="919" spans="8:40" x14ac:dyDescent="0.3">
      <c r="H919" s="40"/>
      <c r="I919" s="36"/>
      <c r="J919" s="36"/>
      <c r="K919" s="36"/>
      <c r="L919" s="36"/>
      <c r="M919" s="36"/>
      <c r="N919" s="36"/>
      <c r="P919" s="59"/>
      <c r="Q919" s="36"/>
      <c r="S919" s="36"/>
      <c r="T919" s="36"/>
      <c r="U919" s="36"/>
      <c r="AD919" s="36"/>
      <c r="AF919" s="36"/>
      <c r="AM919" s="40"/>
      <c r="AN919" s="40"/>
    </row>
    <row r="920" spans="8:40" x14ac:dyDescent="0.3">
      <c r="H920" s="40"/>
      <c r="I920" s="36"/>
      <c r="J920" s="36"/>
      <c r="K920" s="36"/>
      <c r="L920" s="36"/>
      <c r="M920" s="36"/>
      <c r="N920" s="36"/>
      <c r="P920" s="59"/>
      <c r="Q920" s="36"/>
      <c r="S920" s="36"/>
      <c r="T920" s="36"/>
      <c r="U920" s="36"/>
      <c r="AD920" s="36"/>
      <c r="AF920" s="36"/>
      <c r="AM920" s="40"/>
      <c r="AN920" s="40"/>
    </row>
    <row r="921" spans="8:40" x14ac:dyDescent="0.3">
      <c r="H921" s="40"/>
      <c r="I921" s="36"/>
      <c r="J921" s="36"/>
      <c r="K921" s="36"/>
      <c r="L921" s="36"/>
      <c r="M921" s="36"/>
      <c r="N921" s="36"/>
      <c r="P921" s="59"/>
      <c r="Q921" s="36"/>
      <c r="S921" s="36"/>
      <c r="T921" s="36"/>
      <c r="U921" s="36"/>
      <c r="AD921" s="36"/>
      <c r="AF921" s="36"/>
      <c r="AM921" s="40"/>
      <c r="AN921" s="40"/>
    </row>
    <row r="922" spans="8:40" x14ac:dyDescent="0.3">
      <c r="H922" s="40"/>
      <c r="I922" s="36"/>
      <c r="J922" s="36"/>
      <c r="K922" s="36"/>
      <c r="L922" s="36"/>
      <c r="M922" s="36"/>
      <c r="N922" s="36"/>
      <c r="P922" s="59"/>
      <c r="Q922" s="36"/>
      <c r="S922" s="36"/>
      <c r="T922" s="36"/>
      <c r="U922" s="36"/>
      <c r="AD922" s="36"/>
      <c r="AF922" s="36"/>
      <c r="AM922" s="40"/>
      <c r="AN922" s="40"/>
    </row>
    <row r="923" spans="8:40" x14ac:dyDescent="0.3">
      <c r="H923" s="40"/>
      <c r="I923" s="36"/>
      <c r="J923" s="36"/>
      <c r="K923" s="36"/>
      <c r="L923" s="36"/>
      <c r="M923" s="36"/>
      <c r="N923" s="36"/>
      <c r="P923" s="59"/>
      <c r="Q923" s="36"/>
      <c r="S923" s="36"/>
      <c r="T923" s="36"/>
      <c r="U923" s="36"/>
      <c r="AD923" s="36"/>
      <c r="AF923" s="36"/>
      <c r="AM923" s="40"/>
      <c r="AN923" s="40"/>
    </row>
    <row r="924" spans="8:40" x14ac:dyDescent="0.3">
      <c r="H924" s="40"/>
      <c r="I924" s="36"/>
      <c r="J924" s="36"/>
      <c r="K924" s="36"/>
      <c r="L924" s="36"/>
      <c r="M924" s="36"/>
      <c r="N924" s="36"/>
      <c r="P924" s="59"/>
      <c r="Q924" s="36"/>
      <c r="S924" s="36"/>
      <c r="T924" s="36"/>
      <c r="U924" s="36"/>
      <c r="AD924" s="36"/>
      <c r="AF924" s="36"/>
      <c r="AM924" s="40"/>
      <c r="AN924" s="40"/>
    </row>
    <row r="925" spans="8:40" x14ac:dyDescent="0.3">
      <c r="H925" s="40"/>
      <c r="I925" s="36"/>
      <c r="J925" s="36"/>
      <c r="K925" s="36"/>
      <c r="L925" s="36"/>
      <c r="M925" s="36"/>
      <c r="N925" s="36"/>
      <c r="P925" s="59"/>
      <c r="Q925" s="36"/>
      <c r="S925" s="36"/>
      <c r="T925" s="36"/>
      <c r="U925" s="36"/>
      <c r="AD925" s="36"/>
      <c r="AF925" s="36"/>
      <c r="AM925" s="40"/>
      <c r="AN925" s="40"/>
    </row>
    <row r="926" spans="8:40" x14ac:dyDescent="0.3">
      <c r="H926" s="40"/>
      <c r="I926" s="36"/>
      <c r="J926" s="36"/>
      <c r="K926" s="36"/>
      <c r="L926" s="36"/>
      <c r="M926" s="36"/>
      <c r="N926" s="36"/>
      <c r="P926" s="59"/>
      <c r="Q926" s="36"/>
      <c r="S926" s="36"/>
      <c r="T926" s="36"/>
      <c r="U926" s="36"/>
      <c r="AD926" s="36"/>
      <c r="AF926" s="36"/>
      <c r="AM926" s="40"/>
      <c r="AN926" s="40"/>
    </row>
    <row r="927" spans="8:40" x14ac:dyDescent="0.3">
      <c r="H927" s="40"/>
      <c r="I927" s="36"/>
      <c r="J927" s="36"/>
      <c r="K927" s="36"/>
      <c r="L927" s="36"/>
      <c r="M927" s="36"/>
      <c r="N927" s="36"/>
      <c r="P927" s="59"/>
      <c r="Q927" s="36"/>
      <c r="S927" s="36"/>
      <c r="T927" s="36"/>
      <c r="U927" s="36"/>
      <c r="AD927" s="36"/>
      <c r="AF927" s="36"/>
      <c r="AM927" s="40"/>
      <c r="AN927" s="40"/>
    </row>
    <row r="928" spans="8:40" x14ac:dyDescent="0.3">
      <c r="H928" s="40"/>
      <c r="I928" s="36"/>
      <c r="J928" s="36"/>
      <c r="K928" s="36"/>
      <c r="L928" s="36"/>
      <c r="M928" s="36"/>
      <c r="N928" s="36"/>
      <c r="P928" s="59"/>
      <c r="Q928" s="36"/>
      <c r="S928" s="36"/>
      <c r="T928" s="36"/>
      <c r="U928" s="36"/>
      <c r="AD928" s="36"/>
      <c r="AF928" s="36"/>
      <c r="AM928" s="40"/>
      <c r="AN928" s="40"/>
    </row>
    <row r="929" spans="8:40" x14ac:dyDescent="0.3">
      <c r="H929" s="40"/>
      <c r="I929" s="36"/>
      <c r="J929" s="36"/>
      <c r="K929" s="36"/>
      <c r="L929" s="36"/>
      <c r="M929" s="36"/>
      <c r="N929" s="36"/>
      <c r="P929" s="59"/>
      <c r="Q929" s="36"/>
      <c r="S929" s="36"/>
      <c r="T929" s="36"/>
      <c r="U929" s="36"/>
      <c r="AF929" s="36"/>
      <c r="AM929" s="40"/>
      <c r="AN929" s="40"/>
    </row>
    <row r="930" spans="8:40" x14ac:dyDescent="0.3">
      <c r="H930" s="40"/>
      <c r="I930" s="36"/>
      <c r="J930" s="36"/>
      <c r="K930" s="36"/>
      <c r="L930" s="36"/>
      <c r="M930" s="36"/>
      <c r="N930" s="36"/>
      <c r="P930" s="59"/>
      <c r="Q930" s="36"/>
      <c r="S930" s="36"/>
      <c r="T930" s="36"/>
      <c r="U930" s="36"/>
      <c r="AF930" s="36"/>
      <c r="AM930" s="40"/>
      <c r="AN930" s="40"/>
    </row>
    <row r="931" spans="8:40" x14ac:dyDescent="0.3">
      <c r="H931" s="40"/>
      <c r="I931" s="36"/>
      <c r="J931" s="36"/>
      <c r="K931" s="36"/>
      <c r="L931" s="36"/>
      <c r="M931" s="36"/>
      <c r="N931" s="36"/>
      <c r="P931" s="59"/>
      <c r="Q931" s="36"/>
      <c r="S931" s="36"/>
      <c r="T931" s="36"/>
      <c r="U931" s="36"/>
      <c r="AF931" s="36"/>
      <c r="AM931" s="40"/>
      <c r="AN931" s="40"/>
    </row>
    <row r="932" spans="8:40" x14ac:dyDescent="0.3">
      <c r="H932" s="40"/>
      <c r="I932" s="36"/>
      <c r="J932" s="36"/>
      <c r="K932" s="36"/>
      <c r="L932" s="36"/>
      <c r="M932" s="36"/>
      <c r="N932" s="36"/>
      <c r="P932" s="59"/>
      <c r="Q932" s="36"/>
      <c r="S932" s="36"/>
      <c r="T932" s="36"/>
      <c r="U932" s="36"/>
      <c r="AF932" s="36"/>
      <c r="AM932" s="40"/>
      <c r="AN932" s="40"/>
    </row>
    <row r="933" spans="8:40" x14ac:dyDescent="0.3">
      <c r="H933" s="40"/>
      <c r="I933" s="36"/>
      <c r="J933" s="36"/>
      <c r="K933" s="36"/>
      <c r="L933" s="36"/>
      <c r="M933" s="36"/>
      <c r="N933" s="36"/>
      <c r="P933" s="59"/>
      <c r="Q933" s="36"/>
      <c r="S933" s="36"/>
      <c r="T933" s="36"/>
      <c r="U933" s="36"/>
      <c r="AF933" s="36"/>
      <c r="AM933" s="40"/>
      <c r="AN933" s="40"/>
    </row>
    <row r="934" spans="8:40" x14ac:dyDescent="0.3">
      <c r="H934" s="40"/>
      <c r="I934" s="36"/>
      <c r="J934" s="36"/>
      <c r="K934" s="36"/>
      <c r="L934" s="36"/>
      <c r="M934" s="36"/>
      <c r="N934" s="36"/>
      <c r="P934" s="59"/>
      <c r="Q934" s="36"/>
      <c r="S934" s="36"/>
      <c r="T934" s="36"/>
      <c r="U934" s="36"/>
      <c r="AF934" s="36"/>
      <c r="AM934" s="40"/>
      <c r="AN934" s="40"/>
    </row>
    <row r="935" spans="8:40" x14ac:dyDescent="0.3">
      <c r="H935" s="40"/>
      <c r="I935" s="36"/>
      <c r="J935" s="36"/>
      <c r="K935" s="36"/>
      <c r="L935" s="36"/>
      <c r="M935" s="36"/>
      <c r="N935" s="36"/>
      <c r="P935" s="59"/>
      <c r="Q935" s="36"/>
      <c r="S935" s="36"/>
      <c r="T935" s="36"/>
      <c r="U935" s="36"/>
      <c r="AF935" s="36"/>
      <c r="AM935" s="40"/>
      <c r="AN935" s="40"/>
    </row>
    <row r="936" spans="8:40" x14ac:dyDescent="0.3">
      <c r="H936" s="40"/>
      <c r="I936" s="36"/>
      <c r="J936" s="36"/>
      <c r="K936" s="36"/>
      <c r="L936" s="36"/>
      <c r="M936" s="36"/>
      <c r="N936" s="36"/>
      <c r="P936" s="59"/>
      <c r="Q936" s="36"/>
      <c r="S936" s="36"/>
      <c r="T936" s="36"/>
      <c r="U936" s="36"/>
      <c r="AF936" s="36"/>
      <c r="AM936" s="40"/>
      <c r="AN936" s="40"/>
    </row>
    <row r="937" spans="8:40" x14ac:dyDescent="0.3">
      <c r="H937" s="40"/>
      <c r="I937" s="36"/>
      <c r="J937" s="36"/>
      <c r="K937" s="36"/>
      <c r="L937" s="36"/>
      <c r="M937" s="36"/>
      <c r="N937" s="36"/>
      <c r="P937" s="59"/>
      <c r="Q937" s="36"/>
      <c r="S937" s="36"/>
      <c r="T937" s="36"/>
      <c r="U937" s="36"/>
      <c r="AF937" s="36"/>
      <c r="AM937" s="40"/>
      <c r="AN937" s="40"/>
    </row>
    <row r="938" spans="8:40" x14ac:dyDescent="0.3">
      <c r="H938" s="40"/>
      <c r="I938" s="36"/>
      <c r="J938" s="36"/>
      <c r="K938" s="36"/>
      <c r="L938" s="36"/>
      <c r="M938" s="36"/>
      <c r="N938" s="36"/>
      <c r="P938" s="59"/>
      <c r="Q938" s="36"/>
      <c r="S938" s="36"/>
      <c r="T938" s="36"/>
      <c r="U938" s="36"/>
      <c r="AF938" s="36"/>
      <c r="AM938" s="40"/>
      <c r="AN938" s="40"/>
    </row>
    <row r="939" spans="8:40" x14ac:dyDescent="0.3">
      <c r="H939" s="40"/>
      <c r="I939" s="36"/>
      <c r="J939" s="36"/>
      <c r="K939" s="36"/>
      <c r="L939" s="36"/>
      <c r="M939" s="36"/>
      <c r="N939" s="36"/>
      <c r="P939" s="59"/>
      <c r="Q939" s="36"/>
      <c r="S939" s="36"/>
      <c r="T939" s="36"/>
      <c r="U939" s="36"/>
      <c r="AF939" s="36"/>
      <c r="AM939" s="40"/>
      <c r="AN939" s="40"/>
    </row>
    <row r="940" spans="8:40" x14ac:dyDescent="0.3">
      <c r="H940" s="40"/>
      <c r="I940" s="36"/>
      <c r="J940" s="36"/>
      <c r="K940" s="36"/>
      <c r="L940" s="36"/>
      <c r="M940" s="36"/>
      <c r="N940" s="36"/>
      <c r="P940" s="59"/>
      <c r="Q940" s="36"/>
      <c r="S940" s="36"/>
      <c r="T940" s="36"/>
      <c r="U940" s="36"/>
      <c r="AF940" s="36"/>
      <c r="AM940" s="40"/>
      <c r="AN940" s="40"/>
    </row>
    <row r="941" spans="8:40" x14ac:dyDescent="0.3">
      <c r="H941" s="40"/>
      <c r="I941" s="36"/>
      <c r="J941" s="36"/>
      <c r="K941" s="36"/>
      <c r="L941" s="36"/>
      <c r="M941" s="36"/>
      <c r="N941" s="36"/>
      <c r="P941" s="59"/>
      <c r="Q941" s="36"/>
      <c r="S941" s="36"/>
      <c r="T941" s="36"/>
      <c r="U941" s="36"/>
      <c r="AF941" s="36"/>
      <c r="AM941" s="40"/>
      <c r="AN941" s="40"/>
    </row>
    <row r="942" spans="8:40" x14ac:dyDescent="0.3">
      <c r="H942" s="40"/>
      <c r="I942" s="36"/>
      <c r="J942" s="36"/>
      <c r="K942" s="36"/>
      <c r="L942" s="36"/>
      <c r="M942" s="36"/>
      <c r="N942" s="36"/>
      <c r="P942" s="59"/>
      <c r="Q942" s="36"/>
      <c r="S942" s="36"/>
      <c r="T942" s="36"/>
      <c r="U942" s="36"/>
      <c r="AF942" s="36"/>
      <c r="AM942" s="40"/>
      <c r="AN942" s="40"/>
    </row>
    <row r="943" spans="8:40" x14ac:dyDescent="0.3">
      <c r="H943" s="40"/>
      <c r="I943" s="36"/>
      <c r="J943" s="36"/>
      <c r="K943" s="36"/>
      <c r="L943" s="36"/>
      <c r="M943" s="36"/>
      <c r="N943" s="36"/>
      <c r="P943" s="59"/>
      <c r="Q943" s="36"/>
      <c r="S943" s="36"/>
      <c r="T943" s="36"/>
      <c r="U943" s="36"/>
      <c r="AF943" s="36"/>
      <c r="AM943" s="40"/>
      <c r="AN943" s="40"/>
    </row>
    <row r="944" spans="8:40" x14ac:dyDescent="0.3">
      <c r="H944" s="40"/>
      <c r="I944" s="36"/>
      <c r="J944" s="36"/>
      <c r="K944" s="36"/>
      <c r="L944" s="36"/>
      <c r="M944" s="36"/>
      <c r="N944" s="36"/>
      <c r="P944" s="59"/>
      <c r="Q944" s="36"/>
      <c r="S944" s="36"/>
      <c r="T944" s="36"/>
      <c r="U944" s="36"/>
      <c r="AF944" s="36"/>
      <c r="AM944" s="40"/>
      <c r="AN944" s="40"/>
    </row>
    <row r="945" spans="8:40" x14ac:dyDescent="0.3">
      <c r="H945" s="40"/>
      <c r="I945" s="36"/>
      <c r="J945" s="36"/>
      <c r="K945" s="36"/>
      <c r="L945" s="36"/>
      <c r="M945" s="36"/>
      <c r="N945" s="36"/>
      <c r="P945" s="59"/>
      <c r="Q945" s="36"/>
      <c r="S945" s="36"/>
      <c r="T945" s="36"/>
      <c r="U945" s="36"/>
      <c r="AF945" s="36"/>
      <c r="AM945" s="40"/>
      <c r="AN945" s="40"/>
    </row>
    <row r="946" spans="8:40" x14ac:dyDescent="0.3">
      <c r="H946" s="40"/>
      <c r="I946" s="36"/>
      <c r="J946" s="36"/>
      <c r="K946" s="36"/>
      <c r="L946" s="36"/>
      <c r="M946" s="36"/>
      <c r="N946" s="36"/>
      <c r="P946" s="59"/>
      <c r="Q946" s="36"/>
      <c r="S946" s="36"/>
      <c r="T946" s="36"/>
      <c r="U946" s="36"/>
      <c r="AF946" s="36"/>
      <c r="AM946" s="40"/>
      <c r="AN946" s="40"/>
    </row>
    <row r="947" spans="8:40" x14ac:dyDescent="0.3">
      <c r="H947" s="40"/>
      <c r="I947" s="36"/>
      <c r="J947" s="36"/>
      <c r="K947" s="36"/>
      <c r="L947" s="36"/>
      <c r="M947" s="36"/>
      <c r="N947" s="36"/>
      <c r="P947" s="59"/>
      <c r="Q947" s="36"/>
      <c r="S947" s="36"/>
      <c r="T947" s="36"/>
      <c r="U947" s="36"/>
      <c r="AF947" s="36"/>
      <c r="AM947" s="40"/>
      <c r="AN947" s="40"/>
    </row>
    <row r="948" spans="8:40" x14ac:dyDescent="0.3">
      <c r="H948" s="40"/>
      <c r="I948" s="36"/>
      <c r="J948" s="36"/>
      <c r="K948" s="36"/>
      <c r="L948" s="36"/>
      <c r="M948" s="36"/>
      <c r="N948" s="36"/>
      <c r="P948" s="59"/>
      <c r="Q948" s="36"/>
      <c r="S948" s="36"/>
      <c r="T948" s="36"/>
      <c r="U948" s="36"/>
      <c r="AF948" s="36"/>
      <c r="AM948" s="40"/>
      <c r="AN948" s="40"/>
    </row>
    <row r="949" spans="8:40" x14ac:dyDescent="0.3">
      <c r="H949" s="40"/>
      <c r="I949" s="36"/>
      <c r="J949" s="36"/>
      <c r="K949" s="36"/>
      <c r="L949" s="36"/>
      <c r="M949" s="36"/>
      <c r="N949" s="36"/>
      <c r="P949" s="59"/>
      <c r="Q949" s="36"/>
      <c r="S949" s="36"/>
      <c r="T949" s="36"/>
      <c r="U949" s="36"/>
      <c r="AF949" s="36"/>
      <c r="AM949" s="40"/>
      <c r="AN949" s="40"/>
    </row>
    <row r="950" spans="8:40" x14ac:dyDescent="0.3">
      <c r="H950" s="40"/>
      <c r="I950" s="36"/>
      <c r="J950" s="36"/>
      <c r="K950" s="36"/>
      <c r="L950" s="36"/>
      <c r="M950" s="36"/>
      <c r="N950" s="36"/>
      <c r="P950" s="59"/>
      <c r="Q950" s="36"/>
      <c r="S950" s="36"/>
      <c r="T950" s="36"/>
      <c r="U950" s="36"/>
      <c r="AF950" s="36"/>
      <c r="AM950" s="40"/>
      <c r="AN950" s="40"/>
    </row>
    <row r="951" spans="8:40" x14ac:dyDescent="0.3">
      <c r="H951" s="40"/>
      <c r="I951" s="36"/>
      <c r="J951" s="36"/>
      <c r="K951" s="36"/>
      <c r="L951" s="36"/>
      <c r="M951" s="36"/>
      <c r="N951" s="36"/>
      <c r="P951" s="59"/>
      <c r="Q951" s="36"/>
      <c r="S951" s="36"/>
      <c r="T951" s="36"/>
      <c r="U951" s="36"/>
      <c r="AF951" s="36"/>
      <c r="AM951" s="40"/>
      <c r="AN951" s="40"/>
    </row>
    <row r="952" spans="8:40" x14ac:dyDescent="0.3">
      <c r="H952" s="40"/>
      <c r="I952" s="36"/>
      <c r="J952" s="36"/>
      <c r="K952" s="36"/>
      <c r="L952" s="36"/>
      <c r="M952" s="36"/>
      <c r="N952" s="36"/>
      <c r="P952" s="59"/>
      <c r="Q952" s="36"/>
      <c r="S952" s="36"/>
      <c r="T952" s="36"/>
      <c r="U952" s="36"/>
      <c r="AF952" s="36"/>
      <c r="AM952" s="40"/>
      <c r="AN952" s="40"/>
    </row>
    <row r="953" spans="8:40" x14ac:dyDescent="0.3">
      <c r="H953" s="40"/>
      <c r="I953" s="36"/>
      <c r="J953" s="36"/>
      <c r="K953" s="36"/>
      <c r="L953" s="36"/>
      <c r="M953" s="36"/>
      <c r="N953" s="36"/>
      <c r="P953" s="59"/>
      <c r="Q953" s="36"/>
      <c r="S953" s="36"/>
      <c r="T953" s="36"/>
      <c r="U953" s="36"/>
      <c r="AF953" s="36"/>
      <c r="AM953" s="40"/>
      <c r="AN953" s="40"/>
    </row>
    <row r="954" spans="8:40" x14ac:dyDescent="0.3">
      <c r="H954" s="40"/>
      <c r="I954" s="36"/>
      <c r="J954" s="36"/>
      <c r="K954" s="36"/>
      <c r="L954" s="36"/>
      <c r="M954" s="36"/>
      <c r="N954" s="36"/>
      <c r="P954" s="59"/>
      <c r="Q954" s="36"/>
      <c r="S954" s="36"/>
      <c r="T954" s="36"/>
      <c r="U954" s="36"/>
      <c r="AF954" s="36"/>
      <c r="AM954" s="40"/>
      <c r="AN954" s="40"/>
    </row>
    <row r="955" spans="8:40" x14ac:dyDescent="0.3">
      <c r="H955" s="40"/>
      <c r="I955" s="36"/>
      <c r="J955" s="36"/>
      <c r="K955" s="36"/>
      <c r="L955" s="36"/>
      <c r="M955" s="36"/>
      <c r="N955" s="36"/>
      <c r="P955" s="59"/>
      <c r="Q955" s="36"/>
      <c r="S955" s="36"/>
      <c r="T955" s="36"/>
      <c r="U955" s="36"/>
      <c r="AF955" s="36"/>
      <c r="AM955" s="40"/>
      <c r="AN955" s="40"/>
    </row>
    <row r="956" spans="8:40" x14ac:dyDescent="0.3">
      <c r="H956" s="40"/>
      <c r="I956" s="36"/>
      <c r="J956" s="36"/>
      <c r="K956" s="36"/>
      <c r="L956" s="36"/>
      <c r="M956" s="36"/>
      <c r="N956" s="36"/>
      <c r="P956" s="59"/>
      <c r="Q956" s="36"/>
      <c r="S956" s="36"/>
      <c r="T956" s="36"/>
      <c r="U956" s="36"/>
      <c r="AF956" s="36"/>
      <c r="AM956" s="40"/>
      <c r="AN956" s="40"/>
    </row>
    <row r="957" spans="8:40" x14ac:dyDescent="0.3">
      <c r="H957" s="40"/>
      <c r="I957" s="36"/>
      <c r="J957" s="36"/>
      <c r="K957" s="36"/>
      <c r="L957" s="36"/>
      <c r="M957" s="36"/>
      <c r="N957" s="36"/>
      <c r="P957" s="59"/>
      <c r="Q957" s="36"/>
      <c r="S957" s="36"/>
      <c r="T957" s="36"/>
      <c r="U957" s="36"/>
      <c r="AF957" s="36"/>
      <c r="AM957" s="40"/>
      <c r="AN957" s="40"/>
    </row>
    <row r="958" spans="8:40" x14ac:dyDescent="0.3">
      <c r="H958" s="40"/>
      <c r="I958" s="36"/>
      <c r="J958" s="36"/>
      <c r="K958" s="36"/>
      <c r="L958" s="36"/>
      <c r="M958" s="36"/>
      <c r="N958" s="36"/>
      <c r="P958" s="59"/>
      <c r="Q958" s="36"/>
      <c r="S958" s="36"/>
      <c r="T958" s="36"/>
      <c r="U958" s="36"/>
      <c r="AF958" s="36"/>
      <c r="AM958" s="40"/>
      <c r="AN958" s="40"/>
    </row>
    <row r="959" spans="8:40" x14ac:dyDescent="0.3">
      <c r="H959" s="40"/>
      <c r="I959" s="36"/>
      <c r="J959" s="36"/>
      <c r="K959" s="36"/>
      <c r="L959" s="36"/>
      <c r="M959" s="36"/>
      <c r="N959" s="36"/>
      <c r="P959" s="59"/>
      <c r="Q959" s="36"/>
      <c r="S959" s="36"/>
      <c r="T959" s="36"/>
      <c r="U959" s="36"/>
      <c r="AF959" s="36"/>
      <c r="AM959" s="40"/>
      <c r="AN959" s="40"/>
    </row>
    <row r="960" spans="8:40" x14ac:dyDescent="0.3">
      <c r="H960" s="40"/>
      <c r="I960" s="36"/>
      <c r="J960" s="36"/>
      <c r="K960" s="36"/>
      <c r="L960" s="36"/>
      <c r="M960" s="36"/>
      <c r="N960" s="36"/>
      <c r="P960" s="59"/>
      <c r="Q960" s="36"/>
      <c r="S960" s="36"/>
      <c r="T960" s="36"/>
      <c r="U960" s="36"/>
      <c r="AF960" s="36"/>
      <c r="AM960" s="40"/>
      <c r="AN960" s="40"/>
    </row>
    <row r="961" spans="8:40" x14ac:dyDescent="0.3">
      <c r="H961" s="40"/>
      <c r="I961" s="36"/>
      <c r="J961" s="36"/>
      <c r="K961" s="36"/>
      <c r="L961" s="36"/>
      <c r="M961" s="36"/>
      <c r="N961" s="36"/>
      <c r="P961" s="59"/>
      <c r="Q961" s="36"/>
      <c r="S961" s="36"/>
      <c r="T961" s="36"/>
      <c r="U961" s="36"/>
      <c r="AF961" s="36"/>
      <c r="AM961" s="40"/>
      <c r="AN961" s="40"/>
    </row>
    <row r="962" spans="8:40" x14ac:dyDescent="0.3">
      <c r="H962" s="40"/>
      <c r="I962" s="36"/>
      <c r="J962" s="36"/>
      <c r="K962" s="36"/>
      <c r="L962" s="36"/>
      <c r="M962" s="36"/>
      <c r="N962" s="36"/>
      <c r="P962" s="59"/>
      <c r="Q962" s="36"/>
      <c r="S962" s="36"/>
      <c r="T962" s="36"/>
      <c r="U962" s="36"/>
      <c r="AF962" s="36"/>
      <c r="AM962" s="40"/>
      <c r="AN962" s="40"/>
    </row>
    <row r="963" spans="8:40" x14ac:dyDescent="0.3">
      <c r="H963" s="40"/>
      <c r="I963" s="36"/>
      <c r="J963" s="36"/>
      <c r="K963" s="36"/>
      <c r="L963" s="36"/>
      <c r="M963" s="36"/>
      <c r="N963" s="36"/>
      <c r="P963" s="59"/>
      <c r="Q963" s="36"/>
      <c r="S963" s="36"/>
      <c r="T963" s="36"/>
      <c r="U963" s="36"/>
      <c r="AF963" s="36"/>
      <c r="AM963" s="40"/>
      <c r="AN963" s="40"/>
    </row>
    <row r="964" spans="8:40" x14ac:dyDescent="0.3">
      <c r="H964" s="40"/>
      <c r="I964" s="36"/>
      <c r="J964" s="36"/>
      <c r="K964" s="36"/>
      <c r="L964" s="36"/>
      <c r="M964" s="36"/>
      <c r="N964" s="36"/>
      <c r="P964" s="59"/>
      <c r="Q964" s="36"/>
      <c r="S964" s="36"/>
      <c r="T964" s="36"/>
      <c r="U964" s="36"/>
      <c r="AF964" s="36"/>
      <c r="AM964" s="40"/>
      <c r="AN964" s="40"/>
    </row>
    <row r="965" spans="8:40" x14ac:dyDescent="0.3">
      <c r="H965" s="40"/>
      <c r="I965" s="36"/>
      <c r="J965" s="36"/>
      <c r="K965" s="36"/>
      <c r="L965" s="36"/>
      <c r="M965" s="36"/>
      <c r="N965" s="36"/>
      <c r="P965" s="59"/>
      <c r="Q965" s="36"/>
      <c r="S965" s="36"/>
      <c r="T965" s="36"/>
      <c r="U965" s="36"/>
      <c r="AF965" s="36"/>
      <c r="AM965" s="40"/>
      <c r="AN965" s="40"/>
    </row>
    <row r="966" spans="8:40" x14ac:dyDescent="0.3">
      <c r="H966" s="40"/>
      <c r="I966" s="36"/>
      <c r="J966" s="36"/>
      <c r="K966" s="36"/>
      <c r="L966" s="36"/>
      <c r="M966" s="36"/>
      <c r="N966" s="36"/>
      <c r="P966" s="59"/>
      <c r="Q966" s="36"/>
      <c r="S966" s="36"/>
      <c r="T966" s="36"/>
      <c r="U966" s="36"/>
      <c r="AF966" s="36"/>
      <c r="AM966" s="40"/>
      <c r="AN966" s="40"/>
    </row>
    <row r="967" spans="8:40" x14ac:dyDescent="0.3">
      <c r="H967" s="40"/>
      <c r="I967" s="36"/>
      <c r="J967" s="36"/>
      <c r="K967" s="36"/>
      <c r="L967" s="36"/>
      <c r="M967" s="36"/>
      <c r="N967" s="36"/>
      <c r="P967" s="59"/>
      <c r="Q967" s="36"/>
      <c r="S967" s="36"/>
      <c r="T967" s="36"/>
      <c r="U967" s="36"/>
      <c r="AF967" s="36"/>
      <c r="AM967" s="40"/>
      <c r="AN967" s="40"/>
    </row>
    <row r="968" spans="8:40" x14ac:dyDescent="0.3">
      <c r="H968" s="40"/>
      <c r="I968" s="36"/>
      <c r="J968" s="36"/>
      <c r="K968" s="36"/>
      <c r="L968" s="36"/>
      <c r="M968" s="36"/>
      <c r="N968" s="36"/>
      <c r="P968" s="59"/>
      <c r="Q968" s="36"/>
      <c r="S968" s="36"/>
      <c r="T968" s="36"/>
      <c r="U968" s="36"/>
      <c r="AF968" s="36"/>
      <c r="AM968" s="40"/>
      <c r="AN968" s="40"/>
    </row>
    <row r="969" spans="8:40" x14ac:dyDescent="0.3">
      <c r="H969" s="40"/>
      <c r="I969" s="36"/>
      <c r="J969" s="36"/>
      <c r="K969" s="36"/>
      <c r="L969" s="36"/>
      <c r="M969" s="36"/>
      <c r="N969" s="36"/>
      <c r="P969" s="59"/>
      <c r="Q969" s="36"/>
      <c r="S969" s="36"/>
      <c r="T969" s="36"/>
      <c r="U969" s="36"/>
      <c r="AF969" s="36"/>
      <c r="AM969" s="40"/>
      <c r="AN969" s="40"/>
    </row>
    <row r="970" spans="8:40" x14ac:dyDescent="0.3">
      <c r="H970" s="40"/>
      <c r="I970" s="36"/>
      <c r="J970" s="36"/>
      <c r="K970" s="36"/>
      <c r="L970" s="36"/>
      <c r="M970" s="36"/>
      <c r="N970" s="36"/>
      <c r="P970" s="59"/>
      <c r="Q970" s="36"/>
      <c r="S970" s="36"/>
      <c r="T970" s="36"/>
      <c r="U970" s="36"/>
      <c r="AF970" s="36"/>
      <c r="AM970" s="40"/>
      <c r="AN970" s="40"/>
    </row>
    <row r="971" spans="8:40" x14ac:dyDescent="0.3">
      <c r="H971" s="40"/>
      <c r="I971" s="36"/>
      <c r="J971" s="36"/>
      <c r="K971" s="36"/>
      <c r="L971" s="36"/>
      <c r="M971" s="36"/>
      <c r="N971" s="36"/>
      <c r="P971" s="59"/>
      <c r="Q971" s="36"/>
      <c r="S971" s="36"/>
      <c r="T971" s="36"/>
      <c r="U971" s="36"/>
      <c r="AF971" s="36"/>
      <c r="AM971" s="40"/>
      <c r="AN971" s="40"/>
    </row>
    <row r="972" spans="8:40" x14ac:dyDescent="0.3">
      <c r="H972" s="40"/>
      <c r="I972" s="36"/>
      <c r="J972" s="36"/>
      <c r="K972" s="36"/>
      <c r="L972" s="36"/>
      <c r="M972" s="36"/>
      <c r="N972" s="36"/>
      <c r="P972" s="59"/>
      <c r="Q972" s="36"/>
      <c r="S972" s="36"/>
      <c r="T972" s="36"/>
      <c r="U972" s="36"/>
      <c r="AF972" s="36"/>
      <c r="AM972" s="40"/>
      <c r="AN972" s="40"/>
    </row>
    <row r="973" spans="8:40" x14ac:dyDescent="0.3">
      <c r="H973" s="40"/>
      <c r="I973" s="36"/>
      <c r="J973" s="36"/>
      <c r="K973" s="36"/>
      <c r="L973" s="36"/>
      <c r="M973" s="36"/>
      <c r="N973" s="36"/>
      <c r="P973" s="59"/>
      <c r="Q973" s="36"/>
      <c r="S973" s="36"/>
      <c r="T973" s="36"/>
      <c r="U973" s="36"/>
      <c r="AF973" s="36"/>
      <c r="AM973" s="40"/>
      <c r="AN973" s="40"/>
    </row>
    <row r="974" spans="8:40" x14ac:dyDescent="0.3">
      <c r="H974" s="40"/>
      <c r="I974" s="36"/>
      <c r="J974" s="36"/>
      <c r="K974" s="36"/>
      <c r="L974" s="36"/>
      <c r="M974" s="36"/>
      <c r="N974" s="36"/>
      <c r="P974" s="59"/>
      <c r="Q974" s="36"/>
      <c r="S974" s="36"/>
      <c r="T974" s="36"/>
      <c r="U974" s="36"/>
      <c r="AF974" s="36"/>
      <c r="AM974" s="40"/>
      <c r="AN974" s="40"/>
    </row>
    <row r="975" spans="8:40" x14ac:dyDescent="0.3">
      <c r="H975" s="40"/>
      <c r="I975" s="36"/>
      <c r="J975" s="36"/>
      <c r="K975" s="36"/>
      <c r="L975" s="36"/>
      <c r="M975" s="36"/>
      <c r="N975" s="36"/>
      <c r="P975" s="59"/>
      <c r="Q975" s="36"/>
      <c r="S975" s="36"/>
      <c r="T975" s="36"/>
      <c r="U975" s="36"/>
      <c r="AF975" s="36"/>
      <c r="AM975" s="40"/>
      <c r="AN975" s="40"/>
    </row>
    <row r="976" spans="8:40" x14ac:dyDescent="0.3">
      <c r="H976" s="40"/>
      <c r="I976" s="36"/>
      <c r="J976" s="36"/>
      <c r="K976" s="36"/>
      <c r="L976" s="36"/>
      <c r="M976" s="36"/>
      <c r="N976" s="36"/>
      <c r="P976" s="59"/>
      <c r="Q976" s="36"/>
      <c r="S976" s="36"/>
      <c r="T976" s="36"/>
      <c r="U976" s="36"/>
      <c r="AF976" s="36"/>
      <c r="AM976" s="40"/>
      <c r="AN976" s="40"/>
    </row>
    <row r="977" spans="8:40" x14ac:dyDescent="0.3">
      <c r="H977" s="40"/>
      <c r="I977" s="36"/>
      <c r="J977" s="36"/>
      <c r="K977" s="36"/>
      <c r="L977" s="36"/>
      <c r="M977" s="36"/>
      <c r="N977" s="36"/>
      <c r="P977" s="59"/>
      <c r="Q977" s="36"/>
      <c r="S977" s="36"/>
      <c r="T977" s="36"/>
      <c r="U977" s="36"/>
      <c r="AF977" s="36"/>
      <c r="AM977" s="40"/>
      <c r="AN977" s="40"/>
    </row>
    <row r="978" spans="8:40" x14ac:dyDescent="0.3">
      <c r="H978" s="40"/>
      <c r="I978" s="36"/>
      <c r="J978" s="36"/>
      <c r="K978" s="36"/>
      <c r="L978" s="36"/>
      <c r="M978" s="36"/>
      <c r="N978" s="36"/>
      <c r="P978" s="59"/>
      <c r="Q978" s="36"/>
      <c r="S978" s="36"/>
      <c r="T978" s="36"/>
      <c r="U978" s="36"/>
      <c r="AF978" s="36"/>
      <c r="AM978" s="40"/>
      <c r="AN978" s="40"/>
    </row>
    <row r="979" spans="8:40" x14ac:dyDescent="0.3">
      <c r="H979" s="40"/>
      <c r="I979" s="36"/>
      <c r="J979" s="36"/>
      <c r="K979" s="36"/>
      <c r="L979" s="36"/>
      <c r="M979" s="36"/>
      <c r="N979" s="36"/>
      <c r="P979" s="59"/>
      <c r="Q979" s="36"/>
      <c r="S979" s="36"/>
      <c r="T979" s="36"/>
      <c r="U979" s="36"/>
      <c r="AF979" s="36"/>
      <c r="AM979" s="40"/>
      <c r="AN979" s="40"/>
    </row>
    <row r="980" spans="8:40" x14ac:dyDescent="0.3">
      <c r="H980" s="40"/>
      <c r="I980" s="36"/>
      <c r="J980" s="36"/>
      <c r="K980" s="36"/>
      <c r="L980" s="36"/>
      <c r="M980" s="36"/>
      <c r="N980" s="36"/>
      <c r="P980" s="59"/>
      <c r="Q980" s="36"/>
      <c r="S980" s="36"/>
      <c r="T980" s="36"/>
      <c r="U980" s="36"/>
      <c r="AF980" s="36"/>
      <c r="AM980" s="40"/>
      <c r="AN980" s="40"/>
    </row>
    <row r="981" spans="8:40" x14ac:dyDescent="0.3">
      <c r="H981" s="40"/>
      <c r="I981" s="36"/>
      <c r="J981" s="36"/>
      <c r="K981" s="36"/>
      <c r="L981" s="36"/>
      <c r="M981" s="36"/>
      <c r="N981" s="36"/>
      <c r="P981" s="59"/>
      <c r="Q981" s="36"/>
      <c r="S981" s="36"/>
      <c r="T981" s="36"/>
      <c r="U981" s="36"/>
      <c r="AF981" s="36"/>
      <c r="AM981" s="40"/>
      <c r="AN981" s="40"/>
    </row>
    <row r="982" spans="8:40" x14ac:dyDescent="0.3">
      <c r="H982" s="40"/>
      <c r="I982" s="36"/>
      <c r="J982" s="36"/>
      <c r="K982" s="36"/>
      <c r="L982" s="36"/>
      <c r="M982" s="36"/>
      <c r="N982" s="36"/>
      <c r="P982" s="59"/>
      <c r="Q982" s="36"/>
      <c r="S982" s="36"/>
      <c r="T982" s="36"/>
      <c r="U982" s="36"/>
      <c r="AF982" s="36"/>
      <c r="AM982" s="40"/>
      <c r="AN982" s="40"/>
    </row>
    <row r="983" spans="8:40" x14ac:dyDescent="0.3">
      <c r="H983" s="40"/>
      <c r="I983" s="36"/>
      <c r="J983" s="36"/>
      <c r="K983" s="36"/>
      <c r="L983" s="36"/>
      <c r="M983" s="36"/>
      <c r="N983" s="36"/>
      <c r="P983" s="59"/>
      <c r="Q983" s="36"/>
      <c r="S983" s="36"/>
      <c r="T983" s="36"/>
      <c r="U983" s="36"/>
      <c r="AF983" s="36"/>
      <c r="AM983" s="40"/>
      <c r="AN983" s="40"/>
    </row>
    <row r="984" spans="8:40" x14ac:dyDescent="0.3">
      <c r="H984" s="40"/>
      <c r="I984" s="36"/>
      <c r="J984" s="36"/>
      <c r="K984" s="36"/>
      <c r="L984" s="36"/>
      <c r="M984" s="36"/>
      <c r="N984" s="36"/>
      <c r="P984" s="59"/>
      <c r="Q984" s="36"/>
      <c r="S984" s="36"/>
      <c r="T984" s="36"/>
      <c r="U984" s="36"/>
      <c r="AF984" s="36"/>
      <c r="AM984" s="40"/>
      <c r="AN984" s="40"/>
    </row>
    <row r="985" spans="8:40" x14ac:dyDescent="0.3">
      <c r="H985" s="40"/>
      <c r="I985" s="36"/>
      <c r="J985" s="36"/>
      <c r="K985" s="36"/>
      <c r="L985" s="36"/>
      <c r="M985" s="36"/>
      <c r="N985" s="36"/>
      <c r="P985" s="59"/>
      <c r="Q985" s="36"/>
      <c r="S985" s="36"/>
      <c r="T985" s="36"/>
      <c r="U985" s="36"/>
      <c r="AF985" s="36"/>
      <c r="AM985" s="40"/>
      <c r="AN985" s="40"/>
    </row>
    <row r="986" spans="8:40" x14ac:dyDescent="0.3">
      <c r="H986" s="40"/>
      <c r="I986" s="36"/>
      <c r="J986" s="36"/>
      <c r="K986" s="36"/>
      <c r="L986" s="36"/>
      <c r="M986" s="36"/>
      <c r="N986" s="36"/>
      <c r="P986" s="59"/>
      <c r="Q986" s="36"/>
      <c r="S986" s="36"/>
      <c r="T986" s="36"/>
      <c r="U986" s="36"/>
      <c r="AF986" s="36"/>
      <c r="AM986" s="40"/>
      <c r="AN986" s="40"/>
    </row>
    <row r="987" spans="8:40" x14ac:dyDescent="0.3">
      <c r="H987" s="40"/>
      <c r="I987" s="36"/>
      <c r="J987" s="36"/>
      <c r="K987" s="36"/>
      <c r="L987" s="36"/>
      <c r="M987" s="36"/>
      <c r="N987" s="36"/>
      <c r="P987" s="59"/>
      <c r="Q987" s="36"/>
      <c r="S987" s="36"/>
      <c r="T987" s="36"/>
      <c r="U987" s="36"/>
      <c r="AF987" s="36"/>
      <c r="AM987" s="40"/>
      <c r="AN987" s="40"/>
    </row>
    <row r="988" spans="8:40" x14ac:dyDescent="0.3">
      <c r="H988" s="40"/>
      <c r="I988" s="36"/>
      <c r="J988" s="36"/>
      <c r="K988" s="36"/>
      <c r="L988" s="36"/>
      <c r="M988" s="36"/>
      <c r="N988" s="36"/>
      <c r="P988" s="59"/>
      <c r="Q988" s="36"/>
      <c r="S988" s="36"/>
      <c r="T988" s="36"/>
      <c r="U988" s="36"/>
      <c r="AF988" s="36"/>
      <c r="AM988" s="40"/>
      <c r="AN988" s="40"/>
    </row>
    <row r="989" spans="8:40" x14ac:dyDescent="0.3">
      <c r="H989" s="40"/>
      <c r="I989" s="36"/>
      <c r="J989" s="36"/>
      <c r="K989" s="36"/>
      <c r="L989" s="36"/>
      <c r="M989" s="36"/>
      <c r="N989" s="36"/>
      <c r="P989" s="59"/>
      <c r="Q989" s="36"/>
      <c r="S989" s="36"/>
      <c r="T989" s="36"/>
      <c r="U989" s="36"/>
      <c r="AF989" s="36"/>
      <c r="AM989" s="40"/>
      <c r="AN989" s="40"/>
    </row>
    <row r="990" spans="8:40" x14ac:dyDescent="0.3">
      <c r="H990" s="40"/>
      <c r="I990" s="36"/>
      <c r="J990" s="36"/>
      <c r="K990" s="36"/>
      <c r="L990" s="36"/>
      <c r="M990" s="36"/>
      <c r="N990" s="36"/>
      <c r="P990" s="59"/>
      <c r="Q990" s="36"/>
      <c r="S990" s="36"/>
      <c r="T990" s="36"/>
      <c r="U990" s="36"/>
      <c r="AF990" s="36"/>
      <c r="AM990" s="40"/>
      <c r="AN990" s="40"/>
    </row>
    <row r="991" spans="8:40" x14ac:dyDescent="0.3">
      <c r="H991" s="40"/>
      <c r="I991" s="36"/>
      <c r="J991" s="36"/>
      <c r="K991" s="36"/>
      <c r="L991" s="36"/>
      <c r="M991" s="36"/>
      <c r="N991" s="36"/>
      <c r="P991" s="59"/>
      <c r="Q991" s="36"/>
      <c r="S991" s="36"/>
      <c r="T991" s="36"/>
      <c r="U991" s="36"/>
      <c r="AF991" s="36"/>
      <c r="AM991" s="40"/>
      <c r="AN991" s="40"/>
    </row>
    <row r="992" spans="8:40" x14ac:dyDescent="0.3">
      <c r="H992" s="40"/>
      <c r="I992" s="36"/>
      <c r="J992" s="36"/>
      <c r="K992" s="36"/>
      <c r="L992" s="36"/>
      <c r="M992" s="36"/>
      <c r="N992" s="36"/>
      <c r="P992" s="59"/>
      <c r="Q992" s="36"/>
      <c r="S992" s="36"/>
      <c r="T992" s="36"/>
      <c r="U992" s="36"/>
      <c r="AF992" s="36"/>
      <c r="AM992" s="40"/>
      <c r="AN992" s="40"/>
    </row>
    <row r="993" spans="8:40" x14ac:dyDescent="0.3">
      <c r="H993" s="40"/>
      <c r="I993" s="36"/>
      <c r="J993" s="36"/>
      <c r="K993" s="36"/>
      <c r="L993" s="36"/>
      <c r="M993" s="36"/>
      <c r="N993" s="36"/>
      <c r="P993" s="59"/>
      <c r="Q993" s="36"/>
      <c r="S993" s="36"/>
      <c r="T993" s="36"/>
      <c r="U993" s="36"/>
      <c r="AF993" s="36"/>
      <c r="AM993" s="40"/>
      <c r="AN993" s="40"/>
    </row>
    <row r="994" spans="8:40" x14ac:dyDescent="0.3">
      <c r="H994" s="40"/>
      <c r="I994" s="36"/>
      <c r="J994" s="36"/>
      <c r="K994" s="36"/>
      <c r="L994" s="36"/>
      <c r="M994" s="36"/>
      <c r="N994" s="36"/>
      <c r="P994" s="59"/>
      <c r="Q994" s="36"/>
      <c r="S994" s="36"/>
      <c r="T994" s="36"/>
      <c r="U994" s="36"/>
      <c r="AF994" s="36"/>
      <c r="AM994" s="40"/>
      <c r="AN994" s="40"/>
    </row>
    <row r="995" spans="8:40" x14ac:dyDescent="0.3">
      <c r="H995" s="40"/>
      <c r="I995" s="36"/>
      <c r="J995" s="36"/>
      <c r="K995" s="36"/>
      <c r="L995" s="36"/>
      <c r="M995" s="36"/>
      <c r="N995" s="36"/>
      <c r="P995" s="59"/>
      <c r="Q995" s="36"/>
      <c r="S995" s="36"/>
      <c r="T995" s="36"/>
      <c r="U995" s="36"/>
      <c r="AF995" s="36"/>
      <c r="AM995" s="40"/>
      <c r="AN995" s="40"/>
    </row>
    <row r="996" spans="8:40" x14ac:dyDescent="0.3">
      <c r="H996" s="40"/>
      <c r="I996" s="36"/>
      <c r="J996" s="36"/>
      <c r="K996" s="36"/>
      <c r="L996" s="36"/>
      <c r="M996" s="36"/>
      <c r="N996" s="36"/>
      <c r="P996" s="59"/>
      <c r="Q996" s="36"/>
      <c r="S996" s="36"/>
      <c r="T996" s="36"/>
      <c r="U996" s="36"/>
      <c r="AF996" s="36"/>
      <c r="AM996" s="40"/>
      <c r="AN996" s="40"/>
    </row>
    <row r="997" spans="8:40" x14ac:dyDescent="0.3">
      <c r="H997" s="40"/>
      <c r="I997" s="36"/>
      <c r="J997" s="36"/>
      <c r="K997" s="36"/>
      <c r="L997" s="36"/>
      <c r="M997" s="36"/>
      <c r="N997" s="36"/>
      <c r="P997" s="59"/>
      <c r="Q997" s="36"/>
      <c r="S997" s="36"/>
      <c r="T997" s="36"/>
      <c r="U997" s="36"/>
      <c r="AF997" s="36"/>
      <c r="AM997" s="40"/>
      <c r="AN997" s="40"/>
    </row>
    <row r="998" spans="8:40" x14ac:dyDescent="0.3">
      <c r="H998" s="40"/>
      <c r="I998" s="36"/>
      <c r="J998" s="36"/>
      <c r="K998" s="36"/>
      <c r="L998" s="36"/>
      <c r="M998" s="36"/>
      <c r="N998" s="36"/>
      <c r="P998" s="59"/>
      <c r="Q998" s="36"/>
      <c r="S998" s="36"/>
      <c r="T998" s="36"/>
      <c r="U998" s="36"/>
      <c r="AF998" s="36"/>
      <c r="AM998" s="40"/>
      <c r="AN998" s="40"/>
    </row>
    <row r="999" spans="8:40" x14ac:dyDescent="0.3">
      <c r="H999" s="40"/>
      <c r="I999" s="36"/>
      <c r="J999" s="36"/>
      <c r="K999" s="36"/>
      <c r="L999" s="36"/>
      <c r="M999" s="36"/>
      <c r="N999" s="36"/>
      <c r="P999" s="59"/>
      <c r="Q999" s="36"/>
      <c r="S999" s="36"/>
      <c r="T999" s="36"/>
      <c r="U999" s="36"/>
      <c r="AF999" s="36"/>
      <c r="AM999" s="40"/>
      <c r="AN999" s="40"/>
    </row>
    <row r="1000" spans="8:40" x14ac:dyDescent="0.3">
      <c r="H1000" s="40"/>
      <c r="I1000" s="36"/>
      <c r="J1000" s="36"/>
      <c r="K1000" s="36"/>
      <c r="L1000" s="36"/>
      <c r="M1000" s="36"/>
      <c r="N1000" s="36"/>
      <c r="P1000" s="59"/>
      <c r="Q1000" s="36"/>
      <c r="S1000" s="36"/>
      <c r="T1000" s="36"/>
      <c r="U1000" s="36"/>
      <c r="AF1000" s="36"/>
      <c r="AM1000" s="40"/>
      <c r="AN1000" s="40"/>
    </row>
    <row r="1001" spans="8:40" x14ac:dyDescent="0.3">
      <c r="H1001" s="40"/>
      <c r="I1001" s="36"/>
      <c r="J1001" s="36"/>
      <c r="K1001" s="36"/>
      <c r="L1001" s="36"/>
      <c r="M1001" s="36"/>
      <c r="N1001" s="36"/>
      <c r="P1001" s="59"/>
      <c r="Q1001" s="36"/>
      <c r="S1001" s="36"/>
      <c r="T1001" s="36"/>
      <c r="U1001" s="36"/>
      <c r="AF1001" s="36"/>
      <c r="AM1001" s="40"/>
      <c r="AN1001" s="40"/>
    </row>
    <row r="1002" spans="8:40" x14ac:dyDescent="0.3">
      <c r="H1002" s="40"/>
      <c r="I1002" s="36"/>
      <c r="J1002" s="36"/>
      <c r="K1002" s="36"/>
      <c r="L1002" s="36"/>
      <c r="M1002" s="36"/>
      <c r="N1002" s="36"/>
      <c r="P1002" s="59"/>
      <c r="Q1002" s="36"/>
      <c r="S1002" s="36"/>
      <c r="T1002" s="36"/>
      <c r="U1002" s="36"/>
      <c r="AF1002" s="36"/>
      <c r="AM1002" s="40"/>
      <c r="AN1002" s="40"/>
    </row>
    <row r="1003" spans="8:40" x14ac:dyDescent="0.3">
      <c r="H1003" s="40"/>
      <c r="I1003" s="36"/>
      <c r="J1003" s="36"/>
      <c r="K1003" s="36"/>
      <c r="L1003" s="36"/>
      <c r="M1003" s="36"/>
      <c r="N1003" s="36"/>
      <c r="P1003" s="59"/>
      <c r="Q1003" s="36"/>
      <c r="S1003" s="36"/>
      <c r="T1003" s="36"/>
      <c r="U1003" s="36"/>
      <c r="AF1003" s="36"/>
      <c r="AM1003" s="40"/>
      <c r="AN1003" s="40"/>
    </row>
    <row r="1004" spans="8:40" x14ac:dyDescent="0.3">
      <c r="H1004" s="40"/>
      <c r="I1004" s="36"/>
      <c r="J1004" s="36"/>
      <c r="K1004" s="36"/>
      <c r="L1004" s="36"/>
      <c r="M1004" s="36"/>
      <c r="N1004" s="36"/>
      <c r="P1004" s="59"/>
      <c r="Q1004" s="36"/>
      <c r="S1004" s="36"/>
      <c r="T1004" s="36"/>
      <c r="U1004" s="36"/>
      <c r="AM1004" s="40"/>
      <c r="AN1004" s="40"/>
    </row>
    <row r="1005" spans="8:40" x14ac:dyDescent="0.3">
      <c r="H1005" s="40"/>
      <c r="I1005" s="36"/>
      <c r="J1005" s="36"/>
      <c r="K1005" s="36"/>
      <c r="L1005" s="36"/>
      <c r="M1005" s="36"/>
      <c r="N1005" s="36"/>
      <c r="P1005" s="59"/>
      <c r="Q1005" s="36"/>
      <c r="S1005" s="36"/>
      <c r="T1005" s="36"/>
      <c r="U1005" s="36"/>
      <c r="AM1005" s="40"/>
      <c r="AN1005" s="40"/>
    </row>
    <row r="1006" spans="8:40" x14ac:dyDescent="0.3">
      <c r="H1006" s="40"/>
      <c r="I1006" s="36"/>
      <c r="J1006" s="36"/>
      <c r="K1006" s="36"/>
      <c r="L1006" s="36"/>
      <c r="M1006" s="36"/>
      <c r="N1006" s="36"/>
      <c r="P1006" s="59"/>
      <c r="Q1006" s="36"/>
      <c r="S1006" s="36"/>
      <c r="T1006" s="36"/>
      <c r="U1006" s="36"/>
      <c r="AM1006" s="40"/>
      <c r="AN1006" s="40"/>
    </row>
    <row r="1007" spans="8:40" x14ac:dyDescent="0.3">
      <c r="H1007" s="40"/>
      <c r="I1007" s="36"/>
      <c r="J1007" s="36"/>
      <c r="K1007" s="36"/>
      <c r="L1007" s="36"/>
      <c r="M1007" s="36"/>
      <c r="N1007" s="36"/>
      <c r="P1007" s="59"/>
      <c r="Q1007" s="36"/>
      <c r="S1007" s="36"/>
      <c r="T1007" s="36"/>
      <c r="U1007" s="36"/>
      <c r="AM1007" s="40"/>
      <c r="AN1007" s="40"/>
    </row>
    <row r="1008" spans="8:40" x14ac:dyDescent="0.3">
      <c r="H1008" s="40"/>
      <c r="I1008" s="36"/>
      <c r="J1008" s="36"/>
      <c r="K1008" s="36"/>
      <c r="L1008" s="36"/>
      <c r="M1008" s="36"/>
      <c r="N1008" s="36"/>
      <c r="P1008" s="59"/>
      <c r="Q1008" s="36"/>
      <c r="S1008" s="36"/>
      <c r="T1008" s="36"/>
      <c r="U1008" s="36"/>
      <c r="AM1008" s="40"/>
      <c r="AN1008" s="40"/>
    </row>
    <row r="1009" spans="8:40" x14ac:dyDescent="0.3">
      <c r="H1009" s="40"/>
      <c r="I1009" s="36"/>
      <c r="J1009" s="36"/>
      <c r="K1009" s="36"/>
      <c r="L1009" s="36"/>
      <c r="M1009" s="36"/>
      <c r="N1009" s="36"/>
      <c r="P1009" s="59"/>
      <c r="Q1009" s="36"/>
      <c r="S1009" s="36"/>
      <c r="T1009" s="36"/>
      <c r="U1009" s="36"/>
      <c r="AM1009" s="40"/>
      <c r="AN1009" s="40"/>
    </row>
    <row r="1010" spans="8:40" x14ac:dyDescent="0.3">
      <c r="H1010" s="40"/>
      <c r="I1010" s="36"/>
      <c r="J1010" s="36"/>
      <c r="K1010" s="36"/>
      <c r="L1010" s="36"/>
      <c r="M1010" s="36"/>
      <c r="N1010" s="36"/>
      <c r="P1010" s="59"/>
      <c r="Q1010" s="36"/>
      <c r="S1010" s="36"/>
      <c r="T1010" s="36"/>
      <c r="U1010" s="36"/>
      <c r="AM1010" s="40"/>
      <c r="AN1010" s="40"/>
    </row>
    <row r="1011" spans="8:40" x14ac:dyDescent="0.3">
      <c r="H1011" s="40"/>
      <c r="I1011" s="36"/>
      <c r="J1011" s="36"/>
      <c r="K1011" s="36"/>
      <c r="L1011" s="36"/>
      <c r="M1011" s="36"/>
      <c r="N1011" s="36"/>
      <c r="P1011" s="59"/>
      <c r="Q1011" s="36"/>
      <c r="S1011" s="36"/>
      <c r="T1011" s="36"/>
      <c r="U1011" s="36"/>
      <c r="AM1011" s="40"/>
      <c r="AN1011" s="40"/>
    </row>
    <row r="1012" spans="8:40" x14ac:dyDescent="0.3">
      <c r="H1012" s="40"/>
      <c r="I1012" s="36"/>
      <c r="J1012" s="36"/>
      <c r="K1012" s="36"/>
      <c r="L1012" s="36"/>
      <c r="M1012" s="36"/>
      <c r="N1012" s="36"/>
      <c r="P1012" s="59"/>
      <c r="Q1012" s="36"/>
      <c r="S1012" s="36"/>
      <c r="T1012" s="36"/>
      <c r="U1012" s="36"/>
      <c r="AM1012" s="40"/>
      <c r="AN1012" s="40"/>
    </row>
    <row r="1013" spans="8:40" x14ac:dyDescent="0.3">
      <c r="H1013" s="40"/>
      <c r="I1013" s="36"/>
      <c r="J1013" s="36"/>
      <c r="K1013" s="36"/>
      <c r="L1013" s="36"/>
      <c r="M1013" s="36"/>
      <c r="N1013" s="36"/>
      <c r="P1013" s="59"/>
      <c r="Q1013" s="36"/>
      <c r="S1013" s="36"/>
      <c r="T1013" s="36"/>
      <c r="U1013" s="36"/>
      <c r="AM1013" s="40"/>
      <c r="AN1013" s="40"/>
    </row>
    <row r="1014" spans="8:40" x14ac:dyDescent="0.3">
      <c r="H1014" s="40"/>
      <c r="I1014" s="36"/>
      <c r="J1014" s="36"/>
      <c r="K1014" s="36"/>
      <c r="L1014" s="36"/>
      <c r="M1014" s="36"/>
      <c r="N1014" s="36"/>
      <c r="P1014" s="59"/>
      <c r="Q1014" s="36"/>
      <c r="S1014" s="36"/>
      <c r="T1014" s="36"/>
      <c r="U1014" s="36"/>
      <c r="AM1014" s="40"/>
      <c r="AN1014" s="40"/>
    </row>
    <row r="1015" spans="8:40" x14ac:dyDescent="0.3">
      <c r="H1015" s="40"/>
      <c r="I1015" s="36"/>
      <c r="J1015" s="36"/>
      <c r="K1015" s="36"/>
      <c r="L1015" s="36"/>
      <c r="M1015" s="36"/>
      <c r="N1015" s="36"/>
      <c r="P1015" s="59"/>
      <c r="Q1015" s="36"/>
      <c r="S1015" s="36"/>
      <c r="T1015" s="36"/>
      <c r="U1015" s="36"/>
      <c r="AM1015" s="40"/>
      <c r="AN1015" s="40"/>
    </row>
    <row r="1016" spans="8:40" x14ac:dyDescent="0.3">
      <c r="H1016" s="40"/>
      <c r="I1016" s="36"/>
      <c r="J1016" s="36"/>
      <c r="K1016" s="36"/>
      <c r="L1016" s="36"/>
      <c r="M1016" s="36"/>
      <c r="N1016" s="36"/>
      <c r="P1016" s="59"/>
      <c r="Q1016" s="36"/>
      <c r="S1016" s="36"/>
      <c r="T1016" s="36"/>
      <c r="U1016" s="36"/>
      <c r="AM1016" s="40"/>
      <c r="AN1016" s="40"/>
    </row>
    <row r="1017" spans="8:40" x14ac:dyDescent="0.3">
      <c r="H1017" s="40"/>
      <c r="I1017" s="36"/>
      <c r="J1017" s="36"/>
      <c r="K1017" s="36"/>
      <c r="L1017" s="36"/>
      <c r="M1017" s="36"/>
      <c r="N1017" s="36"/>
      <c r="P1017" s="59"/>
      <c r="Q1017" s="36"/>
      <c r="S1017" s="36"/>
      <c r="T1017" s="36"/>
      <c r="U1017" s="36"/>
      <c r="AM1017" s="40"/>
      <c r="AN1017" s="40"/>
    </row>
    <row r="1018" spans="8:40" x14ac:dyDescent="0.3">
      <c r="H1018" s="40"/>
      <c r="I1018" s="36"/>
      <c r="J1018" s="36"/>
      <c r="K1018" s="36"/>
      <c r="L1018" s="36"/>
      <c r="M1018" s="36"/>
      <c r="N1018" s="36"/>
      <c r="P1018" s="59"/>
      <c r="Q1018" s="36"/>
      <c r="S1018" s="36"/>
      <c r="T1018" s="36"/>
      <c r="U1018" s="36"/>
      <c r="AM1018" s="40"/>
      <c r="AN1018" s="40"/>
    </row>
    <row r="1019" spans="8:40" x14ac:dyDescent="0.3">
      <c r="H1019" s="40"/>
      <c r="I1019" s="36"/>
      <c r="J1019" s="36"/>
      <c r="K1019" s="36"/>
      <c r="L1019" s="36"/>
      <c r="M1019" s="36"/>
      <c r="N1019" s="36"/>
      <c r="P1019" s="59"/>
      <c r="Q1019" s="36"/>
      <c r="S1019" s="36"/>
      <c r="T1019" s="36"/>
      <c r="U1019" s="36"/>
      <c r="AM1019" s="40"/>
      <c r="AN1019" s="40"/>
    </row>
    <row r="1020" spans="8:40" x14ac:dyDescent="0.3">
      <c r="H1020" s="40"/>
      <c r="I1020" s="36"/>
      <c r="J1020" s="36"/>
      <c r="K1020" s="36"/>
      <c r="L1020" s="36"/>
      <c r="M1020" s="36"/>
      <c r="N1020" s="36"/>
      <c r="P1020" s="59"/>
      <c r="Q1020" s="36"/>
      <c r="S1020" s="36"/>
      <c r="T1020" s="36"/>
      <c r="U1020" s="36"/>
      <c r="AM1020" s="40"/>
      <c r="AN1020" s="40"/>
    </row>
    <row r="1021" spans="8:40" x14ac:dyDescent="0.3">
      <c r="H1021" s="40"/>
      <c r="I1021" s="36"/>
      <c r="J1021" s="36"/>
      <c r="K1021" s="36"/>
      <c r="L1021" s="36"/>
      <c r="M1021" s="36"/>
      <c r="N1021" s="36"/>
      <c r="P1021" s="59"/>
      <c r="Q1021" s="36"/>
      <c r="S1021" s="36"/>
      <c r="T1021" s="36"/>
      <c r="U1021" s="36"/>
      <c r="AM1021" s="40"/>
      <c r="AN1021" s="40"/>
    </row>
    <row r="1022" spans="8:40" x14ac:dyDescent="0.3">
      <c r="H1022" s="40"/>
      <c r="I1022" s="36"/>
      <c r="J1022" s="36"/>
      <c r="K1022" s="36"/>
      <c r="L1022" s="36"/>
      <c r="M1022" s="36"/>
      <c r="N1022" s="36"/>
      <c r="P1022" s="59"/>
      <c r="Q1022" s="36"/>
      <c r="S1022" s="36"/>
      <c r="T1022" s="36"/>
      <c r="U1022" s="36"/>
      <c r="AM1022" s="40"/>
      <c r="AN1022" s="40"/>
    </row>
    <row r="1023" spans="8:40" x14ac:dyDescent="0.3">
      <c r="H1023" s="40"/>
      <c r="I1023" s="36"/>
      <c r="J1023" s="36"/>
      <c r="K1023" s="36"/>
      <c r="L1023" s="36"/>
      <c r="M1023" s="36"/>
      <c r="N1023" s="36"/>
      <c r="P1023" s="59"/>
      <c r="Q1023" s="36"/>
      <c r="S1023" s="36"/>
      <c r="T1023" s="36"/>
      <c r="U1023" s="36"/>
      <c r="AM1023" s="40"/>
      <c r="AN1023" s="40"/>
    </row>
    <row r="1024" spans="8:40" x14ac:dyDescent="0.3">
      <c r="H1024" s="40"/>
      <c r="I1024" s="36"/>
      <c r="J1024" s="36"/>
      <c r="K1024" s="36"/>
      <c r="L1024" s="36"/>
      <c r="M1024" s="36"/>
      <c r="N1024" s="36"/>
      <c r="P1024" s="59"/>
      <c r="Q1024" s="36"/>
      <c r="S1024" s="36"/>
      <c r="T1024" s="36"/>
      <c r="U1024" s="36"/>
      <c r="AM1024" s="40"/>
      <c r="AN1024" s="40"/>
    </row>
    <row r="1025" spans="8:40" x14ac:dyDescent="0.3">
      <c r="H1025" s="40"/>
      <c r="I1025" s="36"/>
      <c r="J1025" s="36"/>
      <c r="K1025" s="36"/>
      <c r="L1025" s="36"/>
      <c r="M1025" s="36"/>
      <c r="N1025" s="36"/>
      <c r="P1025" s="59"/>
      <c r="Q1025" s="36"/>
      <c r="S1025" s="36"/>
      <c r="T1025" s="36"/>
      <c r="U1025" s="36"/>
      <c r="AM1025" s="40"/>
      <c r="AN1025" s="40"/>
    </row>
    <row r="1026" spans="8:40" x14ac:dyDescent="0.3">
      <c r="H1026" s="40"/>
      <c r="I1026" s="36"/>
      <c r="J1026" s="36"/>
      <c r="K1026" s="36"/>
      <c r="L1026" s="36"/>
      <c r="M1026" s="36"/>
      <c r="N1026" s="36"/>
      <c r="P1026" s="59"/>
      <c r="Q1026" s="36"/>
      <c r="S1026" s="36"/>
      <c r="T1026" s="36"/>
      <c r="U1026" s="36"/>
      <c r="AM1026" s="40"/>
      <c r="AN1026" s="40"/>
    </row>
    <row r="1027" spans="8:40" x14ac:dyDescent="0.3">
      <c r="H1027" s="40"/>
      <c r="I1027" s="36"/>
      <c r="J1027" s="36"/>
      <c r="K1027" s="36"/>
      <c r="L1027" s="36"/>
      <c r="M1027" s="36"/>
      <c r="N1027" s="36"/>
      <c r="P1027" s="59"/>
      <c r="Q1027" s="36"/>
      <c r="S1027" s="36"/>
      <c r="T1027" s="36"/>
      <c r="U1027" s="36"/>
      <c r="AM1027" s="40"/>
      <c r="AN1027" s="40"/>
    </row>
    <row r="1028" spans="8:40" x14ac:dyDescent="0.3">
      <c r="H1028" s="40"/>
      <c r="I1028" s="36"/>
      <c r="J1028" s="36"/>
      <c r="K1028" s="36"/>
      <c r="L1028" s="36"/>
      <c r="M1028" s="36"/>
      <c r="N1028" s="36"/>
      <c r="P1028" s="59"/>
      <c r="Q1028" s="36"/>
      <c r="S1028" s="36"/>
      <c r="T1028" s="36"/>
      <c r="U1028" s="36"/>
      <c r="AM1028" s="40"/>
      <c r="AN1028" s="40"/>
    </row>
    <row r="1029" spans="8:40" x14ac:dyDescent="0.3">
      <c r="H1029" s="40"/>
      <c r="I1029" s="36"/>
      <c r="J1029" s="36"/>
      <c r="K1029" s="36"/>
      <c r="L1029" s="36"/>
      <c r="M1029" s="36"/>
      <c r="N1029" s="36"/>
      <c r="P1029" s="59"/>
      <c r="Q1029" s="36"/>
      <c r="S1029" s="36"/>
      <c r="T1029" s="36"/>
      <c r="U1029" s="36"/>
      <c r="AM1029" s="40"/>
      <c r="AN1029" s="40"/>
    </row>
    <row r="1030" spans="8:40" x14ac:dyDescent="0.3">
      <c r="H1030" s="40"/>
      <c r="I1030" s="36"/>
      <c r="J1030" s="36"/>
      <c r="K1030" s="36"/>
      <c r="L1030" s="36"/>
      <c r="M1030" s="36"/>
      <c r="N1030" s="36"/>
      <c r="P1030" s="59"/>
      <c r="Q1030" s="36"/>
      <c r="S1030" s="36"/>
      <c r="T1030" s="36"/>
      <c r="U1030" s="36"/>
      <c r="AM1030" s="40"/>
      <c r="AN1030" s="40"/>
    </row>
    <row r="1031" spans="8:40" x14ac:dyDescent="0.3">
      <c r="H1031" s="40"/>
      <c r="I1031" s="36"/>
      <c r="J1031" s="36"/>
      <c r="K1031" s="36"/>
      <c r="L1031" s="36"/>
      <c r="M1031" s="36"/>
      <c r="N1031" s="36"/>
      <c r="P1031" s="59"/>
      <c r="Q1031" s="36"/>
      <c r="S1031" s="36"/>
      <c r="T1031" s="36"/>
      <c r="U1031" s="36"/>
      <c r="AM1031" s="40"/>
      <c r="AN1031" s="40"/>
    </row>
    <row r="1032" spans="8:40" x14ac:dyDescent="0.3">
      <c r="H1032" s="40"/>
      <c r="I1032" s="36"/>
      <c r="J1032" s="36"/>
      <c r="K1032" s="36"/>
      <c r="L1032" s="36"/>
      <c r="M1032" s="36"/>
      <c r="N1032" s="36"/>
      <c r="P1032" s="59"/>
      <c r="Q1032" s="36"/>
      <c r="S1032" s="36"/>
      <c r="T1032" s="36"/>
      <c r="U1032" s="36"/>
      <c r="AM1032" s="40"/>
      <c r="AN1032" s="40"/>
    </row>
    <row r="1033" spans="8:40" x14ac:dyDescent="0.3">
      <c r="H1033" s="40"/>
      <c r="I1033" s="36"/>
      <c r="J1033" s="36"/>
      <c r="K1033" s="36"/>
      <c r="L1033" s="36"/>
      <c r="M1033" s="36"/>
      <c r="N1033" s="36"/>
      <c r="P1033" s="59"/>
      <c r="Q1033" s="36"/>
      <c r="S1033" s="36"/>
      <c r="T1033" s="36"/>
      <c r="U1033" s="36"/>
      <c r="AM1033" s="40"/>
      <c r="AN1033" s="40"/>
    </row>
    <row r="1034" spans="8:40" x14ac:dyDescent="0.3">
      <c r="H1034" s="40"/>
      <c r="I1034" s="36"/>
      <c r="J1034" s="36"/>
      <c r="K1034" s="36"/>
      <c r="L1034" s="36"/>
      <c r="M1034" s="36"/>
      <c r="N1034" s="36"/>
      <c r="P1034" s="59"/>
      <c r="Q1034" s="36"/>
      <c r="S1034" s="36"/>
      <c r="T1034" s="36"/>
      <c r="U1034" s="36"/>
      <c r="AM1034" s="40"/>
      <c r="AN1034" s="40"/>
    </row>
    <row r="1035" spans="8:40" x14ac:dyDescent="0.3">
      <c r="H1035" s="40"/>
      <c r="I1035" s="36"/>
      <c r="J1035" s="36"/>
      <c r="K1035" s="36"/>
      <c r="L1035" s="36"/>
      <c r="M1035" s="36"/>
      <c r="N1035" s="36"/>
      <c r="P1035" s="59"/>
      <c r="Q1035" s="36"/>
      <c r="S1035" s="36"/>
      <c r="T1035" s="36"/>
      <c r="U1035" s="36"/>
      <c r="AM1035" s="40"/>
      <c r="AN1035" s="40"/>
    </row>
    <row r="1036" spans="8:40" x14ac:dyDescent="0.3">
      <c r="H1036" s="40"/>
      <c r="I1036" s="36"/>
      <c r="J1036" s="36"/>
      <c r="K1036" s="36"/>
      <c r="L1036" s="36"/>
      <c r="M1036" s="36"/>
      <c r="N1036" s="36"/>
      <c r="P1036" s="59"/>
      <c r="Q1036" s="36"/>
      <c r="S1036" s="36"/>
      <c r="T1036" s="36"/>
      <c r="U1036" s="36"/>
      <c r="AM1036" s="40"/>
      <c r="AN1036" s="40"/>
    </row>
    <row r="1037" spans="8:40" x14ac:dyDescent="0.3">
      <c r="H1037" s="40"/>
      <c r="I1037" s="36"/>
      <c r="J1037" s="36"/>
      <c r="K1037" s="36"/>
      <c r="L1037" s="36"/>
      <c r="M1037" s="36"/>
      <c r="N1037" s="36"/>
      <c r="P1037" s="59"/>
      <c r="Q1037" s="36"/>
      <c r="S1037" s="36"/>
      <c r="T1037" s="36"/>
      <c r="U1037" s="36"/>
      <c r="AM1037" s="40"/>
      <c r="AN1037" s="40"/>
    </row>
    <row r="1038" spans="8:40" x14ac:dyDescent="0.3">
      <c r="H1038" s="40"/>
      <c r="I1038" s="36"/>
      <c r="J1038" s="36"/>
      <c r="K1038" s="36"/>
      <c r="L1038" s="36"/>
      <c r="M1038" s="36"/>
      <c r="N1038" s="36"/>
      <c r="P1038" s="59"/>
      <c r="Q1038" s="36"/>
      <c r="S1038" s="36"/>
      <c r="T1038" s="36"/>
      <c r="U1038" s="36"/>
      <c r="AM1038" s="40"/>
      <c r="AN1038" s="40"/>
    </row>
    <row r="1039" spans="8:40" x14ac:dyDescent="0.3">
      <c r="H1039" s="40"/>
      <c r="I1039" s="36"/>
      <c r="J1039" s="36"/>
      <c r="K1039" s="36"/>
      <c r="L1039" s="36"/>
      <c r="M1039" s="36"/>
      <c r="N1039" s="36"/>
      <c r="P1039" s="59"/>
      <c r="Q1039" s="36"/>
      <c r="S1039" s="36"/>
      <c r="T1039" s="36"/>
      <c r="U1039" s="36"/>
      <c r="AM1039" s="40"/>
      <c r="AN1039" s="40"/>
    </row>
    <row r="1040" spans="8:40" x14ac:dyDescent="0.3">
      <c r="H1040" s="40"/>
      <c r="I1040" s="36"/>
      <c r="J1040" s="36"/>
      <c r="K1040" s="36"/>
      <c r="L1040" s="36"/>
      <c r="M1040" s="36"/>
      <c r="N1040" s="36"/>
      <c r="P1040" s="59"/>
      <c r="Q1040" s="36"/>
      <c r="S1040" s="36"/>
      <c r="T1040" s="36"/>
      <c r="U1040" s="36"/>
      <c r="AM1040" s="40"/>
      <c r="AN1040" s="40"/>
    </row>
    <row r="1041" spans="8:40" x14ac:dyDescent="0.3">
      <c r="H1041" s="40"/>
      <c r="I1041" s="36"/>
      <c r="J1041" s="36"/>
      <c r="K1041" s="36"/>
      <c r="L1041" s="36"/>
      <c r="M1041" s="36"/>
      <c r="N1041" s="36"/>
      <c r="P1041" s="59"/>
      <c r="Q1041" s="36"/>
      <c r="S1041" s="36"/>
      <c r="T1041" s="36"/>
      <c r="U1041" s="36"/>
      <c r="AM1041" s="40"/>
      <c r="AN1041" s="40"/>
    </row>
    <row r="1042" spans="8:40" x14ac:dyDescent="0.3">
      <c r="H1042" s="40"/>
      <c r="I1042" s="36"/>
      <c r="J1042" s="36"/>
      <c r="K1042" s="36"/>
      <c r="L1042" s="36"/>
      <c r="M1042" s="36"/>
      <c r="N1042" s="36"/>
      <c r="P1042" s="59"/>
      <c r="Q1042" s="36"/>
      <c r="S1042" s="36"/>
      <c r="T1042" s="36"/>
      <c r="U1042" s="36"/>
      <c r="AM1042" s="40"/>
      <c r="AN1042" s="40"/>
    </row>
    <row r="1043" spans="8:40" x14ac:dyDescent="0.3">
      <c r="H1043" s="40"/>
      <c r="I1043" s="36"/>
      <c r="J1043" s="36"/>
      <c r="K1043" s="36"/>
      <c r="L1043" s="36"/>
      <c r="M1043" s="36"/>
      <c r="N1043" s="36"/>
      <c r="P1043" s="59"/>
      <c r="Q1043" s="36"/>
      <c r="S1043" s="36"/>
      <c r="T1043" s="36"/>
      <c r="U1043" s="36"/>
      <c r="AM1043" s="40"/>
      <c r="AN1043" s="40"/>
    </row>
    <row r="1044" spans="8:40" x14ac:dyDescent="0.3">
      <c r="H1044" s="40"/>
      <c r="I1044" s="36"/>
      <c r="J1044" s="36"/>
      <c r="K1044" s="36"/>
      <c r="L1044" s="36"/>
      <c r="M1044" s="36"/>
      <c r="N1044" s="36"/>
      <c r="P1044" s="59"/>
      <c r="Q1044" s="36"/>
      <c r="S1044" s="36"/>
      <c r="T1044" s="36"/>
      <c r="U1044" s="36"/>
      <c r="AM1044" s="40"/>
      <c r="AN1044" s="40"/>
    </row>
    <row r="1045" spans="8:40" x14ac:dyDescent="0.3">
      <c r="H1045" s="40"/>
      <c r="I1045" s="36"/>
      <c r="J1045" s="36"/>
      <c r="K1045" s="36"/>
      <c r="L1045" s="36"/>
      <c r="M1045" s="36"/>
      <c r="N1045" s="36"/>
      <c r="P1045" s="59"/>
      <c r="Q1045" s="36"/>
      <c r="S1045" s="36"/>
      <c r="T1045" s="36"/>
      <c r="U1045" s="36"/>
      <c r="AM1045" s="40"/>
      <c r="AN1045" s="40"/>
    </row>
    <row r="1046" spans="8:40" x14ac:dyDescent="0.3">
      <c r="H1046" s="40"/>
      <c r="I1046" s="36"/>
      <c r="J1046" s="36"/>
      <c r="K1046" s="36"/>
      <c r="L1046" s="36"/>
      <c r="M1046" s="36"/>
      <c r="N1046" s="36"/>
      <c r="P1046" s="59"/>
      <c r="Q1046" s="36"/>
      <c r="S1046" s="36"/>
      <c r="T1046" s="36"/>
      <c r="U1046" s="36"/>
      <c r="AM1046" s="40"/>
      <c r="AN1046" s="40"/>
    </row>
    <row r="1047" spans="8:40" x14ac:dyDescent="0.3">
      <c r="H1047" s="40"/>
      <c r="I1047" s="36"/>
      <c r="J1047" s="36"/>
      <c r="K1047" s="36"/>
      <c r="L1047" s="36"/>
      <c r="M1047" s="36"/>
      <c r="N1047" s="36"/>
      <c r="P1047" s="59"/>
      <c r="Q1047" s="36"/>
      <c r="S1047" s="36"/>
      <c r="T1047" s="36"/>
      <c r="U1047" s="36"/>
      <c r="AM1047" s="40"/>
      <c r="AN1047" s="40"/>
    </row>
    <row r="1048" spans="8:40" x14ac:dyDescent="0.3">
      <c r="H1048" s="40"/>
      <c r="I1048" s="36"/>
      <c r="J1048" s="36"/>
      <c r="K1048" s="36"/>
      <c r="L1048" s="36"/>
      <c r="M1048" s="36"/>
      <c r="N1048" s="36"/>
      <c r="P1048" s="59"/>
      <c r="Q1048" s="36"/>
      <c r="S1048" s="36"/>
      <c r="T1048" s="36"/>
      <c r="U1048" s="36"/>
      <c r="AM1048" s="40"/>
      <c r="AN1048" s="40"/>
    </row>
    <row r="1049" spans="8:40" x14ac:dyDescent="0.3">
      <c r="H1049" s="40"/>
      <c r="I1049" s="36"/>
      <c r="J1049" s="36"/>
      <c r="K1049" s="36"/>
      <c r="L1049" s="36"/>
      <c r="M1049" s="36"/>
      <c r="N1049" s="36"/>
      <c r="P1049" s="59"/>
      <c r="Q1049" s="36"/>
      <c r="S1049" s="36"/>
      <c r="T1049" s="36"/>
      <c r="U1049" s="36"/>
      <c r="AM1049" s="40"/>
      <c r="AN1049" s="40"/>
    </row>
    <row r="1050" spans="8:40" x14ac:dyDescent="0.3">
      <c r="H1050" s="40"/>
      <c r="I1050" s="36"/>
      <c r="J1050" s="36"/>
      <c r="K1050" s="36"/>
      <c r="L1050" s="36"/>
      <c r="M1050" s="36"/>
      <c r="N1050" s="36"/>
      <c r="P1050" s="59"/>
      <c r="Q1050" s="36"/>
      <c r="S1050" s="36"/>
      <c r="T1050" s="36"/>
      <c r="U1050" s="36"/>
      <c r="AM1050" s="40"/>
      <c r="AN1050" s="40"/>
    </row>
    <row r="1051" spans="8:40" x14ac:dyDescent="0.3">
      <c r="H1051" s="40"/>
      <c r="I1051" s="36"/>
      <c r="J1051" s="36"/>
      <c r="K1051" s="36"/>
      <c r="L1051" s="36"/>
      <c r="M1051" s="36"/>
      <c r="N1051" s="36"/>
      <c r="P1051" s="59"/>
      <c r="Q1051" s="36"/>
      <c r="S1051" s="36"/>
      <c r="T1051" s="36"/>
      <c r="U1051" s="36"/>
      <c r="AM1051" s="40"/>
      <c r="AN1051" s="40"/>
    </row>
    <row r="1052" spans="8:40" x14ac:dyDescent="0.3">
      <c r="H1052" s="40"/>
      <c r="I1052" s="36"/>
      <c r="J1052" s="36"/>
      <c r="K1052" s="36"/>
      <c r="L1052" s="36"/>
      <c r="M1052" s="36"/>
      <c r="N1052" s="36"/>
      <c r="P1052" s="59"/>
      <c r="Q1052" s="36"/>
      <c r="S1052" s="36"/>
      <c r="T1052" s="36"/>
      <c r="U1052" s="36"/>
      <c r="AM1052" s="40"/>
      <c r="AN1052" s="40"/>
    </row>
    <row r="1053" spans="8:40" x14ac:dyDescent="0.3">
      <c r="H1053" s="40"/>
      <c r="I1053" s="36"/>
      <c r="J1053" s="36"/>
      <c r="K1053" s="36"/>
      <c r="L1053" s="36"/>
      <c r="M1053" s="36"/>
      <c r="N1053" s="36"/>
      <c r="P1053" s="59"/>
      <c r="Q1053" s="36"/>
      <c r="S1053" s="36"/>
      <c r="T1053" s="36"/>
      <c r="U1053" s="36"/>
      <c r="AM1053" s="40"/>
      <c r="AN1053" s="40"/>
    </row>
    <row r="1054" spans="8:40" x14ac:dyDescent="0.3">
      <c r="H1054" s="40"/>
      <c r="I1054" s="36"/>
      <c r="J1054" s="36"/>
      <c r="K1054" s="36"/>
      <c r="L1054" s="36"/>
      <c r="M1054" s="36"/>
      <c r="N1054" s="36"/>
      <c r="P1054" s="59"/>
      <c r="Q1054" s="36"/>
      <c r="S1054" s="36"/>
      <c r="T1054" s="36"/>
      <c r="U1054" s="36"/>
      <c r="AM1054" s="40"/>
      <c r="AN1054" s="40"/>
    </row>
    <row r="1055" spans="8:40" x14ac:dyDescent="0.3">
      <c r="H1055" s="40"/>
      <c r="I1055" s="36"/>
      <c r="J1055" s="36"/>
      <c r="K1055" s="36"/>
      <c r="L1055" s="36"/>
      <c r="M1055" s="36"/>
      <c r="N1055" s="36"/>
      <c r="P1055" s="59"/>
      <c r="Q1055" s="36"/>
      <c r="S1055" s="36"/>
      <c r="T1055" s="36"/>
      <c r="U1055" s="36"/>
      <c r="AM1055" s="40"/>
      <c r="AN1055" s="40"/>
    </row>
    <row r="1056" spans="8:40" x14ac:dyDescent="0.3">
      <c r="H1056" s="40"/>
      <c r="I1056" s="36"/>
      <c r="J1056" s="36"/>
      <c r="K1056" s="36"/>
      <c r="L1056" s="36"/>
      <c r="M1056" s="36"/>
      <c r="N1056" s="36"/>
      <c r="P1056" s="59"/>
      <c r="Q1056" s="36"/>
      <c r="S1056" s="36"/>
      <c r="T1056" s="36"/>
      <c r="U1056" s="36"/>
      <c r="AM1056" s="40"/>
      <c r="AN1056" s="40"/>
    </row>
    <row r="1057" spans="8:40" x14ac:dyDescent="0.3">
      <c r="H1057" s="40"/>
      <c r="I1057" s="36"/>
      <c r="J1057" s="36"/>
      <c r="K1057" s="36"/>
      <c r="L1057" s="36"/>
      <c r="M1057" s="36"/>
      <c r="N1057" s="36"/>
      <c r="P1057" s="59"/>
      <c r="Q1057" s="36"/>
      <c r="S1057" s="36"/>
      <c r="T1057" s="36"/>
      <c r="U1057" s="36"/>
      <c r="AM1057" s="40"/>
      <c r="AN1057" s="40"/>
    </row>
    <row r="1058" spans="8:40" x14ac:dyDescent="0.3">
      <c r="H1058" s="40"/>
      <c r="I1058" s="36"/>
      <c r="J1058" s="36"/>
      <c r="K1058" s="36"/>
      <c r="L1058" s="36"/>
      <c r="M1058" s="36"/>
      <c r="N1058" s="36"/>
      <c r="P1058" s="59"/>
      <c r="Q1058" s="36"/>
      <c r="S1058" s="36"/>
      <c r="T1058" s="36"/>
      <c r="U1058" s="36"/>
      <c r="AM1058" s="40"/>
      <c r="AN1058" s="40"/>
    </row>
    <row r="1059" spans="8:40" x14ac:dyDescent="0.3">
      <c r="H1059" s="40"/>
      <c r="I1059" s="36"/>
      <c r="J1059" s="36"/>
      <c r="K1059" s="36"/>
      <c r="L1059" s="36"/>
      <c r="M1059" s="36"/>
      <c r="N1059" s="36"/>
      <c r="P1059" s="59"/>
      <c r="Q1059" s="36"/>
      <c r="S1059" s="36"/>
      <c r="T1059" s="36"/>
      <c r="U1059" s="36"/>
      <c r="AM1059" s="40"/>
      <c r="AN1059" s="40"/>
    </row>
    <row r="1060" spans="8:40" x14ac:dyDescent="0.3">
      <c r="H1060" s="40"/>
      <c r="I1060" s="36"/>
      <c r="J1060" s="36"/>
      <c r="K1060" s="36"/>
      <c r="L1060" s="36"/>
      <c r="M1060" s="36"/>
      <c r="N1060" s="36"/>
      <c r="P1060" s="59"/>
      <c r="Q1060" s="36"/>
      <c r="S1060" s="36"/>
      <c r="T1060" s="36"/>
      <c r="U1060" s="36"/>
      <c r="AM1060" s="40"/>
      <c r="AN1060" s="40"/>
    </row>
    <row r="1061" spans="8:40" x14ac:dyDescent="0.3">
      <c r="H1061" s="40"/>
      <c r="I1061" s="36"/>
      <c r="J1061" s="36"/>
      <c r="K1061" s="36"/>
      <c r="L1061" s="36"/>
      <c r="M1061" s="36"/>
      <c r="N1061" s="36"/>
      <c r="P1061" s="59"/>
      <c r="Q1061" s="36"/>
      <c r="S1061" s="36"/>
      <c r="T1061" s="36"/>
      <c r="U1061" s="36"/>
      <c r="AM1061" s="40"/>
      <c r="AN1061" s="40"/>
    </row>
    <row r="1062" spans="8:40" x14ac:dyDescent="0.3">
      <c r="H1062" s="40"/>
      <c r="I1062" s="36"/>
      <c r="J1062" s="36"/>
      <c r="K1062" s="36"/>
      <c r="L1062" s="36"/>
      <c r="M1062" s="36"/>
      <c r="N1062" s="36"/>
      <c r="P1062" s="59"/>
      <c r="Q1062" s="36"/>
      <c r="S1062" s="36"/>
      <c r="T1062" s="36"/>
      <c r="U1062" s="36"/>
      <c r="AM1062" s="40"/>
      <c r="AN1062" s="40"/>
    </row>
    <row r="1063" spans="8:40" x14ac:dyDescent="0.3">
      <c r="H1063" s="40"/>
      <c r="I1063" s="36"/>
      <c r="J1063" s="36"/>
      <c r="K1063" s="36"/>
      <c r="L1063" s="36"/>
      <c r="M1063" s="36"/>
      <c r="N1063" s="36"/>
      <c r="P1063" s="59"/>
      <c r="Q1063" s="36"/>
      <c r="S1063" s="36"/>
      <c r="T1063" s="36"/>
      <c r="U1063" s="36"/>
      <c r="AM1063" s="40"/>
      <c r="AN1063" s="40"/>
    </row>
    <row r="1064" spans="8:40" x14ac:dyDescent="0.3">
      <c r="H1064" s="40"/>
      <c r="I1064" s="36"/>
      <c r="J1064" s="36"/>
      <c r="K1064" s="36"/>
      <c r="L1064" s="36"/>
      <c r="M1064" s="36"/>
      <c r="N1064" s="36"/>
      <c r="P1064" s="59"/>
      <c r="Q1064" s="36"/>
      <c r="S1064" s="36"/>
      <c r="T1064" s="36"/>
      <c r="U1064" s="36"/>
      <c r="AM1064" s="40"/>
      <c r="AN1064" s="40"/>
    </row>
    <row r="1065" spans="8:40" x14ac:dyDescent="0.3">
      <c r="H1065" s="40"/>
      <c r="I1065" s="36"/>
      <c r="J1065" s="36"/>
      <c r="K1065" s="36"/>
      <c r="L1065" s="36"/>
      <c r="M1065" s="36"/>
      <c r="N1065" s="36"/>
      <c r="P1065" s="59"/>
      <c r="Q1065" s="36"/>
      <c r="S1065" s="36"/>
      <c r="T1065" s="36"/>
      <c r="U1065" s="36"/>
      <c r="AM1065" s="40"/>
      <c r="AN1065" s="40"/>
    </row>
    <row r="1066" spans="8:40" x14ac:dyDescent="0.3">
      <c r="H1066" s="40"/>
      <c r="I1066" s="36"/>
      <c r="J1066" s="36"/>
      <c r="K1066" s="36"/>
      <c r="L1066" s="36"/>
      <c r="M1066" s="36"/>
      <c r="N1066" s="36"/>
      <c r="P1066" s="59"/>
      <c r="Q1066" s="36"/>
      <c r="S1066" s="36"/>
      <c r="T1066" s="36"/>
      <c r="U1066" s="36"/>
      <c r="AM1066" s="40"/>
      <c r="AN1066" s="40"/>
    </row>
    <row r="1067" spans="8:40" x14ac:dyDescent="0.3">
      <c r="H1067" s="40"/>
      <c r="I1067" s="36"/>
      <c r="J1067" s="36"/>
      <c r="K1067" s="36"/>
      <c r="L1067" s="36"/>
      <c r="M1067" s="36"/>
      <c r="N1067" s="36"/>
      <c r="P1067" s="59"/>
      <c r="Q1067" s="36"/>
      <c r="S1067" s="36"/>
      <c r="T1067" s="36"/>
      <c r="U1067" s="36"/>
      <c r="AM1067" s="40"/>
      <c r="AN1067" s="40"/>
    </row>
    <row r="1068" spans="8:40" x14ac:dyDescent="0.3">
      <c r="H1068" s="40"/>
      <c r="I1068" s="36"/>
      <c r="J1068" s="36"/>
      <c r="K1068" s="36"/>
      <c r="L1068" s="36"/>
      <c r="M1068" s="36"/>
      <c r="N1068" s="36"/>
      <c r="P1068" s="59"/>
      <c r="Q1068" s="36"/>
      <c r="S1068" s="36"/>
      <c r="T1068" s="36"/>
      <c r="U1068" s="36"/>
      <c r="AM1068" s="40"/>
      <c r="AN1068" s="40"/>
    </row>
    <row r="1069" spans="8:40" x14ac:dyDescent="0.3">
      <c r="H1069" s="40"/>
      <c r="I1069" s="36"/>
      <c r="J1069" s="36"/>
      <c r="K1069" s="36"/>
      <c r="L1069" s="36"/>
      <c r="M1069" s="36"/>
      <c r="N1069" s="36"/>
      <c r="P1069" s="59"/>
      <c r="Q1069" s="36"/>
      <c r="S1069" s="36"/>
      <c r="T1069" s="36"/>
      <c r="U1069" s="36"/>
      <c r="AM1069" s="40"/>
      <c r="AN1069" s="40"/>
    </row>
    <row r="1070" spans="8:40" x14ac:dyDescent="0.3">
      <c r="H1070" s="40"/>
      <c r="I1070" s="36"/>
      <c r="J1070" s="36"/>
      <c r="K1070" s="36"/>
      <c r="L1070" s="36"/>
      <c r="M1070" s="36"/>
      <c r="N1070" s="36"/>
      <c r="P1070" s="59"/>
      <c r="Q1070" s="36"/>
      <c r="S1070" s="36"/>
      <c r="T1070" s="36"/>
      <c r="U1070" s="36"/>
      <c r="AM1070" s="40"/>
      <c r="AN1070" s="40"/>
    </row>
    <row r="1071" spans="8:40" x14ac:dyDescent="0.3">
      <c r="H1071" s="40"/>
      <c r="I1071" s="36"/>
      <c r="J1071" s="36"/>
      <c r="K1071" s="36"/>
      <c r="L1071" s="36"/>
      <c r="M1071" s="36"/>
      <c r="N1071" s="36"/>
      <c r="P1071" s="59"/>
      <c r="Q1071" s="36"/>
      <c r="S1071" s="36"/>
      <c r="T1071" s="36"/>
      <c r="U1071" s="36"/>
      <c r="AM1071" s="40"/>
      <c r="AN1071" s="40"/>
    </row>
    <row r="1072" spans="8:40" x14ac:dyDescent="0.3">
      <c r="H1072" s="40"/>
      <c r="I1072" s="36"/>
      <c r="J1072" s="36"/>
      <c r="K1072" s="36"/>
      <c r="L1072" s="36"/>
      <c r="M1072" s="36"/>
      <c r="N1072" s="36"/>
      <c r="P1072" s="59"/>
      <c r="Q1072" s="36"/>
      <c r="S1072" s="36"/>
      <c r="T1072" s="36"/>
      <c r="U1072" s="36"/>
      <c r="AM1072" s="40"/>
      <c r="AN1072" s="40"/>
    </row>
    <row r="1073" spans="8:40" x14ac:dyDescent="0.3">
      <c r="H1073" s="40"/>
      <c r="I1073" s="36"/>
      <c r="J1073" s="36"/>
      <c r="K1073" s="36"/>
      <c r="L1073" s="36"/>
      <c r="M1073" s="36"/>
      <c r="N1073" s="36"/>
      <c r="P1073" s="59"/>
      <c r="Q1073" s="36"/>
      <c r="S1073" s="36"/>
      <c r="T1073" s="36"/>
      <c r="U1073" s="36"/>
      <c r="AM1073" s="40"/>
      <c r="AN1073" s="40"/>
    </row>
    <row r="1074" spans="8:40" x14ac:dyDescent="0.3">
      <c r="H1074" s="40"/>
      <c r="I1074" s="36"/>
      <c r="J1074" s="36"/>
      <c r="K1074" s="36"/>
      <c r="L1074" s="36"/>
      <c r="M1074" s="36"/>
      <c r="N1074" s="36"/>
      <c r="P1074" s="59"/>
      <c r="Q1074" s="36"/>
      <c r="S1074" s="36"/>
      <c r="T1074" s="36"/>
      <c r="U1074" s="36"/>
      <c r="AM1074" s="40"/>
      <c r="AN1074" s="40"/>
    </row>
    <row r="1075" spans="8:40" x14ac:dyDescent="0.3">
      <c r="H1075" s="40"/>
      <c r="I1075" s="36"/>
      <c r="J1075" s="36"/>
      <c r="K1075" s="36"/>
      <c r="L1075" s="36"/>
      <c r="M1075" s="36"/>
      <c r="N1075" s="36"/>
      <c r="P1075" s="59"/>
      <c r="Q1075" s="36"/>
      <c r="S1075" s="36"/>
      <c r="T1075" s="36"/>
      <c r="U1075" s="36"/>
      <c r="AM1075" s="40"/>
      <c r="AN1075" s="40"/>
    </row>
    <row r="1076" spans="8:40" x14ac:dyDescent="0.3">
      <c r="H1076" s="40"/>
      <c r="I1076" s="36"/>
      <c r="J1076" s="36"/>
      <c r="K1076" s="36"/>
      <c r="L1076" s="36"/>
      <c r="M1076" s="36"/>
      <c r="N1076" s="36"/>
      <c r="P1076" s="59"/>
      <c r="Q1076" s="36"/>
      <c r="S1076" s="36"/>
      <c r="T1076" s="36"/>
      <c r="U1076" s="36"/>
      <c r="AM1076" s="40"/>
      <c r="AN1076" s="40"/>
    </row>
    <row r="1077" spans="8:40" x14ac:dyDescent="0.3">
      <c r="H1077" s="40"/>
      <c r="I1077" s="36"/>
      <c r="J1077" s="36"/>
      <c r="K1077" s="36"/>
      <c r="L1077" s="36"/>
      <c r="M1077" s="36"/>
      <c r="N1077" s="36"/>
      <c r="P1077" s="59"/>
      <c r="Q1077" s="36"/>
      <c r="S1077" s="36"/>
      <c r="T1077" s="36"/>
      <c r="U1077" s="36"/>
      <c r="AM1077" s="40"/>
      <c r="AN1077" s="40"/>
    </row>
    <row r="1078" spans="8:40" x14ac:dyDescent="0.3">
      <c r="H1078" s="40"/>
      <c r="I1078" s="36"/>
      <c r="J1078" s="36"/>
      <c r="K1078" s="36"/>
      <c r="L1078" s="36"/>
      <c r="M1078" s="36"/>
      <c r="N1078" s="36"/>
      <c r="P1078" s="59"/>
      <c r="Q1078" s="36"/>
      <c r="S1078" s="36"/>
      <c r="T1078" s="36"/>
      <c r="U1078" s="36"/>
      <c r="AM1078" s="40"/>
      <c r="AN1078" s="40"/>
    </row>
    <row r="1079" spans="8:40" x14ac:dyDescent="0.3">
      <c r="H1079" s="40"/>
      <c r="I1079" s="36"/>
      <c r="J1079" s="36"/>
      <c r="K1079" s="36"/>
      <c r="L1079" s="36"/>
      <c r="M1079" s="36"/>
      <c r="N1079" s="36"/>
      <c r="P1079" s="59"/>
      <c r="Q1079" s="36"/>
      <c r="S1079" s="36"/>
      <c r="T1079" s="36"/>
      <c r="U1079" s="36"/>
      <c r="AM1079" s="40"/>
      <c r="AN1079" s="40"/>
    </row>
    <row r="1080" spans="8:40" x14ac:dyDescent="0.3">
      <c r="H1080" s="40"/>
      <c r="I1080" s="36"/>
      <c r="J1080" s="36"/>
      <c r="K1080" s="36"/>
      <c r="L1080" s="36"/>
      <c r="M1080" s="36"/>
      <c r="N1080" s="36"/>
      <c r="P1080" s="59"/>
      <c r="Q1080" s="36"/>
      <c r="S1080" s="36"/>
      <c r="T1080" s="36"/>
      <c r="U1080" s="36"/>
      <c r="AM1080" s="40"/>
      <c r="AN1080" s="40"/>
    </row>
    <row r="1081" spans="8:40" x14ac:dyDescent="0.3">
      <c r="H1081" s="40"/>
      <c r="I1081" s="36"/>
      <c r="J1081" s="36"/>
      <c r="K1081" s="36"/>
      <c r="L1081" s="36"/>
      <c r="M1081" s="36"/>
      <c r="N1081" s="36"/>
      <c r="P1081" s="59"/>
      <c r="Q1081" s="36"/>
      <c r="S1081" s="36"/>
      <c r="T1081" s="36"/>
      <c r="U1081" s="36"/>
      <c r="AM1081" s="40"/>
      <c r="AN1081" s="40"/>
    </row>
    <row r="1082" spans="8:40" x14ac:dyDescent="0.3">
      <c r="H1082" s="40"/>
      <c r="I1082" s="36"/>
      <c r="J1082" s="36"/>
      <c r="K1082" s="36"/>
      <c r="L1082" s="36"/>
      <c r="M1082" s="36"/>
      <c r="N1082" s="36"/>
      <c r="P1082" s="59"/>
      <c r="Q1082" s="36"/>
      <c r="S1082" s="36"/>
      <c r="T1082" s="36"/>
      <c r="U1082" s="36"/>
      <c r="AM1082" s="40"/>
      <c r="AN1082" s="40"/>
    </row>
    <row r="1083" spans="8:40" x14ac:dyDescent="0.3">
      <c r="H1083" s="40"/>
      <c r="I1083" s="36"/>
      <c r="J1083" s="36"/>
      <c r="K1083" s="36"/>
      <c r="L1083" s="36"/>
      <c r="M1083" s="36"/>
      <c r="N1083" s="36"/>
      <c r="P1083" s="59"/>
      <c r="Q1083" s="36"/>
      <c r="S1083" s="36"/>
      <c r="T1083" s="36"/>
      <c r="U1083" s="36"/>
      <c r="AM1083" s="40"/>
      <c r="AN1083" s="40"/>
    </row>
    <row r="1084" spans="8:40" x14ac:dyDescent="0.3">
      <c r="H1084" s="40"/>
      <c r="I1084" s="36"/>
      <c r="J1084" s="36"/>
      <c r="K1084" s="36"/>
      <c r="L1084" s="36"/>
      <c r="M1084" s="36"/>
      <c r="N1084" s="36"/>
      <c r="P1084" s="59"/>
      <c r="Q1084" s="36"/>
      <c r="S1084" s="36"/>
      <c r="T1084" s="36"/>
      <c r="U1084" s="36"/>
      <c r="AM1084" s="40"/>
      <c r="AN1084" s="40"/>
    </row>
    <row r="1085" spans="8:40" x14ac:dyDescent="0.3">
      <c r="H1085" s="40"/>
      <c r="I1085" s="36"/>
      <c r="J1085" s="36"/>
      <c r="K1085" s="36"/>
      <c r="L1085" s="36"/>
      <c r="M1085" s="36"/>
      <c r="N1085" s="36"/>
      <c r="P1085" s="59"/>
      <c r="Q1085" s="36"/>
      <c r="S1085" s="36"/>
      <c r="T1085" s="36"/>
      <c r="U1085" s="36"/>
      <c r="AM1085" s="40"/>
      <c r="AN1085" s="40"/>
    </row>
    <row r="1086" spans="8:40" x14ac:dyDescent="0.3">
      <c r="H1086" s="40"/>
      <c r="I1086" s="36"/>
      <c r="J1086" s="36"/>
      <c r="K1086" s="36"/>
      <c r="L1086" s="36"/>
      <c r="M1086" s="36"/>
      <c r="N1086" s="36"/>
      <c r="P1086" s="59"/>
      <c r="Q1086" s="36"/>
      <c r="S1086" s="36"/>
      <c r="T1086" s="36"/>
      <c r="U1086" s="36"/>
      <c r="AM1086" s="40"/>
      <c r="AN1086" s="40"/>
    </row>
    <row r="1087" spans="8:40" x14ac:dyDescent="0.3">
      <c r="H1087" s="40"/>
      <c r="I1087" s="36"/>
      <c r="J1087" s="36"/>
      <c r="K1087" s="36"/>
      <c r="L1087" s="36"/>
      <c r="M1087" s="36"/>
      <c r="N1087" s="36"/>
      <c r="P1087" s="59"/>
      <c r="Q1087" s="36"/>
      <c r="S1087" s="36"/>
      <c r="T1087" s="36"/>
      <c r="U1087" s="36"/>
      <c r="AM1087" s="40"/>
      <c r="AN1087" s="40"/>
    </row>
    <row r="1088" spans="8:40" x14ac:dyDescent="0.3">
      <c r="H1088" s="40"/>
      <c r="I1088" s="36"/>
      <c r="J1088" s="36"/>
      <c r="K1088" s="36"/>
      <c r="L1088" s="36"/>
      <c r="M1088" s="36"/>
      <c r="N1088" s="36"/>
      <c r="P1088" s="59"/>
      <c r="Q1088" s="36"/>
      <c r="S1088" s="36"/>
      <c r="T1088" s="36"/>
      <c r="U1088" s="36"/>
      <c r="AM1088" s="40"/>
      <c r="AN1088" s="40"/>
    </row>
    <row r="1089" spans="8:40" x14ac:dyDescent="0.3">
      <c r="H1089" s="40"/>
      <c r="I1089" s="36"/>
      <c r="J1089" s="36"/>
      <c r="K1089" s="36"/>
      <c r="L1089" s="36"/>
      <c r="M1089" s="36"/>
      <c r="N1089" s="36"/>
      <c r="P1089" s="59"/>
      <c r="Q1089" s="36"/>
      <c r="S1089" s="36"/>
      <c r="T1089" s="36"/>
      <c r="U1089" s="36"/>
      <c r="AM1089" s="40"/>
      <c r="AN1089" s="40"/>
    </row>
    <row r="1090" spans="8:40" x14ac:dyDescent="0.3">
      <c r="H1090" s="40"/>
      <c r="I1090" s="36"/>
      <c r="J1090" s="36"/>
      <c r="K1090" s="36"/>
      <c r="L1090" s="36"/>
      <c r="M1090" s="36"/>
      <c r="N1090" s="36"/>
      <c r="P1090" s="59"/>
      <c r="Q1090" s="36"/>
      <c r="S1090" s="36"/>
      <c r="T1090" s="36"/>
      <c r="U1090" s="36"/>
      <c r="AM1090" s="40"/>
      <c r="AN1090" s="40"/>
    </row>
    <row r="1091" spans="8:40" x14ac:dyDescent="0.3">
      <c r="H1091" s="40"/>
      <c r="I1091" s="36"/>
      <c r="J1091" s="36"/>
      <c r="K1091" s="36"/>
      <c r="L1091" s="36"/>
      <c r="M1091" s="36"/>
      <c r="N1091" s="36"/>
      <c r="P1091" s="59"/>
      <c r="Q1091" s="36"/>
      <c r="S1091" s="36"/>
      <c r="T1091" s="36"/>
      <c r="U1091" s="36"/>
      <c r="AM1091" s="40"/>
      <c r="AN1091" s="40"/>
    </row>
    <row r="1092" spans="8:40" x14ac:dyDescent="0.3">
      <c r="H1092" s="40"/>
      <c r="I1092" s="36"/>
      <c r="J1092" s="36"/>
      <c r="K1092" s="36"/>
      <c r="L1092" s="36"/>
      <c r="M1092" s="36"/>
      <c r="N1092" s="36"/>
      <c r="P1092" s="59"/>
      <c r="Q1092" s="36"/>
      <c r="S1092" s="36"/>
      <c r="T1092" s="36"/>
      <c r="U1092" s="36"/>
      <c r="AM1092" s="40"/>
      <c r="AN1092" s="40"/>
    </row>
    <row r="1093" spans="8:40" x14ac:dyDescent="0.3">
      <c r="H1093" s="40"/>
      <c r="I1093" s="36"/>
      <c r="J1093" s="36"/>
      <c r="K1093" s="36"/>
      <c r="L1093" s="36"/>
      <c r="M1093" s="36"/>
      <c r="N1093" s="36"/>
      <c r="P1093" s="59"/>
      <c r="Q1093" s="36"/>
      <c r="S1093" s="36"/>
      <c r="T1093" s="36"/>
      <c r="U1093" s="36"/>
      <c r="AM1093" s="40"/>
      <c r="AN1093" s="40"/>
    </row>
    <row r="1094" spans="8:40" x14ac:dyDescent="0.3">
      <c r="H1094" s="40"/>
      <c r="I1094" s="36"/>
      <c r="J1094" s="36"/>
      <c r="K1094" s="36"/>
      <c r="L1094" s="36"/>
      <c r="M1094" s="36"/>
      <c r="N1094" s="36"/>
      <c r="P1094" s="59"/>
      <c r="Q1094" s="36"/>
      <c r="S1094" s="36"/>
      <c r="T1094" s="36"/>
      <c r="U1094" s="36"/>
      <c r="AM1094" s="40"/>
      <c r="AN1094" s="40"/>
    </row>
    <row r="1095" spans="8:40" x14ac:dyDescent="0.3">
      <c r="H1095" s="40"/>
      <c r="I1095" s="36"/>
      <c r="J1095" s="36"/>
      <c r="K1095" s="36"/>
      <c r="L1095" s="36"/>
      <c r="M1095" s="36"/>
      <c r="N1095" s="36"/>
      <c r="P1095" s="59"/>
      <c r="Q1095" s="36"/>
      <c r="S1095" s="36"/>
      <c r="T1095" s="36"/>
      <c r="U1095" s="36"/>
      <c r="AM1095" s="40"/>
      <c r="AN1095" s="40"/>
    </row>
    <row r="1096" spans="8:40" x14ac:dyDescent="0.3">
      <c r="H1096" s="40"/>
      <c r="I1096" s="36"/>
      <c r="J1096" s="36"/>
      <c r="K1096" s="36"/>
      <c r="L1096" s="36"/>
      <c r="M1096" s="36"/>
      <c r="N1096" s="36"/>
      <c r="P1096" s="59"/>
      <c r="Q1096" s="36"/>
      <c r="S1096" s="36"/>
      <c r="T1096" s="36"/>
      <c r="U1096" s="36"/>
      <c r="AM1096" s="40"/>
      <c r="AN1096" s="40"/>
    </row>
    <row r="1097" spans="8:40" x14ac:dyDescent="0.3">
      <c r="H1097" s="40"/>
      <c r="I1097" s="36"/>
      <c r="J1097" s="36"/>
      <c r="K1097" s="36"/>
      <c r="L1097" s="36"/>
      <c r="M1097" s="36"/>
      <c r="N1097" s="36"/>
      <c r="P1097" s="59"/>
      <c r="Q1097" s="36"/>
      <c r="S1097" s="36"/>
      <c r="T1097" s="36"/>
      <c r="U1097" s="36"/>
      <c r="AM1097" s="40"/>
      <c r="AN1097" s="40"/>
    </row>
    <row r="1098" spans="8:40" x14ac:dyDescent="0.3">
      <c r="H1098" s="40"/>
      <c r="I1098" s="36"/>
      <c r="J1098" s="36"/>
      <c r="K1098" s="36"/>
      <c r="L1098" s="36"/>
      <c r="M1098" s="36"/>
      <c r="N1098" s="36"/>
      <c r="P1098" s="59"/>
      <c r="Q1098" s="36"/>
      <c r="S1098" s="36"/>
      <c r="T1098" s="36"/>
      <c r="U1098" s="36"/>
      <c r="AM1098" s="40"/>
      <c r="AN1098" s="40"/>
    </row>
    <row r="1099" spans="8:40" x14ac:dyDescent="0.3">
      <c r="H1099" s="40"/>
      <c r="I1099" s="36"/>
      <c r="J1099" s="36"/>
      <c r="K1099" s="36"/>
      <c r="L1099" s="36"/>
      <c r="M1099" s="36"/>
      <c r="N1099" s="36"/>
      <c r="P1099" s="59"/>
      <c r="Q1099" s="36"/>
      <c r="S1099" s="36"/>
      <c r="T1099" s="36"/>
      <c r="U1099" s="36"/>
      <c r="AM1099" s="40"/>
      <c r="AN1099" s="40"/>
    </row>
    <row r="1100" spans="8:40" x14ac:dyDescent="0.3">
      <c r="H1100" s="40"/>
      <c r="I1100" s="36"/>
      <c r="J1100" s="36"/>
      <c r="K1100" s="36"/>
      <c r="L1100" s="36"/>
      <c r="M1100" s="36"/>
      <c r="N1100" s="36"/>
      <c r="P1100" s="59"/>
      <c r="Q1100" s="36"/>
      <c r="S1100" s="36"/>
      <c r="T1100" s="36"/>
      <c r="U1100" s="36"/>
      <c r="AM1100" s="40"/>
      <c r="AN1100" s="40"/>
    </row>
    <row r="1101" spans="8:40" x14ac:dyDescent="0.3">
      <c r="H1101" s="40"/>
      <c r="I1101" s="36"/>
      <c r="J1101" s="36"/>
      <c r="K1101" s="36"/>
      <c r="L1101" s="36"/>
      <c r="M1101" s="36"/>
      <c r="N1101" s="36"/>
      <c r="P1101" s="59"/>
      <c r="Q1101" s="36"/>
      <c r="S1101" s="36"/>
      <c r="T1101" s="36"/>
      <c r="U1101" s="36"/>
      <c r="AM1101" s="40"/>
      <c r="AN1101" s="40"/>
    </row>
    <row r="1102" spans="8:40" x14ac:dyDescent="0.3">
      <c r="H1102" s="40"/>
      <c r="I1102" s="36"/>
      <c r="J1102" s="36"/>
      <c r="K1102" s="36"/>
      <c r="L1102" s="36"/>
      <c r="M1102" s="36"/>
      <c r="N1102" s="36"/>
      <c r="P1102" s="59"/>
      <c r="Q1102" s="36"/>
      <c r="S1102" s="36"/>
      <c r="T1102" s="36"/>
      <c r="U1102" s="36"/>
      <c r="AM1102" s="40"/>
      <c r="AN1102" s="40"/>
    </row>
    <row r="1103" spans="8:40" x14ac:dyDescent="0.3">
      <c r="H1103" s="40"/>
      <c r="I1103" s="36"/>
      <c r="J1103" s="36"/>
      <c r="K1103" s="36"/>
      <c r="L1103" s="36"/>
      <c r="M1103" s="36"/>
      <c r="N1103" s="36"/>
      <c r="P1103" s="59"/>
      <c r="Q1103" s="36"/>
      <c r="S1103" s="36"/>
      <c r="T1103" s="36"/>
      <c r="U1103" s="36"/>
      <c r="AM1103" s="40"/>
      <c r="AN1103" s="40"/>
    </row>
    <row r="1104" spans="8:40" x14ac:dyDescent="0.3">
      <c r="H1104" s="40"/>
      <c r="I1104" s="36"/>
      <c r="J1104" s="36"/>
      <c r="K1104" s="36"/>
      <c r="L1104" s="36"/>
      <c r="M1104" s="36"/>
      <c r="N1104" s="36"/>
      <c r="P1104" s="59"/>
      <c r="Q1104" s="36"/>
      <c r="S1104" s="36"/>
      <c r="T1104" s="36"/>
      <c r="U1104" s="36"/>
      <c r="AM1104" s="40"/>
      <c r="AN1104" s="40"/>
    </row>
    <row r="1105" spans="8:40" x14ac:dyDescent="0.3">
      <c r="H1105" s="40"/>
      <c r="I1105" s="36"/>
      <c r="J1105" s="36"/>
      <c r="K1105" s="36"/>
      <c r="L1105" s="36"/>
      <c r="M1105" s="36"/>
      <c r="N1105" s="36"/>
      <c r="P1105" s="59"/>
      <c r="Q1105" s="36"/>
      <c r="S1105" s="36"/>
      <c r="T1105" s="36"/>
      <c r="U1105" s="36"/>
      <c r="AM1105" s="40"/>
      <c r="AN1105" s="40"/>
    </row>
    <row r="1106" spans="8:40" x14ac:dyDescent="0.3">
      <c r="H1106" s="40"/>
      <c r="I1106" s="36"/>
      <c r="J1106" s="36"/>
      <c r="K1106" s="36"/>
      <c r="L1106" s="36"/>
      <c r="M1106" s="36"/>
      <c r="N1106" s="36"/>
      <c r="P1106" s="59"/>
      <c r="Q1106" s="36"/>
      <c r="S1106" s="36"/>
      <c r="T1106" s="36"/>
      <c r="U1106" s="36"/>
      <c r="AM1106" s="40"/>
      <c r="AN1106" s="40"/>
    </row>
    <row r="1107" spans="8:40" x14ac:dyDescent="0.3">
      <c r="H1107" s="40"/>
      <c r="I1107" s="36"/>
      <c r="J1107" s="36"/>
      <c r="K1107" s="36"/>
      <c r="L1107" s="36"/>
      <c r="M1107" s="36"/>
      <c r="N1107" s="36"/>
      <c r="P1107" s="59"/>
      <c r="Q1107" s="36"/>
      <c r="S1107" s="36"/>
      <c r="T1107" s="36"/>
      <c r="U1107" s="36"/>
      <c r="AM1107" s="40"/>
      <c r="AN1107" s="40"/>
    </row>
    <row r="1108" spans="8:40" x14ac:dyDescent="0.3">
      <c r="H1108" s="40"/>
      <c r="I1108" s="36"/>
      <c r="J1108" s="36"/>
      <c r="K1108" s="36"/>
      <c r="L1108" s="36"/>
      <c r="M1108" s="36"/>
      <c r="N1108" s="36"/>
      <c r="P1108" s="59"/>
      <c r="Q1108" s="36"/>
      <c r="S1108" s="36"/>
      <c r="T1108" s="36"/>
      <c r="U1108" s="36"/>
      <c r="AM1108" s="40"/>
      <c r="AN1108" s="40"/>
    </row>
    <row r="1109" spans="8:40" x14ac:dyDescent="0.3">
      <c r="H1109" s="40"/>
      <c r="I1109" s="36"/>
      <c r="J1109" s="36"/>
      <c r="K1109" s="36"/>
      <c r="L1109" s="36"/>
      <c r="M1109" s="36"/>
      <c r="N1109" s="36"/>
      <c r="P1109" s="59"/>
      <c r="Q1109" s="36"/>
      <c r="S1109" s="36"/>
      <c r="T1109" s="36"/>
      <c r="U1109" s="36"/>
      <c r="AM1109" s="40"/>
      <c r="AN1109" s="40"/>
    </row>
    <row r="1110" spans="8:40" x14ac:dyDescent="0.3">
      <c r="H1110" s="40"/>
      <c r="I1110" s="36"/>
      <c r="J1110" s="36"/>
      <c r="K1110" s="36"/>
      <c r="L1110" s="36"/>
      <c r="M1110" s="36"/>
      <c r="N1110" s="36"/>
      <c r="P1110" s="59"/>
      <c r="Q1110" s="36"/>
      <c r="S1110" s="36"/>
      <c r="T1110" s="36"/>
      <c r="U1110" s="36"/>
      <c r="AM1110" s="40"/>
      <c r="AN1110" s="40"/>
    </row>
    <row r="1111" spans="8:40" x14ac:dyDescent="0.3">
      <c r="H1111" s="40"/>
      <c r="I1111" s="36"/>
      <c r="J1111" s="36"/>
      <c r="K1111" s="36"/>
      <c r="L1111" s="36"/>
      <c r="M1111" s="36"/>
      <c r="N1111" s="36"/>
      <c r="P1111" s="59"/>
      <c r="Q1111" s="36"/>
      <c r="S1111" s="36"/>
      <c r="T1111" s="36"/>
      <c r="U1111" s="36"/>
      <c r="AM1111" s="40"/>
      <c r="AN1111" s="40"/>
    </row>
    <row r="1112" spans="8:40" x14ac:dyDescent="0.3">
      <c r="H1112" s="40"/>
      <c r="I1112" s="36"/>
      <c r="J1112" s="36"/>
      <c r="K1112" s="36"/>
      <c r="L1112" s="36"/>
      <c r="M1112" s="36"/>
      <c r="N1112" s="36"/>
      <c r="P1112" s="59"/>
      <c r="Q1112" s="36"/>
      <c r="S1112" s="36"/>
      <c r="T1112" s="36"/>
      <c r="U1112" s="36"/>
      <c r="AM1112" s="40"/>
      <c r="AN1112" s="40"/>
    </row>
    <row r="1113" spans="8:40" x14ac:dyDescent="0.3">
      <c r="H1113" s="40"/>
      <c r="I1113" s="36"/>
      <c r="J1113" s="36"/>
      <c r="K1113" s="36"/>
      <c r="L1113" s="36"/>
      <c r="M1113" s="36"/>
      <c r="N1113" s="36"/>
      <c r="P1113" s="59"/>
      <c r="Q1113" s="36"/>
      <c r="S1113" s="36"/>
      <c r="T1113" s="36"/>
      <c r="U1113" s="36"/>
      <c r="AM1113" s="40"/>
      <c r="AN1113" s="40"/>
    </row>
    <row r="1114" spans="8:40" x14ac:dyDescent="0.3">
      <c r="H1114" s="40"/>
      <c r="I1114" s="36"/>
      <c r="J1114" s="36"/>
      <c r="K1114" s="36"/>
      <c r="L1114" s="36"/>
      <c r="M1114" s="36"/>
      <c r="N1114" s="36"/>
      <c r="P1114" s="59"/>
      <c r="Q1114" s="36"/>
      <c r="S1114" s="36"/>
      <c r="T1114" s="36"/>
      <c r="U1114" s="36"/>
      <c r="AM1114" s="40"/>
      <c r="AN1114" s="40"/>
    </row>
    <row r="1115" spans="8:40" x14ac:dyDescent="0.3">
      <c r="H1115" s="40"/>
      <c r="I1115" s="36"/>
      <c r="J1115" s="36"/>
      <c r="K1115" s="36"/>
      <c r="L1115" s="36"/>
      <c r="M1115" s="36"/>
      <c r="N1115" s="36"/>
      <c r="P1115" s="59"/>
      <c r="Q1115" s="36"/>
      <c r="S1115" s="36"/>
      <c r="T1115" s="36"/>
      <c r="U1115" s="36"/>
      <c r="AM1115" s="40"/>
      <c r="AN1115" s="40"/>
    </row>
    <row r="1116" spans="8:40" x14ac:dyDescent="0.3">
      <c r="H1116" s="40"/>
      <c r="I1116" s="36"/>
      <c r="J1116" s="36"/>
      <c r="K1116" s="36"/>
      <c r="L1116" s="36"/>
      <c r="M1116" s="36"/>
      <c r="N1116" s="36"/>
      <c r="P1116" s="59"/>
      <c r="Q1116" s="36"/>
      <c r="S1116" s="36"/>
      <c r="T1116" s="36"/>
      <c r="U1116" s="36"/>
      <c r="AM1116" s="40"/>
      <c r="AN1116" s="40"/>
    </row>
    <row r="1117" spans="8:40" x14ac:dyDescent="0.3">
      <c r="H1117" s="40"/>
      <c r="I1117" s="36"/>
      <c r="J1117" s="36"/>
      <c r="K1117" s="36"/>
      <c r="L1117" s="36"/>
      <c r="M1117" s="36"/>
      <c r="N1117" s="36"/>
      <c r="P1117" s="59"/>
      <c r="Q1117" s="36"/>
      <c r="S1117" s="36"/>
      <c r="T1117" s="36"/>
      <c r="U1117" s="36"/>
      <c r="AM1117" s="40"/>
      <c r="AN1117" s="40"/>
    </row>
    <row r="1118" spans="8:40" x14ac:dyDescent="0.3">
      <c r="H1118" s="40"/>
      <c r="I1118" s="36"/>
      <c r="J1118" s="36"/>
      <c r="K1118" s="36"/>
      <c r="L1118" s="36"/>
      <c r="M1118" s="36"/>
      <c r="N1118" s="36"/>
      <c r="P1118" s="59"/>
      <c r="Q1118" s="36"/>
      <c r="S1118" s="36"/>
      <c r="T1118" s="36"/>
      <c r="U1118" s="36"/>
      <c r="AM1118" s="40"/>
      <c r="AN1118" s="40"/>
    </row>
    <row r="1119" spans="8:40" x14ac:dyDescent="0.3">
      <c r="H1119" s="40"/>
      <c r="I1119" s="36"/>
      <c r="J1119" s="36"/>
      <c r="K1119" s="36"/>
      <c r="L1119" s="36"/>
      <c r="M1119" s="36"/>
      <c r="N1119" s="36"/>
      <c r="P1119" s="59"/>
      <c r="Q1119" s="36"/>
      <c r="S1119" s="36"/>
      <c r="T1119" s="36"/>
      <c r="U1119" s="36"/>
      <c r="AM1119" s="40"/>
      <c r="AN1119" s="40"/>
    </row>
    <row r="1120" spans="8:40" x14ac:dyDescent="0.3">
      <c r="H1120" s="40"/>
      <c r="I1120" s="36"/>
      <c r="J1120" s="36"/>
      <c r="K1120" s="36"/>
      <c r="L1120" s="36"/>
      <c r="M1120" s="36"/>
      <c r="N1120" s="36"/>
      <c r="P1120" s="59"/>
      <c r="Q1120" s="36"/>
      <c r="S1120" s="36"/>
      <c r="T1120" s="36"/>
      <c r="U1120" s="36"/>
      <c r="AM1120" s="40"/>
      <c r="AN1120" s="40"/>
    </row>
    <row r="1121" spans="8:40" x14ac:dyDescent="0.3">
      <c r="H1121" s="40"/>
      <c r="I1121" s="36"/>
      <c r="J1121" s="36"/>
      <c r="K1121" s="36"/>
      <c r="L1121" s="36"/>
      <c r="M1121" s="36"/>
      <c r="N1121" s="36"/>
      <c r="P1121" s="59"/>
      <c r="Q1121" s="36"/>
      <c r="S1121" s="36"/>
      <c r="T1121" s="36"/>
      <c r="U1121" s="36"/>
      <c r="AM1121" s="40"/>
      <c r="AN1121" s="40"/>
    </row>
    <row r="1122" spans="8:40" x14ac:dyDescent="0.3">
      <c r="H1122" s="40"/>
      <c r="I1122" s="36"/>
      <c r="J1122" s="36"/>
      <c r="K1122" s="36"/>
      <c r="L1122" s="36"/>
      <c r="M1122" s="36"/>
      <c r="N1122" s="36"/>
      <c r="P1122" s="59"/>
      <c r="Q1122" s="36"/>
      <c r="S1122" s="36"/>
      <c r="T1122" s="36"/>
      <c r="U1122" s="36"/>
      <c r="AM1122" s="40"/>
      <c r="AN1122" s="40"/>
    </row>
    <row r="1123" spans="8:40" x14ac:dyDescent="0.3">
      <c r="H1123" s="40"/>
      <c r="I1123" s="36"/>
      <c r="J1123" s="36"/>
      <c r="K1123" s="36"/>
      <c r="L1123" s="36"/>
      <c r="M1123" s="36"/>
      <c r="N1123" s="36"/>
      <c r="P1123" s="59"/>
      <c r="Q1123" s="36"/>
      <c r="S1123" s="36"/>
      <c r="T1123" s="36"/>
      <c r="U1123" s="36"/>
      <c r="AM1123" s="40"/>
      <c r="AN1123" s="40"/>
    </row>
    <row r="1124" spans="8:40" x14ac:dyDescent="0.3">
      <c r="H1124" s="40"/>
      <c r="I1124" s="36"/>
      <c r="J1124" s="36"/>
      <c r="K1124" s="36"/>
      <c r="L1124" s="36"/>
      <c r="M1124" s="36"/>
      <c r="N1124" s="36"/>
      <c r="P1124" s="59"/>
      <c r="Q1124" s="36"/>
      <c r="S1124" s="36"/>
      <c r="T1124" s="36"/>
      <c r="U1124" s="36"/>
      <c r="AM1124" s="40"/>
      <c r="AN1124" s="40"/>
    </row>
    <row r="1125" spans="8:40" x14ac:dyDescent="0.3">
      <c r="H1125" s="40"/>
      <c r="I1125" s="36"/>
      <c r="J1125" s="36"/>
      <c r="K1125" s="36"/>
      <c r="L1125" s="36"/>
      <c r="M1125" s="36"/>
      <c r="N1125" s="36"/>
      <c r="P1125" s="59"/>
      <c r="Q1125" s="36"/>
      <c r="S1125" s="36"/>
      <c r="T1125" s="36"/>
      <c r="U1125" s="36"/>
      <c r="AM1125" s="40"/>
      <c r="AN1125" s="40"/>
    </row>
    <row r="1126" spans="8:40" x14ac:dyDescent="0.3">
      <c r="H1126" s="40"/>
      <c r="I1126" s="36"/>
      <c r="J1126" s="36"/>
      <c r="K1126" s="36"/>
      <c r="L1126" s="36"/>
      <c r="M1126" s="36"/>
      <c r="N1126" s="36"/>
      <c r="P1126" s="59"/>
      <c r="Q1126" s="36"/>
      <c r="S1126" s="36"/>
      <c r="T1126" s="36"/>
      <c r="U1126" s="36"/>
      <c r="AM1126" s="40"/>
      <c r="AN1126" s="40"/>
    </row>
    <row r="1127" spans="8:40" x14ac:dyDescent="0.3">
      <c r="H1127" s="40"/>
      <c r="I1127" s="36"/>
      <c r="J1127" s="36"/>
      <c r="K1127" s="36"/>
      <c r="L1127" s="36"/>
      <c r="M1127" s="36"/>
      <c r="N1127" s="36"/>
      <c r="P1127" s="59"/>
      <c r="Q1127" s="36"/>
      <c r="S1127" s="36"/>
      <c r="T1127" s="36"/>
      <c r="U1127" s="36"/>
      <c r="AM1127" s="40"/>
      <c r="AN1127" s="40"/>
    </row>
    <row r="1128" spans="8:40" x14ac:dyDescent="0.3">
      <c r="H1128" s="40"/>
      <c r="I1128" s="36"/>
      <c r="J1128" s="36"/>
      <c r="K1128" s="36"/>
      <c r="L1128" s="36"/>
      <c r="M1128" s="36"/>
      <c r="N1128" s="36"/>
      <c r="P1128" s="59"/>
      <c r="Q1128" s="36"/>
      <c r="S1128" s="36"/>
      <c r="T1128" s="36"/>
      <c r="U1128" s="36"/>
      <c r="AM1128" s="40"/>
      <c r="AN1128" s="40"/>
    </row>
    <row r="1129" spans="8:40" x14ac:dyDescent="0.3">
      <c r="H1129" s="40"/>
      <c r="I1129" s="36"/>
      <c r="J1129" s="36"/>
      <c r="K1129" s="36"/>
      <c r="L1129" s="36"/>
      <c r="M1129" s="36"/>
      <c r="N1129" s="36"/>
      <c r="P1129" s="59"/>
      <c r="Q1129" s="36"/>
      <c r="S1129" s="36"/>
      <c r="T1129" s="36"/>
      <c r="U1129" s="36"/>
      <c r="AM1129" s="40"/>
      <c r="AN1129" s="40"/>
    </row>
    <row r="1130" spans="8:40" x14ac:dyDescent="0.3">
      <c r="H1130" s="40"/>
      <c r="I1130" s="36"/>
      <c r="J1130" s="36"/>
      <c r="K1130" s="36"/>
      <c r="L1130" s="36"/>
      <c r="M1130" s="36"/>
      <c r="N1130" s="36"/>
      <c r="P1130" s="59"/>
      <c r="Q1130" s="36"/>
      <c r="S1130" s="36"/>
      <c r="T1130" s="36"/>
      <c r="U1130" s="36"/>
      <c r="AM1130" s="40"/>
      <c r="AN1130" s="40"/>
    </row>
    <row r="1131" spans="8:40" x14ac:dyDescent="0.3">
      <c r="H1131" s="40"/>
      <c r="I1131" s="36"/>
      <c r="J1131" s="36"/>
      <c r="K1131" s="36"/>
      <c r="L1131" s="36"/>
      <c r="M1131" s="36"/>
      <c r="N1131" s="36"/>
      <c r="P1131" s="59"/>
      <c r="Q1131" s="36"/>
      <c r="S1131" s="36"/>
      <c r="T1131" s="36"/>
      <c r="U1131" s="36"/>
      <c r="AM1131" s="40"/>
      <c r="AN1131" s="40"/>
    </row>
    <row r="1132" spans="8:40" x14ac:dyDescent="0.3">
      <c r="H1132" s="40"/>
      <c r="I1132" s="36"/>
      <c r="J1132" s="36"/>
      <c r="K1132" s="36"/>
      <c r="L1132" s="36"/>
      <c r="M1132" s="36"/>
      <c r="N1132" s="36"/>
      <c r="P1132" s="59"/>
      <c r="Q1132" s="36"/>
      <c r="S1132" s="36"/>
      <c r="T1132" s="36"/>
      <c r="U1132" s="36"/>
      <c r="AM1132" s="40"/>
      <c r="AN1132" s="40"/>
    </row>
    <row r="1133" spans="8:40" x14ac:dyDescent="0.3">
      <c r="H1133" s="40"/>
      <c r="I1133" s="36"/>
      <c r="J1133" s="36"/>
      <c r="K1133" s="36"/>
      <c r="L1133" s="36"/>
      <c r="M1133" s="36"/>
      <c r="N1133" s="36"/>
      <c r="P1133" s="59"/>
      <c r="Q1133" s="36"/>
      <c r="S1133" s="36"/>
      <c r="T1133" s="36"/>
      <c r="U1133" s="36"/>
      <c r="AM1133" s="40"/>
      <c r="AN1133" s="40"/>
    </row>
    <row r="1134" spans="8:40" x14ac:dyDescent="0.3">
      <c r="H1134" s="40"/>
      <c r="I1134" s="36"/>
      <c r="J1134" s="36"/>
      <c r="K1134" s="36"/>
      <c r="L1134" s="36"/>
      <c r="M1134" s="36"/>
      <c r="N1134" s="36"/>
      <c r="P1134" s="59"/>
      <c r="Q1134" s="36"/>
      <c r="S1134" s="36"/>
      <c r="T1134" s="36"/>
      <c r="U1134" s="36"/>
      <c r="AM1134" s="40"/>
      <c r="AN1134" s="40"/>
    </row>
    <row r="1135" spans="8:40" x14ac:dyDescent="0.3">
      <c r="H1135" s="40"/>
      <c r="I1135" s="36"/>
      <c r="J1135" s="36"/>
      <c r="K1135" s="36"/>
      <c r="L1135" s="36"/>
      <c r="M1135" s="36"/>
      <c r="N1135" s="36"/>
      <c r="P1135" s="59"/>
      <c r="Q1135" s="36"/>
      <c r="S1135" s="36"/>
      <c r="T1135" s="36"/>
      <c r="U1135" s="36"/>
      <c r="AM1135" s="40"/>
      <c r="AN1135" s="40"/>
    </row>
    <row r="1136" spans="8:40" x14ac:dyDescent="0.3">
      <c r="H1136" s="40"/>
      <c r="I1136" s="36"/>
      <c r="J1136" s="36"/>
      <c r="K1136" s="36"/>
      <c r="L1136" s="36"/>
      <c r="M1136" s="36"/>
      <c r="N1136" s="36"/>
      <c r="P1136" s="59"/>
      <c r="Q1136" s="36"/>
      <c r="S1136" s="36"/>
      <c r="T1136" s="36"/>
      <c r="U1136" s="36"/>
      <c r="AM1136" s="40"/>
      <c r="AN1136" s="40"/>
    </row>
    <row r="1137" spans="8:40" x14ac:dyDescent="0.3">
      <c r="H1137" s="40"/>
      <c r="I1137" s="36"/>
      <c r="J1137" s="36"/>
      <c r="K1137" s="36"/>
      <c r="L1137" s="36"/>
      <c r="M1137" s="36"/>
      <c r="N1137" s="36"/>
      <c r="P1137" s="59"/>
      <c r="Q1137" s="36"/>
      <c r="S1137" s="36"/>
      <c r="T1137" s="36"/>
      <c r="U1137" s="36"/>
      <c r="AM1137" s="40"/>
      <c r="AN1137" s="40"/>
    </row>
    <row r="1138" spans="8:40" x14ac:dyDescent="0.3">
      <c r="H1138" s="40"/>
      <c r="I1138" s="36"/>
      <c r="J1138" s="36"/>
      <c r="K1138" s="36"/>
      <c r="L1138" s="36"/>
      <c r="M1138" s="36"/>
      <c r="N1138" s="36"/>
      <c r="P1138" s="59"/>
      <c r="Q1138" s="36"/>
      <c r="S1138" s="36"/>
      <c r="T1138" s="36"/>
      <c r="U1138" s="36"/>
      <c r="AM1138" s="40"/>
      <c r="AN1138" s="40"/>
    </row>
    <row r="1139" spans="8:40" x14ac:dyDescent="0.3">
      <c r="H1139" s="40"/>
      <c r="I1139" s="36"/>
      <c r="J1139" s="36"/>
      <c r="K1139" s="36"/>
      <c r="L1139" s="36"/>
      <c r="M1139" s="36"/>
      <c r="N1139" s="36"/>
      <c r="P1139" s="59"/>
      <c r="Q1139" s="36"/>
      <c r="S1139" s="36"/>
      <c r="T1139" s="36"/>
      <c r="U1139" s="36"/>
      <c r="AM1139" s="40"/>
      <c r="AN1139" s="40"/>
    </row>
    <row r="1140" spans="8:40" x14ac:dyDescent="0.3">
      <c r="H1140" s="40"/>
      <c r="I1140" s="36"/>
      <c r="J1140" s="36"/>
      <c r="K1140" s="36"/>
      <c r="L1140" s="36"/>
      <c r="M1140" s="36"/>
      <c r="N1140" s="36"/>
      <c r="P1140" s="59"/>
      <c r="Q1140" s="36"/>
      <c r="S1140" s="36"/>
      <c r="T1140" s="36"/>
      <c r="U1140" s="36"/>
      <c r="AM1140" s="40"/>
      <c r="AN1140" s="40"/>
    </row>
    <row r="1141" spans="8:40" x14ac:dyDescent="0.3">
      <c r="H1141" s="40"/>
      <c r="I1141" s="36"/>
      <c r="J1141" s="36"/>
      <c r="K1141" s="36"/>
      <c r="L1141" s="36"/>
      <c r="M1141" s="36"/>
      <c r="N1141" s="36"/>
      <c r="P1141" s="59"/>
      <c r="Q1141" s="36"/>
      <c r="S1141" s="36"/>
      <c r="T1141" s="36"/>
      <c r="U1141" s="36"/>
      <c r="AM1141" s="40"/>
      <c r="AN1141" s="40"/>
    </row>
    <row r="1142" spans="8:40" x14ac:dyDescent="0.3">
      <c r="H1142" s="40"/>
      <c r="I1142" s="36"/>
      <c r="J1142" s="36"/>
      <c r="K1142" s="36"/>
      <c r="L1142" s="36"/>
      <c r="M1142" s="36"/>
      <c r="N1142" s="36"/>
      <c r="P1142" s="59"/>
      <c r="Q1142" s="36"/>
      <c r="S1142" s="36"/>
      <c r="T1142" s="36"/>
      <c r="U1142" s="36"/>
      <c r="AM1142" s="40"/>
      <c r="AN1142" s="40"/>
    </row>
    <row r="1143" spans="8:40" x14ac:dyDescent="0.3">
      <c r="H1143" s="40"/>
      <c r="I1143" s="36"/>
      <c r="J1143" s="36"/>
      <c r="K1143" s="36"/>
      <c r="L1143" s="36"/>
      <c r="M1143" s="36"/>
      <c r="N1143" s="36"/>
      <c r="P1143" s="59"/>
      <c r="Q1143" s="36"/>
      <c r="S1143" s="36"/>
      <c r="T1143" s="36"/>
      <c r="U1143" s="36"/>
      <c r="AM1143" s="40"/>
      <c r="AN1143" s="40"/>
    </row>
    <row r="1144" spans="8:40" x14ac:dyDescent="0.3">
      <c r="H1144" s="40"/>
      <c r="I1144" s="36"/>
      <c r="J1144" s="36"/>
      <c r="K1144" s="36"/>
      <c r="L1144" s="36"/>
      <c r="M1144" s="36"/>
      <c r="N1144" s="36"/>
      <c r="P1144" s="59"/>
      <c r="Q1144" s="36"/>
      <c r="S1144" s="36"/>
      <c r="T1144" s="36"/>
      <c r="U1144" s="36"/>
      <c r="AM1144" s="40"/>
      <c r="AN1144" s="40"/>
    </row>
    <row r="1145" spans="8:40" x14ac:dyDescent="0.3">
      <c r="H1145" s="40"/>
      <c r="I1145" s="36"/>
      <c r="J1145" s="36"/>
      <c r="K1145" s="36"/>
      <c r="L1145" s="36"/>
      <c r="M1145" s="36"/>
      <c r="N1145" s="36"/>
      <c r="P1145" s="59"/>
      <c r="Q1145" s="36"/>
      <c r="S1145" s="36"/>
      <c r="T1145" s="36"/>
      <c r="U1145" s="36"/>
      <c r="AM1145" s="40"/>
      <c r="AN1145" s="40"/>
    </row>
    <row r="1146" spans="8:40" x14ac:dyDescent="0.3">
      <c r="H1146" s="40"/>
      <c r="I1146" s="36"/>
      <c r="J1146" s="36"/>
      <c r="K1146" s="36"/>
      <c r="L1146" s="36"/>
      <c r="M1146" s="36"/>
      <c r="N1146" s="36"/>
      <c r="P1146" s="59"/>
      <c r="Q1146" s="36"/>
      <c r="S1146" s="36"/>
      <c r="T1146" s="36"/>
      <c r="U1146" s="36"/>
      <c r="AM1146" s="40"/>
      <c r="AN1146" s="40"/>
    </row>
    <row r="1147" spans="8:40" x14ac:dyDescent="0.3">
      <c r="H1147" s="40"/>
      <c r="I1147" s="36"/>
      <c r="J1147" s="36"/>
      <c r="K1147" s="36"/>
      <c r="L1147" s="36"/>
      <c r="M1147" s="36"/>
      <c r="N1147" s="36"/>
      <c r="P1147" s="59"/>
      <c r="Q1147" s="36"/>
      <c r="S1147" s="36"/>
      <c r="T1147" s="36"/>
      <c r="U1147" s="36"/>
      <c r="AM1147" s="40"/>
      <c r="AN1147" s="40"/>
    </row>
    <row r="1148" spans="8:40" x14ac:dyDescent="0.3">
      <c r="H1148" s="40"/>
      <c r="I1148" s="36"/>
      <c r="J1148" s="36"/>
      <c r="K1148" s="36"/>
      <c r="L1148" s="36"/>
      <c r="M1148" s="36"/>
      <c r="N1148" s="36"/>
      <c r="P1148" s="59"/>
      <c r="Q1148" s="36"/>
      <c r="S1148" s="36"/>
      <c r="T1148" s="36"/>
      <c r="U1148" s="36"/>
      <c r="AM1148" s="40"/>
      <c r="AN1148" s="40"/>
    </row>
    <row r="1149" spans="8:40" x14ac:dyDescent="0.3">
      <c r="H1149" s="40"/>
      <c r="I1149" s="36"/>
      <c r="J1149" s="36"/>
      <c r="K1149" s="36"/>
      <c r="L1149" s="36"/>
      <c r="M1149" s="36"/>
      <c r="N1149" s="36"/>
      <c r="P1149" s="59"/>
      <c r="Q1149" s="36"/>
      <c r="S1149" s="36"/>
      <c r="T1149" s="36"/>
      <c r="U1149" s="36"/>
      <c r="AM1149" s="40"/>
      <c r="AN1149" s="40"/>
    </row>
    <row r="1150" spans="8:40" x14ac:dyDescent="0.3">
      <c r="H1150" s="40"/>
      <c r="I1150" s="36"/>
      <c r="J1150" s="36"/>
      <c r="K1150" s="36"/>
      <c r="L1150" s="36"/>
      <c r="M1150" s="36"/>
      <c r="N1150" s="36"/>
      <c r="P1150" s="59"/>
      <c r="Q1150" s="36"/>
      <c r="S1150" s="36"/>
      <c r="T1150" s="36"/>
      <c r="U1150" s="36"/>
      <c r="AM1150" s="40"/>
      <c r="AN1150" s="40"/>
    </row>
    <row r="1151" spans="8:40" x14ac:dyDescent="0.3">
      <c r="H1151" s="40"/>
      <c r="I1151" s="36"/>
      <c r="J1151" s="36"/>
      <c r="K1151" s="36"/>
      <c r="L1151" s="36"/>
      <c r="M1151" s="36"/>
      <c r="N1151" s="36"/>
      <c r="P1151" s="59"/>
      <c r="Q1151" s="36"/>
      <c r="S1151" s="36"/>
      <c r="T1151" s="36"/>
      <c r="U1151" s="36"/>
      <c r="AM1151" s="40"/>
      <c r="AN1151" s="40"/>
    </row>
    <row r="1152" spans="8:40" x14ac:dyDescent="0.3">
      <c r="H1152" s="40"/>
      <c r="I1152" s="36"/>
      <c r="J1152" s="36"/>
      <c r="K1152" s="36"/>
      <c r="L1152" s="36"/>
      <c r="M1152" s="36"/>
      <c r="N1152" s="36"/>
      <c r="P1152" s="59"/>
      <c r="Q1152" s="36"/>
      <c r="S1152" s="36"/>
      <c r="T1152" s="36"/>
      <c r="U1152" s="36"/>
      <c r="AM1152" s="40"/>
      <c r="AN1152" s="40"/>
    </row>
    <row r="1153" spans="8:40" x14ac:dyDescent="0.3">
      <c r="H1153" s="40"/>
      <c r="I1153" s="36"/>
      <c r="J1153" s="36"/>
      <c r="K1153" s="36"/>
      <c r="L1153" s="36"/>
      <c r="M1153" s="36"/>
      <c r="N1153" s="36"/>
      <c r="P1153" s="59"/>
      <c r="Q1153" s="36"/>
      <c r="S1153" s="36"/>
      <c r="T1153" s="36"/>
      <c r="U1153" s="36"/>
      <c r="AM1153" s="40"/>
      <c r="AN1153" s="40"/>
    </row>
    <row r="1154" spans="8:40" x14ac:dyDescent="0.3">
      <c r="H1154" s="40"/>
      <c r="I1154" s="36"/>
      <c r="J1154" s="36"/>
      <c r="K1154" s="36"/>
      <c r="L1154" s="36"/>
      <c r="M1154" s="36"/>
      <c r="N1154" s="36"/>
      <c r="P1154" s="59"/>
      <c r="Q1154" s="36"/>
      <c r="S1154" s="36"/>
      <c r="T1154" s="36"/>
      <c r="U1154" s="36"/>
      <c r="AM1154" s="40"/>
      <c r="AN1154" s="40"/>
    </row>
    <row r="1155" spans="8:40" x14ac:dyDescent="0.3">
      <c r="H1155" s="40"/>
      <c r="I1155" s="36"/>
      <c r="J1155" s="36"/>
      <c r="K1155" s="36"/>
      <c r="L1155" s="36"/>
      <c r="M1155" s="36"/>
      <c r="N1155" s="36"/>
      <c r="P1155" s="59"/>
      <c r="Q1155" s="36"/>
      <c r="S1155" s="36"/>
      <c r="T1155" s="36"/>
      <c r="U1155" s="36"/>
      <c r="AM1155" s="40"/>
      <c r="AN1155" s="40"/>
    </row>
    <row r="1156" spans="8:40" x14ac:dyDescent="0.3">
      <c r="H1156" s="40"/>
      <c r="I1156" s="36"/>
      <c r="J1156" s="36"/>
      <c r="K1156" s="36"/>
      <c r="L1156" s="36"/>
      <c r="M1156" s="36"/>
      <c r="N1156" s="36"/>
      <c r="P1156" s="59"/>
      <c r="Q1156" s="36"/>
      <c r="S1156" s="36"/>
      <c r="T1156" s="36"/>
      <c r="U1156" s="36"/>
      <c r="AM1156" s="40"/>
      <c r="AN1156" s="40"/>
    </row>
    <row r="1157" spans="8:40" x14ac:dyDescent="0.3">
      <c r="H1157" s="40"/>
      <c r="I1157" s="36"/>
      <c r="J1157" s="36"/>
      <c r="K1157" s="36"/>
      <c r="L1157" s="36"/>
      <c r="M1157" s="36"/>
      <c r="N1157" s="36"/>
      <c r="P1157" s="59"/>
      <c r="Q1157" s="36"/>
      <c r="S1157" s="36"/>
      <c r="T1157" s="36"/>
      <c r="U1157" s="36"/>
      <c r="AM1157" s="40"/>
      <c r="AN1157" s="40"/>
    </row>
    <row r="1158" spans="8:40" x14ac:dyDescent="0.3">
      <c r="H1158" s="40"/>
      <c r="I1158" s="36"/>
      <c r="J1158" s="36"/>
      <c r="K1158" s="36"/>
      <c r="L1158" s="36"/>
      <c r="M1158" s="36"/>
      <c r="N1158" s="36"/>
      <c r="P1158" s="59"/>
      <c r="Q1158" s="36"/>
      <c r="S1158" s="36"/>
      <c r="T1158" s="36"/>
      <c r="U1158" s="36"/>
      <c r="AM1158" s="40"/>
      <c r="AN1158" s="40"/>
    </row>
    <row r="1159" spans="8:40" x14ac:dyDescent="0.3">
      <c r="H1159" s="40"/>
      <c r="I1159" s="36"/>
      <c r="J1159" s="36"/>
      <c r="K1159" s="36"/>
      <c r="L1159" s="36"/>
      <c r="M1159" s="36"/>
      <c r="N1159" s="36"/>
      <c r="P1159" s="59"/>
      <c r="Q1159" s="36"/>
      <c r="S1159" s="36"/>
      <c r="T1159" s="36"/>
      <c r="U1159" s="36"/>
      <c r="AM1159" s="40"/>
      <c r="AN1159" s="40"/>
    </row>
    <row r="1160" spans="8:40" x14ac:dyDescent="0.3">
      <c r="H1160" s="40"/>
      <c r="I1160" s="36"/>
      <c r="J1160" s="36"/>
      <c r="K1160" s="36"/>
      <c r="L1160" s="36"/>
      <c r="M1160" s="36"/>
      <c r="N1160" s="36"/>
      <c r="P1160" s="59"/>
      <c r="Q1160" s="36"/>
      <c r="S1160" s="36"/>
      <c r="T1160" s="36"/>
      <c r="U1160" s="36"/>
      <c r="AM1160" s="40"/>
      <c r="AN1160" s="40"/>
    </row>
    <row r="1161" spans="8:40" x14ac:dyDescent="0.3">
      <c r="H1161" s="40"/>
      <c r="I1161" s="36"/>
      <c r="J1161" s="36"/>
      <c r="K1161" s="36"/>
      <c r="L1161" s="36"/>
      <c r="M1161" s="36"/>
      <c r="N1161" s="36"/>
      <c r="P1161" s="59"/>
      <c r="Q1161" s="36"/>
      <c r="S1161" s="36"/>
      <c r="T1161" s="36"/>
      <c r="U1161" s="36"/>
      <c r="AM1161" s="40"/>
      <c r="AN1161" s="40"/>
    </row>
    <row r="1162" spans="8:40" x14ac:dyDescent="0.3">
      <c r="H1162" s="40"/>
      <c r="I1162" s="36"/>
      <c r="J1162" s="36"/>
      <c r="K1162" s="36"/>
      <c r="L1162" s="36"/>
      <c r="M1162" s="36"/>
      <c r="N1162" s="36"/>
      <c r="P1162" s="59"/>
      <c r="Q1162" s="36"/>
      <c r="S1162" s="36"/>
      <c r="T1162" s="36"/>
      <c r="U1162" s="36"/>
      <c r="AM1162" s="40"/>
      <c r="AN1162" s="40"/>
    </row>
    <row r="1163" spans="8:40" x14ac:dyDescent="0.3">
      <c r="H1163" s="40"/>
      <c r="I1163" s="36"/>
      <c r="J1163" s="36"/>
      <c r="K1163" s="36"/>
      <c r="L1163" s="36"/>
      <c r="M1163" s="36"/>
      <c r="N1163" s="36"/>
      <c r="P1163" s="59"/>
      <c r="Q1163" s="36"/>
      <c r="S1163" s="36"/>
      <c r="T1163" s="36"/>
      <c r="U1163" s="36"/>
      <c r="AM1163" s="40"/>
      <c r="AN1163" s="40"/>
    </row>
    <row r="1164" spans="8:40" x14ac:dyDescent="0.3">
      <c r="H1164" s="40"/>
      <c r="I1164" s="36"/>
      <c r="J1164" s="36"/>
      <c r="K1164" s="36"/>
      <c r="L1164" s="36"/>
      <c r="M1164" s="36"/>
      <c r="N1164" s="36"/>
      <c r="P1164" s="59"/>
      <c r="Q1164" s="36"/>
      <c r="S1164" s="36"/>
      <c r="T1164" s="36"/>
      <c r="U1164" s="36"/>
      <c r="AM1164" s="40"/>
      <c r="AN1164" s="40"/>
    </row>
    <row r="1165" spans="8:40" x14ac:dyDescent="0.3">
      <c r="H1165" s="40"/>
      <c r="I1165" s="36"/>
      <c r="J1165" s="36"/>
      <c r="K1165" s="36"/>
      <c r="L1165" s="36"/>
      <c r="M1165" s="36"/>
      <c r="N1165" s="36"/>
      <c r="P1165" s="59"/>
      <c r="Q1165" s="36"/>
      <c r="S1165" s="36"/>
      <c r="T1165" s="36"/>
      <c r="U1165" s="36"/>
      <c r="AM1165" s="40"/>
      <c r="AN1165" s="40"/>
    </row>
    <row r="1166" spans="8:40" x14ac:dyDescent="0.3">
      <c r="H1166" s="40"/>
      <c r="I1166" s="36"/>
      <c r="J1166" s="36"/>
      <c r="K1166" s="36"/>
      <c r="L1166" s="36"/>
      <c r="M1166" s="36"/>
      <c r="N1166" s="36"/>
      <c r="P1166" s="59"/>
      <c r="Q1166" s="36"/>
      <c r="S1166" s="36"/>
      <c r="T1166" s="36"/>
      <c r="U1166" s="36"/>
      <c r="AM1166" s="40"/>
      <c r="AN1166" s="40"/>
    </row>
    <row r="1167" spans="8:40" x14ac:dyDescent="0.3">
      <c r="H1167" s="40"/>
      <c r="I1167" s="36"/>
      <c r="J1167" s="36"/>
      <c r="K1167" s="36"/>
      <c r="L1167" s="36"/>
      <c r="M1167" s="36"/>
      <c r="N1167" s="36"/>
      <c r="P1167" s="59"/>
      <c r="Q1167" s="36"/>
      <c r="S1167" s="36"/>
      <c r="T1167" s="36"/>
      <c r="U1167" s="36"/>
      <c r="AM1167" s="40"/>
      <c r="AN1167" s="40"/>
    </row>
    <row r="1168" spans="8:40" x14ac:dyDescent="0.3">
      <c r="H1168" s="40"/>
      <c r="I1168" s="36"/>
      <c r="J1168" s="36"/>
      <c r="K1168" s="36"/>
      <c r="L1168" s="36"/>
      <c r="M1168" s="36"/>
      <c r="N1168" s="36"/>
      <c r="P1168" s="59"/>
      <c r="Q1168" s="36"/>
      <c r="S1168" s="36"/>
      <c r="T1168" s="36"/>
      <c r="U1168" s="36"/>
      <c r="AM1168" s="40"/>
      <c r="AN1168" s="40"/>
    </row>
    <row r="1169" spans="8:40" x14ac:dyDescent="0.3">
      <c r="H1169" s="40"/>
      <c r="I1169" s="36"/>
      <c r="J1169" s="36"/>
      <c r="K1169" s="36"/>
      <c r="L1169" s="36"/>
      <c r="M1169" s="36"/>
      <c r="N1169" s="36"/>
      <c r="P1169" s="59"/>
      <c r="Q1169" s="36"/>
      <c r="S1169" s="36"/>
      <c r="T1169" s="36"/>
      <c r="U1169" s="36"/>
      <c r="AM1169" s="40"/>
      <c r="AN1169" s="40"/>
    </row>
    <row r="1170" spans="8:40" x14ac:dyDescent="0.3">
      <c r="H1170" s="40"/>
      <c r="I1170" s="36"/>
      <c r="J1170" s="36"/>
      <c r="K1170" s="36"/>
      <c r="L1170" s="36"/>
      <c r="M1170" s="36"/>
      <c r="N1170" s="36"/>
      <c r="P1170" s="59"/>
      <c r="Q1170" s="36"/>
      <c r="S1170" s="36"/>
      <c r="T1170" s="36"/>
      <c r="U1170" s="36"/>
      <c r="AM1170" s="40"/>
      <c r="AN1170" s="40"/>
    </row>
    <row r="1171" spans="8:40" x14ac:dyDescent="0.3">
      <c r="H1171" s="40"/>
      <c r="I1171" s="36"/>
      <c r="J1171" s="36"/>
      <c r="K1171" s="36"/>
      <c r="L1171" s="36"/>
      <c r="M1171" s="36"/>
      <c r="N1171" s="36"/>
      <c r="P1171" s="59"/>
      <c r="Q1171" s="36"/>
      <c r="S1171" s="36"/>
      <c r="T1171" s="36"/>
      <c r="U1171" s="36"/>
      <c r="AM1171" s="40"/>
      <c r="AN1171" s="40"/>
    </row>
    <row r="1172" spans="8:40" x14ac:dyDescent="0.3">
      <c r="H1172" s="40"/>
      <c r="I1172" s="36"/>
      <c r="J1172" s="36"/>
      <c r="K1172" s="36"/>
      <c r="L1172" s="36"/>
      <c r="M1172" s="36"/>
      <c r="N1172" s="36"/>
      <c r="P1172" s="59"/>
      <c r="Q1172" s="36"/>
      <c r="S1172" s="36"/>
      <c r="T1172" s="36"/>
      <c r="U1172" s="36"/>
      <c r="AM1172" s="40"/>
      <c r="AN1172" s="40"/>
    </row>
    <row r="1173" spans="8:40" x14ac:dyDescent="0.3">
      <c r="H1173" s="40"/>
      <c r="I1173" s="36"/>
      <c r="J1173" s="36"/>
      <c r="K1173" s="36"/>
      <c r="L1173" s="36"/>
      <c r="M1173" s="36"/>
      <c r="N1173" s="36"/>
      <c r="P1173" s="59"/>
      <c r="Q1173" s="36"/>
      <c r="S1173" s="36"/>
      <c r="T1173" s="36"/>
      <c r="U1173" s="36"/>
      <c r="AM1173" s="40"/>
      <c r="AN1173" s="40"/>
    </row>
    <row r="1174" spans="8:40" x14ac:dyDescent="0.3">
      <c r="H1174" s="40"/>
      <c r="I1174" s="36"/>
      <c r="J1174" s="36"/>
      <c r="K1174" s="36"/>
      <c r="L1174" s="36"/>
      <c r="M1174" s="36"/>
      <c r="N1174" s="36"/>
      <c r="P1174" s="59"/>
      <c r="Q1174" s="36"/>
      <c r="S1174" s="36"/>
      <c r="T1174" s="36"/>
      <c r="U1174" s="36"/>
      <c r="AM1174" s="40"/>
      <c r="AN1174" s="40"/>
    </row>
    <row r="1175" spans="8:40" x14ac:dyDescent="0.3">
      <c r="H1175" s="40"/>
      <c r="I1175" s="36"/>
      <c r="J1175" s="36"/>
      <c r="K1175" s="36"/>
      <c r="L1175" s="36"/>
      <c r="M1175" s="36"/>
      <c r="N1175" s="36"/>
      <c r="P1175" s="59"/>
      <c r="Q1175" s="36"/>
      <c r="S1175" s="36"/>
      <c r="T1175" s="36"/>
      <c r="U1175" s="36"/>
      <c r="AM1175" s="40"/>
      <c r="AN1175" s="40"/>
    </row>
    <row r="1176" spans="8:40" x14ac:dyDescent="0.3">
      <c r="H1176" s="40"/>
      <c r="I1176" s="36"/>
      <c r="J1176" s="36"/>
      <c r="K1176" s="36"/>
      <c r="L1176" s="36"/>
      <c r="M1176" s="36"/>
      <c r="N1176" s="36"/>
      <c r="P1176" s="59"/>
      <c r="Q1176" s="36"/>
      <c r="S1176" s="36"/>
      <c r="T1176" s="36"/>
      <c r="U1176" s="36"/>
      <c r="AM1176" s="40"/>
      <c r="AN1176" s="40"/>
    </row>
    <row r="1177" spans="8:40" x14ac:dyDescent="0.3">
      <c r="H1177" s="40"/>
      <c r="I1177" s="36"/>
      <c r="J1177" s="36"/>
      <c r="K1177" s="36"/>
      <c r="L1177" s="36"/>
      <c r="M1177" s="36"/>
      <c r="N1177" s="36"/>
      <c r="P1177" s="59"/>
      <c r="Q1177" s="36"/>
      <c r="S1177" s="36"/>
      <c r="T1177" s="36"/>
      <c r="U1177" s="36"/>
      <c r="AM1177" s="40"/>
      <c r="AN1177" s="40"/>
    </row>
    <row r="1178" spans="8:40" x14ac:dyDescent="0.3">
      <c r="H1178" s="40"/>
      <c r="I1178" s="36"/>
      <c r="J1178" s="36"/>
      <c r="K1178" s="36"/>
      <c r="L1178" s="36"/>
      <c r="M1178" s="36"/>
      <c r="N1178" s="36"/>
      <c r="P1178" s="59"/>
      <c r="Q1178" s="36"/>
      <c r="S1178" s="36"/>
      <c r="T1178" s="36"/>
      <c r="U1178" s="36"/>
      <c r="AM1178" s="40"/>
      <c r="AN1178" s="40"/>
    </row>
    <row r="1179" spans="8:40" x14ac:dyDescent="0.3">
      <c r="H1179" s="40"/>
      <c r="I1179" s="36"/>
      <c r="J1179" s="36"/>
      <c r="K1179" s="36"/>
      <c r="L1179" s="36"/>
      <c r="M1179" s="36"/>
      <c r="N1179" s="36"/>
      <c r="P1179" s="59"/>
      <c r="Q1179" s="36"/>
      <c r="S1179" s="36"/>
      <c r="T1179" s="36"/>
      <c r="U1179" s="36"/>
      <c r="AM1179" s="40"/>
      <c r="AN1179" s="40"/>
    </row>
    <row r="1180" spans="8:40" x14ac:dyDescent="0.3">
      <c r="H1180" s="40"/>
      <c r="I1180" s="36"/>
      <c r="J1180" s="36"/>
      <c r="K1180" s="36"/>
      <c r="L1180" s="36"/>
      <c r="M1180" s="36"/>
      <c r="N1180" s="36"/>
      <c r="P1180" s="59"/>
      <c r="Q1180" s="36"/>
      <c r="S1180" s="36"/>
      <c r="T1180" s="36"/>
      <c r="U1180" s="36"/>
      <c r="AM1180" s="40"/>
      <c r="AN1180" s="40"/>
    </row>
    <row r="1181" spans="8:40" x14ac:dyDescent="0.3">
      <c r="H1181" s="40"/>
      <c r="I1181" s="36"/>
      <c r="J1181" s="36"/>
      <c r="K1181" s="36"/>
      <c r="L1181" s="36"/>
      <c r="M1181" s="36"/>
      <c r="N1181" s="36"/>
      <c r="P1181" s="59"/>
      <c r="Q1181" s="36"/>
      <c r="S1181" s="36"/>
      <c r="T1181" s="36"/>
      <c r="U1181" s="36"/>
      <c r="AM1181" s="40"/>
      <c r="AN1181" s="40"/>
    </row>
    <row r="1182" spans="8:40" x14ac:dyDescent="0.3">
      <c r="H1182" s="40"/>
      <c r="I1182" s="36"/>
      <c r="J1182" s="36"/>
      <c r="K1182" s="36"/>
      <c r="L1182" s="36"/>
      <c r="M1182" s="36"/>
      <c r="N1182" s="36"/>
      <c r="P1182" s="59"/>
      <c r="Q1182" s="36"/>
      <c r="S1182" s="36"/>
      <c r="T1182" s="36"/>
      <c r="U1182" s="36"/>
      <c r="AM1182" s="40"/>
      <c r="AN1182" s="40"/>
    </row>
    <row r="1183" spans="8:40" x14ac:dyDescent="0.3">
      <c r="H1183" s="40"/>
      <c r="I1183" s="36"/>
      <c r="J1183" s="36"/>
      <c r="K1183" s="36"/>
      <c r="L1183" s="36"/>
      <c r="M1183" s="36"/>
      <c r="N1183" s="36"/>
      <c r="P1183" s="59"/>
      <c r="Q1183" s="36"/>
      <c r="S1183" s="36"/>
      <c r="T1183" s="36"/>
      <c r="U1183" s="36"/>
      <c r="AM1183" s="40"/>
      <c r="AN1183" s="40"/>
    </row>
    <row r="1184" spans="8:40" x14ac:dyDescent="0.3">
      <c r="H1184" s="40"/>
      <c r="I1184" s="36"/>
      <c r="J1184" s="36"/>
      <c r="K1184" s="36"/>
      <c r="L1184" s="36"/>
      <c r="M1184" s="36"/>
      <c r="N1184" s="36"/>
      <c r="P1184" s="59"/>
      <c r="Q1184" s="36"/>
      <c r="S1184" s="36"/>
      <c r="T1184" s="36"/>
      <c r="U1184" s="36"/>
      <c r="AM1184" s="40"/>
      <c r="AN1184" s="40"/>
    </row>
    <row r="1185" spans="8:40" x14ac:dyDescent="0.3">
      <c r="H1185" s="40"/>
      <c r="I1185" s="36"/>
      <c r="J1185" s="36"/>
      <c r="K1185" s="36"/>
      <c r="L1185" s="36"/>
      <c r="M1185" s="36"/>
      <c r="N1185" s="36"/>
      <c r="P1185" s="59"/>
      <c r="Q1185" s="36"/>
      <c r="S1185" s="36"/>
      <c r="T1185" s="36"/>
      <c r="U1185" s="36"/>
      <c r="AM1185" s="40"/>
      <c r="AN1185" s="40"/>
    </row>
    <row r="1186" spans="8:40" x14ac:dyDescent="0.3">
      <c r="H1186" s="40"/>
      <c r="I1186" s="36"/>
      <c r="J1186" s="36"/>
      <c r="K1186" s="36"/>
      <c r="L1186" s="36"/>
      <c r="M1186" s="36"/>
      <c r="N1186" s="36"/>
      <c r="P1186" s="59"/>
      <c r="Q1186" s="36"/>
      <c r="S1186" s="36"/>
      <c r="T1186" s="36"/>
      <c r="U1186" s="36"/>
      <c r="AM1186" s="40"/>
      <c r="AN1186" s="40"/>
    </row>
    <row r="1187" spans="8:40" x14ac:dyDescent="0.3">
      <c r="H1187" s="40"/>
      <c r="I1187" s="36"/>
      <c r="J1187" s="36"/>
      <c r="K1187" s="36"/>
      <c r="L1187" s="36"/>
      <c r="M1187" s="36"/>
      <c r="N1187" s="36"/>
      <c r="P1187" s="59"/>
      <c r="Q1187" s="36"/>
      <c r="S1187" s="36"/>
      <c r="T1187" s="36"/>
      <c r="U1187" s="36"/>
      <c r="AM1187" s="40"/>
      <c r="AN1187" s="40"/>
    </row>
    <row r="1188" spans="8:40" x14ac:dyDescent="0.3">
      <c r="H1188" s="40"/>
      <c r="I1188" s="36"/>
      <c r="J1188" s="36"/>
      <c r="K1188" s="36"/>
      <c r="L1188" s="36"/>
      <c r="M1188" s="36"/>
      <c r="N1188" s="36"/>
      <c r="P1188" s="59"/>
      <c r="Q1188" s="36"/>
      <c r="S1188" s="36"/>
      <c r="T1188" s="36"/>
      <c r="U1188" s="36"/>
      <c r="AM1188" s="40"/>
      <c r="AN1188" s="40"/>
    </row>
    <row r="1189" spans="8:40" x14ac:dyDescent="0.3">
      <c r="H1189" s="40"/>
      <c r="I1189" s="36"/>
      <c r="J1189" s="36"/>
      <c r="K1189" s="36"/>
      <c r="L1189" s="36"/>
      <c r="M1189" s="36"/>
      <c r="N1189" s="36"/>
      <c r="P1189" s="59"/>
      <c r="Q1189" s="36"/>
      <c r="S1189" s="36"/>
      <c r="T1189" s="36"/>
      <c r="U1189" s="36"/>
      <c r="AM1189" s="40"/>
      <c r="AN1189" s="40"/>
    </row>
    <row r="1190" spans="8:40" x14ac:dyDescent="0.3">
      <c r="H1190" s="40"/>
      <c r="I1190" s="36"/>
      <c r="J1190" s="36"/>
      <c r="K1190" s="36"/>
      <c r="L1190" s="36"/>
      <c r="M1190" s="36"/>
      <c r="N1190" s="36"/>
      <c r="P1190" s="59"/>
      <c r="Q1190" s="36"/>
      <c r="S1190" s="36"/>
      <c r="T1190" s="36"/>
      <c r="U1190" s="36"/>
      <c r="AM1190" s="40"/>
      <c r="AN1190" s="40"/>
    </row>
    <row r="1191" spans="8:40" x14ac:dyDescent="0.3">
      <c r="H1191" s="40"/>
      <c r="I1191" s="36"/>
      <c r="J1191" s="36"/>
      <c r="K1191" s="36"/>
      <c r="L1191" s="36"/>
      <c r="M1191" s="36"/>
      <c r="N1191" s="36"/>
      <c r="P1191" s="59"/>
      <c r="Q1191" s="36"/>
      <c r="S1191" s="36"/>
      <c r="T1191" s="36"/>
      <c r="U1191" s="36"/>
      <c r="AM1191" s="40"/>
      <c r="AN1191" s="40"/>
    </row>
    <row r="1192" spans="8:40" x14ac:dyDescent="0.3">
      <c r="H1192" s="40"/>
      <c r="I1192" s="36"/>
      <c r="J1192" s="36"/>
      <c r="K1192" s="36"/>
      <c r="L1192" s="36"/>
      <c r="M1192" s="36"/>
      <c r="N1192" s="36"/>
      <c r="P1192" s="59"/>
      <c r="Q1192" s="36"/>
      <c r="S1192" s="36"/>
      <c r="T1192" s="36"/>
      <c r="U1192" s="36"/>
      <c r="AM1192" s="40"/>
      <c r="AN1192" s="40"/>
    </row>
    <row r="1193" spans="8:40" x14ac:dyDescent="0.3">
      <c r="H1193" s="40"/>
      <c r="I1193" s="36"/>
      <c r="J1193" s="36"/>
      <c r="K1193" s="36"/>
      <c r="L1193" s="36"/>
      <c r="M1193" s="36"/>
      <c r="N1193" s="36"/>
      <c r="P1193" s="59"/>
      <c r="Q1193" s="36"/>
      <c r="S1193" s="36"/>
      <c r="T1193" s="36"/>
      <c r="U1193" s="36"/>
      <c r="AM1193" s="40"/>
      <c r="AN1193" s="40"/>
    </row>
    <row r="1194" spans="8:40" x14ac:dyDescent="0.3">
      <c r="H1194" s="40"/>
      <c r="I1194" s="36"/>
      <c r="J1194" s="36"/>
      <c r="K1194" s="36"/>
      <c r="L1194" s="36"/>
      <c r="M1194" s="36"/>
      <c r="N1194" s="36"/>
      <c r="P1194" s="59"/>
      <c r="Q1194" s="36"/>
      <c r="S1194" s="36"/>
      <c r="T1194" s="36"/>
      <c r="U1194" s="36"/>
      <c r="AM1194" s="40"/>
      <c r="AN1194" s="40"/>
    </row>
    <row r="1195" spans="8:40" x14ac:dyDescent="0.3">
      <c r="H1195" s="40"/>
      <c r="I1195" s="36"/>
      <c r="J1195" s="36"/>
      <c r="K1195" s="36"/>
      <c r="L1195" s="36"/>
      <c r="M1195" s="36"/>
      <c r="N1195" s="36"/>
      <c r="P1195" s="59"/>
      <c r="Q1195" s="36"/>
      <c r="S1195" s="36"/>
      <c r="T1195" s="36"/>
      <c r="U1195" s="36"/>
      <c r="AM1195" s="40"/>
      <c r="AN1195" s="40"/>
    </row>
    <row r="1196" spans="8:40" x14ac:dyDescent="0.3">
      <c r="H1196" s="40"/>
      <c r="I1196" s="36"/>
      <c r="J1196" s="36"/>
      <c r="K1196" s="36"/>
      <c r="L1196" s="36"/>
      <c r="M1196" s="36"/>
      <c r="N1196" s="36"/>
      <c r="P1196" s="59"/>
      <c r="Q1196" s="36"/>
      <c r="S1196" s="36"/>
      <c r="T1196" s="36"/>
      <c r="U1196" s="36"/>
      <c r="AM1196" s="40"/>
      <c r="AN1196" s="40"/>
    </row>
    <row r="1197" spans="8:40" x14ac:dyDescent="0.3">
      <c r="H1197" s="40"/>
      <c r="I1197" s="36"/>
      <c r="J1197" s="36"/>
      <c r="K1197" s="36"/>
      <c r="L1197" s="36"/>
      <c r="M1197" s="36"/>
      <c r="N1197" s="36"/>
      <c r="P1197" s="59"/>
      <c r="Q1197" s="36"/>
      <c r="S1197" s="36"/>
      <c r="T1197" s="36"/>
      <c r="U1197" s="36"/>
      <c r="AM1197" s="40"/>
      <c r="AN1197" s="40"/>
    </row>
    <row r="1198" spans="8:40" x14ac:dyDescent="0.3">
      <c r="H1198" s="40"/>
      <c r="I1198" s="36"/>
      <c r="J1198" s="36"/>
      <c r="K1198" s="36"/>
      <c r="L1198" s="36"/>
      <c r="M1198" s="36"/>
      <c r="N1198" s="36"/>
      <c r="P1198" s="59"/>
      <c r="Q1198" s="36"/>
      <c r="S1198" s="36"/>
      <c r="T1198" s="36"/>
      <c r="U1198" s="36"/>
      <c r="AM1198" s="40"/>
      <c r="AN1198" s="40"/>
    </row>
    <row r="1199" spans="8:40" x14ac:dyDescent="0.3">
      <c r="H1199" s="40"/>
      <c r="I1199" s="36"/>
      <c r="J1199" s="36"/>
      <c r="K1199" s="36"/>
      <c r="L1199" s="36"/>
      <c r="M1199" s="36"/>
      <c r="N1199" s="36"/>
      <c r="P1199" s="59"/>
      <c r="Q1199" s="36"/>
      <c r="S1199" s="36"/>
      <c r="T1199" s="36"/>
      <c r="U1199" s="36"/>
      <c r="AM1199" s="40"/>
      <c r="AN1199" s="40"/>
    </row>
    <row r="1200" spans="8:40" x14ac:dyDescent="0.3">
      <c r="H1200" s="40"/>
      <c r="I1200" s="36"/>
      <c r="J1200" s="36"/>
      <c r="K1200" s="36"/>
      <c r="L1200" s="36"/>
      <c r="M1200" s="36"/>
      <c r="N1200" s="36"/>
      <c r="P1200" s="59"/>
      <c r="Q1200" s="36"/>
      <c r="S1200" s="36"/>
      <c r="T1200" s="36"/>
      <c r="U1200" s="36"/>
      <c r="AM1200" s="40"/>
      <c r="AN1200" s="40"/>
    </row>
    <row r="1201" spans="8:40" x14ac:dyDescent="0.3">
      <c r="H1201" s="40"/>
      <c r="I1201" s="36"/>
      <c r="J1201" s="36"/>
      <c r="K1201" s="36"/>
      <c r="L1201" s="36"/>
      <c r="M1201" s="36"/>
      <c r="N1201" s="36"/>
      <c r="P1201" s="59"/>
      <c r="Q1201" s="36"/>
      <c r="S1201" s="36"/>
      <c r="T1201" s="36"/>
      <c r="U1201" s="36"/>
      <c r="AM1201" s="40"/>
      <c r="AN1201" s="40"/>
    </row>
    <row r="1202" spans="8:40" x14ac:dyDescent="0.3">
      <c r="H1202" s="40"/>
      <c r="I1202" s="36"/>
      <c r="J1202" s="36"/>
      <c r="K1202" s="36"/>
      <c r="L1202" s="36"/>
      <c r="M1202" s="36"/>
      <c r="N1202" s="36"/>
      <c r="P1202" s="59"/>
      <c r="Q1202" s="36"/>
      <c r="S1202" s="36"/>
      <c r="T1202" s="36"/>
      <c r="U1202" s="36"/>
      <c r="AM1202" s="40"/>
      <c r="AN1202" s="40"/>
    </row>
    <row r="1203" spans="8:40" x14ac:dyDescent="0.3">
      <c r="H1203" s="40"/>
      <c r="I1203" s="36"/>
      <c r="J1203" s="36"/>
      <c r="K1203" s="36"/>
      <c r="L1203" s="36"/>
      <c r="M1203" s="36"/>
      <c r="N1203" s="36"/>
      <c r="P1203" s="59"/>
      <c r="Q1203" s="36"/>
      <c r="S1203" s="36"/>
      <c r="T1203" s="36"/>
      <c r="U1203" s="36"/>
      <c r="AM1203" s="40"/>
      <c r="AN1203" s="40"/>
    </row>
    <row r="1204" spans="8:40" x14ac:dyDescent="0.3">
      <c r="H1204" s="40"/>
      <c r="I1204" s="36"/>
      <c r="J1204" s="36"/>
      <c r="K1204" s="36"/>
      <c r="L1204" s="36"/>
      <c r="M1204" s="36"/>
      <c r="N1204" s="36"/>
      <c r="P1204" s="59"/>
      <c r="Q1204" s="36"/>
      <c r="S1204" s="36"/>
      <c r="T1204" s="36"/>
      <c r="U1204" s="36"/>
      <c r="AM1204" s="40"/>
      <c r="AN1204" s="40"/>
    </row>
    <row r="1205" spans="8:40" x14ac:dyDescent="0.3">
      <c r="H1205" s="40"/>
      <c r="I1205" s="36"/>
      <c r="J1205" s="36"/>
      <c r="K1205" s="36"/>
      <c r="L1205" s="36"/>
      <c r="M1205" s="36"/>
      <c r="N1205" s="36"/>
      <c r="P1205" s="59"/>
      <c r="Q1205" s="36"/>
      <c r="S1205" s="36"/>
      <c r="T1205" s="36"/>
      <c r="U1205" s="36"/>
      <c r="AM1205" s="40"/>
      <c r="AN1205" s="40"/>
    </row>
    <row r="1206" spans="8:40" x14ac:dyDescent="0.3">
      <c r="H1206" s="40"/>
      <c r="I1206" s="36"/>
      <c r="J1206" s="36"/>
      <c r="K1206" s="36"/>
      <c r="L1206" s="36"/>
      <c r="M1206" s="36"/>
      <c r="N1206" s="36"/>
      <c r="P1206" s="59"/>
      <c r="Q1206" s="36"/>
      <c r="S1206" s="36"/>
      <c r="T1206" s="36"/>
      <c r="U1206" s="36"/>
      <c r="AM1206" s="40"/>
      <c r="AN1206" s="40"/>
    </row>
    <row r="1207" spans="8:40" x14ac:dyDescent="0.3">
      <c r="H1207" s="40"/>
      <c r="I1207" s="36"/>
      <c r="J1207" s="36"/>
      <c r="K1207" s="36"/>
      <c r="L1207" s="36"/>
      <c r="M1207" s="36"/>
      <c r="N1207" s="36"/>
      <c r="P1207" s="59"/>
      <c r="Q1207" s="36"/>
      <c r="S1207" s="36"/>
      <c r="T1207" s="36"/>
      <c r="U1207" s="36"/>
      <c r="AM1207" s="40"/>
      <c r="AN1207" s="40"/>
    </row>
    <row r="1208" spans="8:40" x14ac:dyDescent="0.3">
      <c r="H1208" s="40"/>
      <c r="I1208" s="36"/>
      <c r="J1208" s="36"/>
      <c r="K1208" s="36"/>
      <c r="L1208" s="36"/>
      <c r="M1208" s="36"/>
      <c r="N1208" s="36"/>
      <c r="P1208" s="59"/>
      <c r="Q1208" s="36"/>
      <c r="S1208" s="36"/>
      <c r="T1208" s="36"/>
      <c r="U1208" s="36"/>
      <c r="AM1208" s="40"/>
      <c r="AN1208" s="40"/>
    </row>
    <row r="1209" spans="8:40" x14ac:dyDescent="0.3">
      <c r="H1209" s="40"/>
      <c r="I1209" s="36"/>
      <c r="J1209" s="36"/>
      <c r="K1209" s="36"/>
      <c r="L1209" s="36"/>
      <c r="M1209" s="36"/>
      <c r="N1209" s="36"/>
      <c r="P1209" s="59"/>
      <c r="Q1209" s="36"/>
      <c r="S1209" s="36"/>
      <c r="T1209" s="36"/>
      <c r="U1209" s="36"/>
      <c r="AM1209" s="40"/>
      <c r="AN1209" s="40"/>
    </row>
    <row r="1210" spans="8:40" x14ac:dyDescent="0.3">
      <c r="H1210" s="40"/>
      <c r="I1210" s="36"/>
      <c r="J1210" s="36"/>
      <c r="K1210" s="36"/>
      <c r="L1210" s="36"/>
      <c r="M1210" s="36"/>
      <c r="N1210" s="36"/>
      <c r="P1210" s="59"/>
      <c r="Q1210" s="36"/>
      <c r="S1210" s="36"/>
      <c r="T1210" s="36"/>
      <c r="U1210" s="36"/>
      <c r="AM1210" s="40"/>
      <c r="AN1210" s="40"/>
    </row>
    <row r="1211" spans="8:40" x14ac:dyDescent="0.3">
      <c r="H1211" s="40"/>
      <c r="I1211" s="36"/>
      <c r="J1211" s="36"/>
      <c r="K1211" s="36"/>
      <c r="L1211" s="36"/>
      <c r="M1211" s="36"/>
      <c r="N1211" s="36"/>
      <c r="P1211" s="59"/>
      <c r="Q1211" s="36"/>
      <c r="S1211" s="36"/>
      <c r="T1211" s="36"/>
      <c r="U1211" s="36"/>
      <c r="AM1211" s="40"/>
      <c r="AN1211" s="40"/>
    </row>
    <row r="1212" spans="8:40" x14ac:dyDescent="0.3">
      <c r="H1212" s="40"/>
      <c r="I1212" s="36"/>
      <c r="J1212" s="36"/>
      <c r="K1212" s="36"/>
      <c r="L1212" s="36"/>
      <c r="M1212" s="36"/>
      <c r="N1212" s="36"/>
      <c r="P1212" s="59"/>
      <c r="Q1212" s="36"/>
      <c r="S1212" s="36"/>
      <c r="T1212" s="36"/>
      <c r="U1212" s="36"/>
      <c r="AM1212" s="40"/>
      <c r="AN1212" s="40"/>
    </row>
    <row r="1213" spans="8:40" x14ac:dyDescent="0.3">
      <c r="H1213" s="40"/>
      <c r="I1213" s="36"/>
      <c r="J1213" s="36"/>
      <c r="K1213" s="36"/>
      <c r="L1213" s="36"/>
      <c r="M1213" s="36"/>
      <c r="N1213" s="36"/>
      <c r="P1213" s="59"/>
      <c r="Q1213" s="36"/>
      <c r="S1213" s="36"/>
      <c r="T1213" s="36"/>
      <c r="U1213" s="36"/>
      <c r="AM1213" s="40"/>
      <c r="AN1213" s="40"/>
    </row>
    <row r="1214" spans="8:40" x14ac:dyDescent="0.3">
      <c r="H1214" s="40"/>
      <c r="I1214" s="36"/>
      <c r="J1214" s="36"/>
      <c r="K1214" s="36"/>
      <c r="L1214" s="36"/>
      <c r="M1214" s="36"/>
      <c r="N1214" s="36"/>
      <c r="P1214" s="59"/>
      <c r="Q1214" s="36"/>
      <c r="S1214" s="36"/>
      <c r="T1214" s="36"/>
      <c r="U1214" s="36"/>
      <c r="AM1214" s="40"/>
      <c r="AN1214" s="40"/>
    </row>
    <row r="1215" spans="8:40" x14ac:dyDescent="0.3">
      <c r="H1215" s="40"/>
      <c r="I1215" s="36"/>
      <c r="J1215" s="36"/>
      <c r="K1215" s="36"/>
      <c r="L1215" s="36"/>
      <c r="M1215" s="36"/>
      <c r="N1215" s="36"/>
      <c r="P1215" s="59"/>
      <c r="Q1215" s="36"/>
      <c r="S1215" s="36"/>
      <c r="T1215" s="36"/>
      <c r="U1215" s="36"/>
      <c r="AM1215" s="40"/>
      <c r="AN1215" s="40"/>
    </row>
    <row r="1216" spans="8:40" x14ac:dyDescent="0.3">
      <c r="H1216" s="40"/>
      <c r="I1216" s="36"/>
      <c r="J1216" s="36"/>
      <c r="K1216" s="36"/>
      <c r="L1216" s="36"/>
      <c r="M1216" s="36"/>
      <c r="N1216" s="36"/>
      <c r="P1216" s="59"/>
      <c r="Q1216" s="36"/>
      <c r="S1216" s="36"/>
      <c r="T1216" s="36"/>
      <c r="U1216" s="36"/>
      <c r="AM1216" s="40"/>
      <c r="AN1216" s="40"/>
    </row>
    <row r="1217" spans="8:40" x14ac:dyDescent="0.3">
      <c r="H1217" s="40"/>
      <c r="I1217" s="36"/>
      <c r="J1217" s="36"/>
      <c r="K1217" s="36"/>
      <c r="L1217" s="36"/>
      <c r="M1217" s="36"/>
      <c r="N1217" s="36"/>
      <c r="P1217" s="59"/>
      <c r="Q1217" s="36"/>
      <c r="S1217" s="36"/>
      <c r="T1217" s="36"/>
      <c r="U1217" s="36"/>
      <c r="AM1217" s="40"/>
      <c r="AN1217" s="40"/>
    </row>
    <row r="1218" spans="8:40" x14ac:dyDescent="0.3">
      <c r="H1218" s="40"/>
      <c r="I1218" s="36"/>
      <c r="J1218" s="36"/>
      <c r="K1218" s="36"/>
      <c r="L1218" s="36"/>
      <c r="M1218" s="36"/>
      <c r="N1218" s="36"/>
      <c r="P1218" s="59"/>
      <c r="Q1218" s="36"/>
      <c r="S1218" s="36"/>
      <c r="T1218" s="36"/>
      <c r="U1218" s="36"/>
      <c r="AM1218" s="40"/>
      <c r="AN1218" s="40"/>
    </row>
    <row r="1219" spans="8:40" x14ac:dyDescent="0.3">
      <c r="H1219" s="40"/>
      <c r="I1219" s="36"/>
      <c r="J1219" s="36"/>
      <c r="K1219" s="36"/>
      <c r="L1219" s="36"/>
      <c r="M1219" s="36"/>
      <c r="N1219" s="36"/>
      <c r="P1219" s="59"/>
      <c r="Q1219" s="36"/>
      <c r="S1219" s="36"/>
      <c r="T1219" s="36"/>
      <c r="U1219" s="36"/>
      <c r="AM1219" s="40"/>
      <c r="AN1219" s="40"/>
    </row>
    <row r="1220" spans="8:40" x14ac:dyDescent="0.3">
      <c r="H1220" s="40"/>
      <c r="I1220" s="36"/>
      <c r="J1220" s="36"/>
      <c r="K1220" s="36"/>
      <c r="L1220" s="36"/>
      <c r="M1220" s="36"/>
      <c r="N1220" s="36"/>
      <c r="P1220" s="59"/>
      <c r="Q1220" s="36"/>
      <c r="S1220" s="36"/>
      <c r="T1220" s="36"/>
      <c r="U1220" s="36"/>
      <c r="AM1220" s="40"/>
      <c r="AN1220" s="40"/>
    </row>
    <row r="1221" spans="8:40" x14ac:dyDescent="0.3">
      <c r="H1221" s="40"/>
      <c r="I1221" s="36"/>
      <c r="J1221" s="36"/>
      <c r="K1221" s="36"/>
      <c r="L1221" s="36"/>
      <c r="M1221" s="36"/>
      <c r="N1221" s="36"/>
      <c r="P1221" s="59"/>
      <c r="Q1221" s="36"/>
      <c r="S1221" s="36"/>
      <c r="T1221" s="36"/>
      <c r="U1221" s="36"/>
      <c r="AM1221" s="40"/>
      <c r="AN1221" s="40"/>
    </row>
    <row r="1222" spans="8:40" x14ac:dyDescent="0.3">
      <c r="H1222" s="40"/>
      <c r="I1222" s="36"/>
      <c r="J1222" s="36"/>
      <c r="K1222" s="36"/>
      <c r="L1222" s="36"/>
      <c r="M1222" s="36"/>
      <c r="N1222" s="36"/>
      <c r="P1222" s="59"/>
      <c r="Q1222" s="36"/>
      <c r="S1222" s="36"/>
      <c r="T1222" s="36"/>
      <c r="U1222" s="36"/>
      <c r="AM1222" s="40"/>
      <c r="AN1222" s="40"/>
    </row>
    <row r="1223" spans="8:40" x14ac:dyDescent="0.3">
      <c r="H1223" s="40"/>
      <c r="I1223" s="36"/>
      <c r="J1223" s="36"/>
      <c r="K1223" s="36"/>
      <c r="L1223" s="36"/>
      <c r="M1223" s="36"/>
      <c r="N1223" s="36"/>
      <c r="P1223" s="59"/>
      <c r="Q1223" s="36"/>
      <c r="S1223" s="36"/>
      <c r="T1223" s="36"/>
      <c r="U1223" s="36"/>
      <c r="AM1223" s="40"/>
      <c r="AN1223" s="40"/>
    </row>
    <row r="1224" spans="8:40" x14ac:dyDescent="0.3">
      <c r="H1224" s="40"/>
      <c r="I1224" s="36"/>
      <c r="J1224" s="36"/>
      <c r="K1224" s="36"/>
      <c r="L1224" s="36"/>
      <c r="M1224" s="36"/>
      <c r="N1224" s="36"/>
      <c r="P1224" s="59"/>
      <c r="Q1224" s="36"/>
      <c r="S1224" s="36"/>
      <c r="T1224" s="36"/>
      <c r="U1224" s="36"/>
      <c r="AM1224" s="40"/>
      <c r="AN1224" s="40"/>
    </row>
    <row r="1225" spans="8:40" x14ac:dyDescent="0.3">
      <c r="H1225" s="40"/>
      <c r="I1225" s="36"/>
      <c r="J1225" s="36"/>
      <c r="K1225" s="36"/>
      <c r="L1225" s="36"/>
      <c r="M1225" s="36"/>
      <c r="N1225" s="36"/>
      <c r="P1225" s="59"/>
      <c r="Q1225" s="36"/>
      <c r="S1225" s="36"/>
      <c r="T1225" s="36"/>
      <c r="U1225" s="36"/>
      <c r="AM1225" s="40"/>
      <c r="AN1225" s="40"/>
    </row>
    <row r="1226" spans="8:40" x14ac:dyDescent="0.3">
      <c r="H1226" s="40"/>
      <c r="I1226" s="36"/>
      <c r="J1226" s="36"/>
      <c r="K1226" s="36"/>
      <c r="L1226" s="36"/>
      <c r="M1226" s="36"/>
      <c r="N1226" s="36"/>
      <c r="P1226" s="59"/>
      <c r="Q1226" s="36"/>
      <c r="S1226" s="36"/>
      <c r="T1226" s="36"/>
      <c r="U1226" s="36"/>
      <c r="AM1226" s="40"/>
      <c r="AN1226" s="40"/>
    </row>
    <row r="1227" spans="8:40" x14ac:dyDescent="0.3">
      <c r="H1227" s="40"/>
      <c r="I1227" s="36"/>
      <c r="J1227" s="36"/>
      <c r="K1227" s="36"/>
      <c r="L1227" s="36"/>
      <c r="M1227" s="36"/>
      <c r="N1227" s="36"/>
      <c r="P1227" s="59"/>
      <c r="Q1227" s="36"/>
      <c r="S1227" s="36"/>
      <c r="T1227" s="36"/>
      <c r="U1227" s="36"/>
      <c r="AM1227" s="40"/>
      <c r="AN1227" s="40"/>
    </row>
    <row r="1228" spans="8:40" x14ac:dyDescent="0.3">
      <c r="H1228" s="40"/>
      <c r="I1228" s="36"/>
      <c r="J1228" s="36"/>
      <c r="K1228" s="36"/>
      <c r="L1228" s="36"/>
      <c r="M1228" s="36"/>
      <c r="N1228" s="36"/>
      <c r="P1228" s="59"/>
      <c r="Q1228" s="36"/>
      <c r="S1228" s="36"/>
      <c r="T1228" s="36"/>
      <c r="U1228" s="36"/>
      <c r="AM1228" s="40"/>
      <c r="AN1228" s="40"/>
    </row>
    <row r="1229" spans="8:40" x14ac:dyDescent="0.3">
      <c r="H1229" s="40"/>
      <c r="I1229" s="36"/>
      <c r="J1229" s="36"/>
      <c r="K1229" s="36"/>
      <c r="L1229" s="36"/>
      <c r="M1229" s="36"/>
      <c r="N1229" s="36"/>
      <c r="P1229" s="59"/>
      <c r="Q1229" s="36"/>
      <c r="S1229" s="36"/>
      <c r="T1229" s="36"/>
      <c r="U1229" s="36"/>
      <c r="AM1229" s="40"/>
      <c r="AN1229" s="40"/>
    </row>
    <row r="1230" spans="8:40" x14ac:dyDescent="0.3">
      <c r="H1230" s="40"/>
      <c r="I1230" s="36"/>
      <c r="J1230" s="36"/>
      <c r="K1230" s="36"/>
      <c r="L1230" s="36"/>
      <c r="M1230" s="36"/>
      <c r="N1230" s="36"/>
      <c r="P1230" s="59"/>
      <c r="Q1230" s="36"/>
      <c r="S1230" s="36"/>
      <c r="T1230" s="36"/>
      <c r="U1230" s="36"/>
      <c r="AM1230" s="40"/>
      <c r="AN1230" s="40"/>
    </row>
    <row r="1231" spans="8:40" x14ac:dyDescent="0.3">
      <c r="H1231" s="40"/>
      <c r="I1231" s="36"/>
      <c r="J1231" s="36"/>
      <c r="K1231" s="36"/>
      <c r="L1231" s="36"/>
      <c r="M1231" s="36"/>
      <c r="N1231" s="36"/>
      <c r="P1231" s="59"/>
      <c r="Q1231" s="36"/>
      <c r="S1231" s="36"/>
      <c r="T1231" s="36"/>
      <c r="U1231" s="36"/>
      <c r="AM1231" s="40"/>
      <c r="AN1231" s="40"/>
    </row>
    <row r="1232" spans="8:40" x14ac:dyDescent="0.3">
      <c r="H1232" s="40"/>
      <c r="I1232" s="36"/>
      <c r="J1232" s="36"/>
      <c r="K1232" s="36"/>
      <c r="L1232" s="36"/>
      <c r="M1232" s="36"/>
      <c r="N1232" s="36"/>
      <c r="P1232" s="59"/>
      <c r="Q1232" s="36"/>
      <c r="S1232" s="36"/>
      <c r="T1232" s="36"/>
      <c r="U1232" s="36"/>
      <c r="AM1232" s="40"/>
      <c r="AN1232" s="40"/>
    </row>
    <row r="1233" spans="8:40" x14ac:dyDescent="0.3">
      <c r="H1233" s="40"/>
      <c r="I1233" s="36"/>
      <c r="J1233" s="36"/>
      <c r="K1233" s="36"/>
      <c r="L1233" s="36"/>
      <c r="M1233" s="36"/>
      <c r="N1233" s="36"/>
      <c r="P1233" s="59"/>
      <c r="Q1233" s="36"/>
      <c r="S1233" s="36"/>
      <c r="T1233" s="36"/>
      <c r="U1233" s="36"/>
      <c r="AM1233" s="40"/>
      <c r="AN1233" s="40"/>
    </row>
    <row r="1234" spans="8:40" x14ac:dyDescent="0.3">
      <c r="H1234" s="40"/>
      <c r="I1234" s="36"/>
      <c r="J1234" s="36"/>
      <c r="K1234" s="36"/>
      <c r="L1234" s="36"/>
      <c r="M1234" s="36"/>
      <c r="N1234" s="36"/>
      <c r="P1234" s="59"/>
      <c r="Q1234" s="36"/>
      <c r="S1234" s="36"/>
      <c r="T1234" s="36"/>
      <c r="U1234" s="36"/>
      <c r="AM1234" s="40"/>
      <c r="AN1234" s="40"/>
    </row>
    <row r="1235" spans="8:40" x14ac:dyDescent="0.3">
      <c r="H1235" s="40"/>
      <c r="I1235" s="36"/>
      <c r="J1235" s="36"/>
      <c r="K1235" s="36"/>
      <c r="L1235" s="36"/>
      <c r="M1235" s="36"/>
      <c r="N1235" s="36"/>
      <c r="P1235" s="59"/>
      <c r="Q1235" s="36"/>
      <c r="S1235" s="36"/>
      <c r="T1235" s="36"/>
      <c r="U1235" s="36"/>
      <c r="AM1235" s="40"/>
      <c r="AN1235" s="40"/>
    </row>
    <row r="1236" spans="8:40" x14ac:dyDescent="0.3">
      <c r="H1236" s="40"/>
      <c r="I1236" s="36"/>
      <c r="J1236" s="36"/>
      <c r="K1236" s="36"/>
      <c r="L1236" s="36"/>
      <c r="M1236" s="36"/>
      <c r="N1236" s="36"/>
      <c r="P1236" s="59"/>
      <c r="Q1236" s="36"/>
      <c r="S1236" s="36"/>
      <c r="T1236" s="36"/>
      <c r="U1236" s="36"/>
      <c r="AM1236" s="40"/>
      <c r="AN1236" s="40"/>
    </row>
    <row r="1237" spans="8:40" x14ac:dyDescent="0.3">
      <c r="H1237" s="40"/>
      <c r="I1237" s="36"/>
      <c r="J1237" s="36"/>
      <c r="K1237" s="36"/>
      <c r="L1237" s="36"/>
      <c r="M1237" s="36"/>
      <c r="N1237" s="36"/>
      <c r="P1237" s="59"/>
      <c r="Q1237" s="36"/>
      <c r="S1237" s="36"/>
      <c r="T1237" s="36"/>
      <c r="U1237" s="36"/>
      <c r="AM1237" s="40"/>
      <c r="AN1237" s="40"/>
    </row>
    <row r="1238" spans="8:40" x14ac:dyDescent="0.3">
      <c r="H1238" s="40"/>
      <c r="I1238" s="36"/>
      <c r="J1238" s="36"/>
      <c r="K1238" s="36"/>
      <c r="L1238" s="36"/>
      <c r="M1238" s="36"/>
      <c r="N1238" s="36"/>
      <c r="P1238" s="59"/>
      <c r="Q1238" s="36"/>
      <c r="S1238" s="36"/>
      <c r="T1238" s="36"/>
      <c r="U1238" s="36"/>
      <c r="AM1238" s="40"/>
      <c r="AN1238" s="40"/>
    </row>
    <row r="1239" spans="8:40" x14ac:dyDescent="0.3">
      <c r="H1239" s="40"/>
      <c r="J1239" s="36"/>
      <c r="K1239" s="36"/>
      <c r="L1239" s="36"/>
      <c r="M1239" s="36"/>
      <c r="N1239" s="36"/>
      <c r="P1239" s="59"/>
      <c r="Q1239" s="36"/>
      <c r="S1239" s="36"/>
      <c r="T1239" s="36"/>
      <c r="U1239" s="36"/>
      <c r="AM1239" s="40"/>
      <c r="AN1239" s="40"/>
    </row>
    <row r="1240" spans="8:40" x14ac:dyDescent="0.3">
      <c r="H1240" s="40"/>
      <c r="J1240" s="36"/>
      <c r="K1240" s="36"/>
      <c r="L1240" s="36"/>
      <c r="M1240" s="36"/>
      <c r="N1240" s="36"/>
      <c r="P1240" s="59"/>
      <c r="Q1240" s="36"/>
      <c r="S1240" s="36"/>
      <c r="T1240" s="36"/>
      <c r="U1240" s="36"/>
      <c r="AM1240" s="40"/>
      <c r="AN1240" s="40"/>
    </row>
    <row r="1241" spans="8:40" x14ac:dyDescent="0.3">
      <c r="H1241" s="40"/>
      <c r="J1241" s="36"/>
      <c r="K1241" s="36"/>
      <c r="L1241" s="36"/>
      <c r="M1241" s="36"/>
      <c r="N1241" s="36"/>
      <c r="P1241" s="59"/>
      <c r="Q1241" s="36"/>
      <c r="S1241" s="36"/>
      <c r="T1241" s="36"/>
      <c r="U1241" s="36"/>
      <c r="AM1241" s="40"/>
      <c r="AN1241" s="40"/>
    </row>
    <row r="1242" spans="8:40" x14ac:dyDescent="0.3">
      <c r="H1242" s="40"/>
      <c r="J1242" s="36"/>
      <c r="K1242" s="36"/>
      <c r="L1242" s="36"/>
      <c r="M1242" s="36"/>
      <c r="N1242" s="36"/>
      <c r="P1242" s="59"/>
      <c r="Q1242" s="36"/>
      <c r="S1242" s="36"/>
      <c r="T1242" s="36"/>
      <c r="U1242" s="36"/>
      <c r="AM1242" s="40"/>
      <c r="AN1242" s="40"/>
    </row>
    <row r="1243" spans="8:40" x14ac:dyDescent="0.3">
      <c r="H1243" s="40"/>
      <c r="J1243" s="36"/>
      <c r="K1243" s="36"/>
      <c r="L1243" s="36"/>
      <c r="M1243" s="36"/>
      <c r="N1243" s="36"/>
      <c r="P1243" s="59"/>
      <c r="Q1243" s="36"/>
      <c r="S1243" s="36"/>
      <c r="T1243" s="36"/>
      <c r="U1243" s="36"/>
      <c r="AM1243" s="40"/>
      <c r="AN1243" s="40"/>
    </row>
    <row r="1244" spans="8:40" x14ac:dyDescent="0.3">
      <c r="H1244" s="40"/>
      <c r="J1244" s="36"/>
      <c r="K1244" s="36"/>
      <c r="L1244" s="36"/>
      <c r="M1244" s="36"/>
      <c r="N1244" s="36"/>
      <c r="P1244" s="59"/>
      <c r="Q1244" s="36"/>
      <c r="S1244" s="36"/>
      <c r="T1244" s="36"/>
      <c r="U1244" s="36"/>
      <c r="AM1244" s="40"/>
      <c r="AN1244" s="40"/>
    </row>
    <row r="1245" spans="8:40" x14ac:dyDescent="0.3">
      <c r="H1245" s="40"/>
      <c r="J1245" s="36"/>
      <c r="K1245" s="36"/>
      <c r="L1245" s="36"/>
      <c r="M1245" s="36"/>
      <c r="N1245" s="36"/>
      <c r="P1245" s="59"/>
      <c r="Q1245" s="36"/>
      <c r="S1245" s="36"/>
      <c r="T1245" s="36"/>
      <c r="U1245" s="36"/>
      <c r="AM1245" s="40"/>
      <c r="AN1245" s="40"/>
    </row>
    <row r="1246" spans="8:40" x14ac:dyDescent="0.3">
      <c r="H1246" s="40"/>
      <c r="J1246" s="36"/>
      <c r="K1246" s="36"/>
      <c r="L1246" s="36"/>
      <c r="M1246" s="36"/>
      <c r="N1246" s="36"/>
      <c r="P1246" s="59"/>
      <c r="Q1246" s="36"/>
      <c r="S1246" s="36"/>
      <c r="T1246" s="36"/>
      <c r="U1246" s="36"/>
      <c r="AM1246" s="40"/>
      <c r="AN1246" s="40"/>
    </row>
    <row r="1247" spans="8:40" x14ac:dyDescent="0.3">
      <c r="H1247" s="40"/>
      <c r="J1247" s="36"/>
      <c r="K1247" s="36"/>
      <c r="L1247" s="36"/>
      <c r="M1247" s="36"/>
      <c r="N1247" s="36"/>
      <c r="P1247" s="59"/>
      <c r="Q1247" s="36"/>
      <c r="S1247" s="36"/>
      <c r="T1247" s="36"/>
      <c r="U1247" s="36"/>
      <c r="AM1247" s="40"/>
      <c r="AN1247" s="40"/>
    </row>
    <row r="1248" spans="8:40" x14ac:dyDescent="0.3">
      <c r="H1248" s="40"/>
      <c r="J1248" s="36"/>
      <c r="K1248" s="36"/>
      <c r="L1248" s="36"/>
      <c r="M1248" s="36"/>
      <c r="N1248" s="36"/>
      <c r="P1248" s="59"/>
      <c r="Q1248" s="36"/>
      <c r="S1248" s="36"/>
      <c r="T1248" s="36"/>
      <c r="U1248" s="36"/>
      <c r="AM1248" s="40"/>
      <c r="AN1248" s="40"/>
    </row>
    <row r="1249" spans="8:40" x14ac:dyDescent="0.3">
      <c r="H1249" s="40"/>
      <c r="J1249" s="36"/>
      <c r="K1249" s="36"/>
      <c r="L1249" s="36"/>
      <c r="M1249" s="36"/>
      <c r="N1249" s="36"/>
      <c r="P1249" s="59"/>
      <c r="Q1249" s="36"/>
      <c r="S1249" s="36"/>
      <c r="T1249" s="36"/>
      <c r="U1249" s="36"/>
      <c r="AM1249" s="40"/>
      <c r="AN1249" s="40"/>
    </row>
    <row r="1250" spans="8:40" x14ac:dyDescent="0.3">
      <c r="H1250" s="40"/>
      <c r="J1250" s="36"/>
      <c r="K1250" s="36"/>
      <c r="L1250" s="36"/>
      <c r="M1250" s="36"/>
      <c r="N1250" s="36"/>
      <c r="P1250" s="59"/>
      <c r="Q1250" s="36"/>
      <c r="S1250" s="36"/>
      <c r="T1250" s="36"/>
      <c r="U1250" s="36"/>
      <c r="AM1250" s="40"/>
      <c r="AN1250" s="40"/>
    </row>
    <row r="1251" spans="8:40" x14ac:dyDescent="0.3">
      <c r="H1251" s="40"/>
      <c r="J1251" s="36"/>
      <c r="K1251" s="36"/>
      <c r="L1251" s="36"/>
      <c r="M1251" s="36"/>
      <c r="N1251" s="36"/>
      <c r="P1251" s="59"/>
      <c r="Q1251" s="36"/>
      <c r="S1251" s="36"/>
      <c r="T1251" s="36"/>
      <c r="U1251" s="36"/>
      <c r="AM1251" s="40"/>
      <c r="AN1251" s="40"/>
    </row>
    <row r="1252" spans="8:40" x14ac:dyDescent="0.3">
      <c r="H1252" s="40"/>
      <c r="J1252" s="36"/>
      <c r="K1252" s="36"/>
      <c r="L1252" s="36"/>
      <c r="M1252" s="36"/>
      <c r="N1252" s="36"/>
      <c r="P1252" s="59"/>
      <c r="Q1252" s="36"/>
      <c r="S1252" s="36"/>
      <c r="T1252" s="36"/>
      <c r="U1252" s="36"/>
      <c r="AM1252" s="40"/>
      <c r="AN1252" s="40"/>
    </row>
    <row r="1253" spans="8:40" x14ac:dyDescent="0.3">
      <c r="H1253" s="40"/>
      <c r="J1253" s="36"/>
      <c r="K1253" s="36"/>
      <c r="L1253" s="36"/>
      <c r="M1253" s="36"/>
      <c r="N1253" s="36"/>
      <c r="P1253" s="59"/>
      <c r="Q1253" s="36"/>
      <c r="S1253" s="36"/>
      <c r="T1253" s="36"/>
      <c r="U1253" s="36"/>
      <c r="AM1253" s="40"/>
      <c r="AN1253" s="40"/>
    </row>
    <row r="1254" spans="8:40" x14ac:dyDescent="0.3">
      <c r="H1254" s="40"/>
      <c r="J1254" s="36"/>
      <c r="K1254" s="36"/>
      <c r="L1254" s="36"/>
      <c r="M1254" s="36"/>
      <c r="N1254" s="36"/>
      <c r="P1254" s="59"/>
      <c r="Q1254" s="36"/>
      <c r="S1254" s="36"/>
      <c r="T1254" s="36"/>
      <c r="U1254" s="36"/>
      <c r="AM1254" s="40"/>
      <c r="AN1254" s="40"/>
    </row>
    <row r="1255" spans="8:40" x14ac:dyDescent="0.3">
      <c r="H1255" s="40"/>
      <c r="J1255" s="36"/>
      <c r="K1255" s="36"/>
      <c r="L1255" s="36"/>
      <c r="M1255" s="36"/>
      <c r="N1255" s="36"/>
      <c r="P1255" s="59"/>
      <c r="Q1255" s="36"/>
      <c r="S1255" s="36"/>
      <c r="T1255" s="36"/>
      <c r="U1255" s="36"/>
      <c r="AM1255" s="40"/>
      <c r="AN1255" s="40"/>
    </row>
    <row r="1256" spans="8:40" x14ac:dyDescent="0.3">
      <c r="H1256" s="40"/>
      <c r="J1256" s="36"/>
      <c r="K1256" s="36"/>
      <c r="L1256" s="36"/>
      <c r="M1256" s="36"/>
      <c r="N1256" s="36"/>
      <c r="P1256" s="59"/>
      <c r="Q1256" s="36"/>
      <c r="S1256" s="36"/>
      <c r="T1256" s="36"/>
      <c r="U1256" s="36"/>
      <c r="AM1256" s="40"/>
      <c r="AN1256" s="40"/>
    </row>
    <row r="1257" spans="8:40" x14ac:dyDescent="0.3">
      <c r="H1257" s="40"/>
      <c r="J1257" s="36"/>
      <c r="K1257" s="36"/>
      <c r="L1257" s="36"/>
      <c r="M1257" s="36"/>
      <c r="N1257" s="36"/>
      <c r="P1257" s="59"/>
      <c r="Q1257" s="36"/>
      <c r="S1257" s="36"/>
      <c r="T1257" s="36"/>
      <c r="U1257" s="36"/>
      <c r="AM1257" s="40"/>
      <c r="AN1257" s="40"/>
    </row>
    <row r="1258" spans="8:40" x14ac:dyDescent="0.3">
      <c r="H1258" s="40"/>
      <c r="J1258" s="36"/>
      <c r="K1258" s="36"/>
      <c r="L1258" s="36"/>
      <c r="M1258" s="36"/>
      <c r="N1258" s="36"/>
      <c r="P1258" s="59"/>
      <c r="Q1258" s="36"/>
      <c r="S1258" s="36"/>
      <c r="T1258" s="36"/>
      <c r="U1258" s="36"/>
      <c r="AM1258" s="40"/>
      <c r="AN1258" s="40"/>
    </row>
    <row r="1259" spans="8:40" x14ac:dyDescent="0.3">
      <c r="H1259" s="40"/>
      <c r="J1259" s="36"/>
      <c r="K1259" s="36"/>
      <c r="L1259" s="36"/>
      <c r="M1259" s="36"/>
      <c r="N1259" s="36"/>
      <c r="P1259" s="59"/>
      <c r="Q1259" s="36"/>
      <c r="S1259" s="36"/>
      <c r="T1259" s="36"/>
      <c r="U1259" s="36"/>
      <c r="AM1259" s="40"/>
      <c r="AN1259" s="40"/>
    </row>
    <row r="1260" spans="8:40" x14ac:dyDescent="0.3">
      <c r="H1260" s="40"/>
      <c r="J1260" s="36"/>
      <c r="K1260" s="36"/>
      <c r="L1260" s="36"/>
      <c r="M1260" s="36"/>
      <c r="N1260" s="36"/>
      <c r="P1260" s="59"/>
      <c r="Q1260" s="36"/>
      <c r="S1260" s="36"/>
      <c r="T1260" s="36"/>
      <c r="U1260" s="36"/>
      <c r="AM1260" s="40"/>
      <c r="AN1260" s="40"/>
    </row>
    <row r="1261" spans="8:40" x14ac:dyDescent="0.3">
      <c r="H1261" s="40"/>
      <c r="J1261" s="36"/>
      <c r="K1261" s="36"/>
      <c r="L1261" s="36"/>
      <c r="M1261" s="36"/>
      <c r="N1261" s="36"/>
      <c r="P1261" s="59"/>
      <c r="Q1261" s="36"/>
      <c r="S1261" s="36"/>
      <c r="T1261" s="36"/>
      <c r="U1261" s="36"/>
      <c r="AM1261" s="40"/>
      <c r="AN1261" s="40"/>
    </row>
    <row r="1262" spans="8:40" x14ac:dyDescent="0.3">
      <c r="H1262" s="40"/>
      <c r="J1262" s="36"/>
      <c r="K1262" s="36"/>
      <c r="L1262" s="36"/>
      <c r="M1262" s="36"/>
      <c r="N1262" s="36"/>
      <c r="P1262" s="59"/>
      <c r="Q1262" s="36"/>
      <c r="S1262" s="36"/>
      <c r="T1262" s="36"/>
      <c r="U1262" s="36"/>
      <c r="AM1262" s="40"/>
      <c r="AN1262" s="40"/>
    </row>
    <row r="1263" spans="8:40" x14ac:dyDescent="0.3">
      <c r="H1263" s="40"/>
      <c r="J1263" s="36"/>
      <c r="K1263" s="36"/>
      <c r="L1263" s="36"/>
      <c r="M1263" s="36"/>
      <c r="N1263" s="36"/>
      <c r="P1263" s="59"/>
      <c r="Q1263" s="36"/>
      <c r="S1263" s="36"/>
      <c r="T1263" s="36"/>
      <c r="U1263" s="36"/>
      <c r="AM1263" s="40"/>
      <c r="AN1263" s="40"/>
    </row>
    <row r="1264" spans="8:40" x14ac:dyDescent="0.3">
      <c r="H1264" s="40"/>
      <c r="J1264" s="36"/>
      <c r="K1264" s="36"/>
      <c r="L1264" s="36"/>
      <c r="M1264" s="36"/>
      <c r="N1264" s="36"/>
      <c r="P1264" s="59"/>
      <c r="Q1264" s="36"/>
      <c r="S1264" s="36"/>
      <c r="T1264" s="36"/>
      <c r="U1264" s="36"/>
      <c r="AM1264" s="40"/>
      <c r="AN1264" s="40"/>
    </row>
    <row r="1265" spans="8:40" x14ac:dyDescent="0.3">
      <c r="H1265" s="40"/>
      <c r="J1265" s="36"/>
      <c r="K1265" s="36"/>
      <c r="L1265" s="36"/>
      <c r="M1265" s="36"/>
      <c r="N1265" s="36"/>
      <c r="P1265" s="59"/>
      <c r="Q1265" s="36"/>
      <c r="S1265" s="36"/>
      <c r="T1265" s="36"/>
      <c r="U1265" s="36"/>
      <c r="AM1265" s="40"/>
      <c r="AN1265" s="40"/>
    </row>
    <row r="1266" spans="8:40" x14ac:dyDescent="0.3">
      <c r="H1266" s="40"/>
      <c r="J1266" s="36"/>
      <c r="K1266" s="36"/>
      <c r="L1266" s="36"/>
      <c r="M1266" s="36"/>
      <c r="N1266" s="36"/>
      <c r="P1266" s="59"/>
      <c r="Q1266" s="36"/>
      <c r="S1266" s="36"/>
      <c r="T1266" s="36"/>
      <c r="U1266" s="36"/>
      <c r="AM1266" s="40"/>
      <c r="AN1266" s="40"/>
    </row>
    <row r="1267" spans="8:40" x14ac:dyDescent="0.3">
      <c r="H1267" s="40"/>
      <c r="J1267" s="36"/>
      <c r="K1267" s="36"/>
      <c r="L1267" s="36"/>
      <c r="M1267" s="36"/>
      <c r="N1267" s="36"/>
      <c r="P1267" s="59"/>
      <c r="Q1267" s="36"/>
      <c r="S1267" s="36"/>
      <c r="T1267" s="36"/>
      <c r="U1267" s="36"/>
      <c r="AM1267" s="40"/>
      <c r="AN1267" s="40"/>
    </row>
    <row r="1268" spans="8:40" x14ac:dyDescent="0.3">
      <c r="H1268" s="40"/>
      <c r="J1268" s="36"/>
      <c r="K1268" s="36"/>
      <c r="L1268" s="36"/>
      <c r="M1268" s="36"/>
      <c r="N1268" s="36"/>
      <c r="P1268" s="59"/>
      <c r="Q1268" s="36"/>
      <c r="S1268" s="36"/>
      <c r="T1268" s="36"/>
      <c r="U1268" s="36"/>
      <c r="AM1268" s="40"/>
      <c r="AN1268" s="40"/>
    </row>
    <row r="1269" spans="8:40" x14ac:dyDescent="0.3">
      <c r="H1269" s="40"/>
      <c r="J1269" s="36"/>
      <c r="K1269" s="36"/>
      <c r="L1269" s="36"/>
      <c r="M1269" s="36"/>
      <c r="N1269" s="36"/>
      <c r="P1269" s="59"/>
      <c r="Q1269" s="36"/>
      <c r="S1269" s="36"/>
      <c r="T1269" s="36"/>
      <c r="U1269" s="36"/>
      <c r="AM1269" s="40"/>
      <c r="AN1269" s="40"/>
    </row>
    <row r="1270" spans="8:40" x14ac:dyDescent="0.3">
      <c r="H1270" s="40"/>
      <c r="J1270" s="36"/>
      <c r="K1270" s="36"/>
      <c r="L1270" s="36"/>
      <c r="M1270" s="36"/>
      <c r="N1270" s="36"/>
      <c r="P1270" s="59"/>
      <c r="Q1270" s="36"/>
      <c r="S1270" s="36"/>
      <c r="T1270" s="36"/>
      <c r="U1270" s="36"/>
      <c r="AM1270" s="40"/>
      <c r="AN1270" s="40"/>
    </row>
    <row r="1271" spans="8:40" x14ac:dyDescent="0.3">
      <c r="H1271" s="40"/>
      <c r="J1271" s="36"/>
      <c r="K1271" s="36"/>
      <c r="L1271" s="36"/>
      <c r="M1271" s="36"/>
      <c r="N1271" s="36"/>
      <c r="P1271" s="59"/>
      <c r="Q1271" s="36"/>
      <c r="S1271" s="36"/>
      <c r="T1271" s="36"/>
      <c r="U1271" s="36"/>
      <c r="AM1271" s="40"/>
      <c r="AN1271" s="40"/>
    </row>
    <row r="1272" spans="8:40" x14ac:dyDescent="0.3">
      <c r="H1272" s="40"/>
      <c r="J1272" s="36"/>
      <c r="K1272" s="36"/>
      <c r="L1272" s="36"/>
      <c r="M1272" s="36"/>
      <c r="N1272" s="36"/>
      <c r="P1272" s="59"/>
      <c r="Q1272" s="36"/>
      <c r="S1272" s="36"/>
      <c r="T1272" s="36"/>
      <c r="U1272" s="36"/>
      <c r="AM1272" s="40"/>
      <c r="AN1272" s="40"/>
    </row>
    <row r="1273" spans="8:40" x14ac:dyDescent="0.3">
      <c r="H1273" s="40"/>
      <c r="J1273" s="36"/>
      <c r="K1273" s="36"/>
      <c r="L1273" s="36"/>
      <c r="M1273" s="36"/>
      <c r="N1273" s="36"/>
      <c r="P1273" s="59"/>
      <c r="Q1273" s="36"/>
      <c r="S1273" s="36"/>
      <c r="T1273" s="36"/>
      <c r="U1273" s="36"/>
      <c r="AM1273" s="40"/>
      <c r="AN1273" s="40"/>
    </row>
    <row r="1274" spans="8:40" x14ac:dyDescent="0.3">
      <c r="H1274" s="40"/>
      <c r="J1274" s="36"/>
      <c r="K1274" s="36"/>
      <c r="L1274" s="36"/>
      <c r="M1274" s="36"/>
      <c r="N1274" s="36"/>
      <c r="P1274" s="59"/>
      <c r="Q1274" s="36"/>
      <c r="S1274" s="36"/>
      <c r="T1274" s="36"/>
      <c r="U1274" s="36"/>
      <c r="AM1274" s="40"/>
      <c r="AN1274" s="40"/>
    </row>
    <row r="1275" spans="8:40" x14ac:dyDescent="0.3">
      <c r="H1275" s="40"/>
      <c r="J1275" s="36"/>
      <c r="K1275" s="36"/>
      <c r="L1275" s="36"/>
      <c r="M1275" s="36"/>
      <c r="N1275" s="36"/>
      <c r="P1275" s="59"/>
      <c r="Q1275" s="36"/>
      <c r="S1275" s="36"/>
      <c r="T1275" s="36"/>
      <c r="U1275" s="36"/>
      <c r="AM1275" s="40"/>
      <c r="AN1275" s="40"/>
    </row>
    <row r="1276" spans="8:40" x14ac:dyDescent="0.3">
      <c r="H1276" s="40"/>
      <c r="J1276" s="36"/>
      <c r="K1276" s="36"/>
      <c r="L1276" s="36"/>
      <c r="M1276" s="36"/>
      <c r="N1276" s="36"/>
      <c r="P1276" s="59"/>
      <c r="Q1276" s="36"/>
      <c r="S1276" s="36"/>
      <c r="T1276" s="36"/>
      <c r="U1276" s="36"/>
      <c r="AM1276" s="40"/>
      <c r="AN1276" s="40"/>
    </row>
    <row r="1277" spans="8:40" x14ac:dyDescent="0.3">
      <c r="H1277" s="40"/>
      <c r="J1277" s="36"/>
      <c r="K1277" s="36"/>
      <c r="L1277" s="36"/>
      <c r="M1277" s="36"/>
      <c r="N1277" s="36"/>
      <c r="P1277" s="59"/>
      <c r="Q1277" s="36"/>
      <c r="S1277" s="36"/>
      <c r="T1277" s="36"/>
      <c r="U1277" s="36"/>
      <c r="AM1277" s="40"/>
      <c r="AN1277" s="40"/>
    </row>
    <row r="1278" spans="8:40" x14ac:dyDescent="0.3">
      <c r="H1278" s="40"/>
      <c r="J1278" s="36"/>
      <c r="K1278" s="36"/>
      <c r="L1278" s="36"/>
      <c r="M1278" s="36"/>
      <c r="N1278" s="36"/>
      <c r="P1278" s="59"/>
      <c r="Q1278" s="36"/>
      <c r="S1278" s="36"/>
      <c r="T1278" s="36"/>
      <c r="U1278" s="36"/>
      <c r="AM1278" s="40"/>
      <c r="AN1278" s="40"/>
    </row>
    <row r="1279" spans="8:40" x14ac:dyDescent="0.3">
      <c r="H1279" s="40"/>
      <c r="J1279" s="36"/>
      <c r="K1279" s="36"/>
      <c r="L1279" s="36"/>
      <c r="M1279" s="36"/>
      <c r="N1279" s="36"/>
      <c r="P1279" s="59"/>
      <c r="Q1279" s="36"/>
      <c r="S1279" s="36"/>
      <c r="T1279" s="36"/>
      <c r="U1279" s="36"/>
      <c r="AM1279" s="40"/>
      <c r="AN1279" s="40"/>
    </row>
    <row r="1280" spans="8:40" x14ac:dyDescent="0.3">
      <c r="H1280" s="40"/>
      <c r="J1280" s="36"/>
      <c r="K1280" s="36"/>
      <c r="L1280" s="36"/>
      <c r="M1280" s="36"/>
      <c r="N1280" s="36"/>
      <c r="P1280" s="59"/>
      <c r="Q1280" s="36"/>
      <c r="S1280" s="36"/>
      <c r="T1280" s="36"/>
      <c r="U1280" s="36"/>
      <c r="AM1280" s="40"/>
      <c r="AN1280" s="40"/>
    </row>
    <row r="1281" spans="8:40" x14ac:dyDescent="0.3">
      <c r="H1281" s="40"/>
      <c r="J1281" s="36"/>
      <c r="K1281" s="36"/>
      <c r="L1281" s="36"/>
      <c r="M1281" s="36"/>
      <c r="N1281" s="36"/>
      <c r="P1281" s="59"/>
      <c r="Q1281" s="36"/>
      <c r="S1281" s="36"/>
      <c r="T1281" s="36"/>
      <c r="U1281" s="36"/>
      <c r="AM1281" s="40"/>
      <c r="AN1281" s="40"/>
    </row>
    <row r="1282" spans="8:40" x14ac:dyDescent="0.3">
      <c r="H1282" s="40"/>
      <c r="J1282" s="36"/>
      <c r="K1282" s="36"/>
      <c r="L1282" s="36"/>
      <c r="M1282" s="36"/>
      <c r="N1282" s="36"/>
      <c r="P1282" s="59"/>
      <c r="Q1282" s="36"/>
      <c r="S1282" s="36"/>
      <c r="T1282" s="36"/>
      <c r="U1282" s="36"/>
      <c r="AM1282" s="40"/>
      <c r="AN1282" s="40"/>
    </row>
    <row r="1283" spans="8:40" x14ac:dyDescent="0.3">
      <c r="H1283" s="40"/>
      <c r="J1283" s="36"/>
      <c r="K1283" s="36"/>
      <c r="L1283" s="36"/>
      <c r="M1283" s="36"/>
      <c r="N1283" s="36"/>
      <c r="P1283" s="59"/>
      <c r="Q1283" s="36"/>
      <c r="S1283" s="36"/>
      <c r="T1283" s="36"/>
      <c r="U1283" s="36"/>
      <c r="AM1283" s="40"/>
      <c r="AN1283" s="40"/>
    </row>
    <row r="1284" spans="8:40" x14ac:dyDescent="0.3">
      <c r="H1284" s="40"/>
      <c r="J1284" s="36"/>
      <c r="K1284" s="36"/>
      <c r="L1284" s="36"/>
      <c r="M1284" s="36"/>
      <c r="N1284" s="36"/>
      <c r="P1284" s="59"/>
      <c r="Q1284" s="36"/>
      <c r="S1284" s="36"/>
      <c r="T1284" s="36"/>
      <c r="U1284" s="36"/>
      <c r="AM1284" s="40"/>
      <c r="AN1284" s="40"/>
    </row>
    <row r="1285" spans="8:40" x14ac:dyDescent="0.3">
      <c r="H1285" s="40"/>
      <c r="J1285" s="36"/>
      <c r="K1285" s="36"/>
      <c r="L1285" s="36"/>
      <c r="M1285" s="36"/>
      <c r="N1285" s="36"/>
      <c r="P1285" s="59"/>
      <c r="Q1285" s="36"/>
      <c r="S1285" s="36"/>
      <c r="T1285" s="36"/>
      <c r="U1285" s="36"/>
      <c r="AM1285" s="40"/>
      <c r="AN1285" s="40"/>
    </row>
    <row r="1286" spans="8:40" x14ac:dyDescent="0.3">
      <c r="H1286" s="40"/>
      <c r="J1286" s="36"/>
      <c r="K1286" s="36"/>
      <c r="L1286" s="36"/>
      <c r="M1286" s="36"/>
      <c r="N1286" s="36"/>
      <c r="P1286" s="59"/>
      <c r="Q1286" s="36"/>
      <c r="S1286" s="36"/>
      <c r="T1286" s="36"/>
      <c r="U1286" s="36"/>
      <c r="AM1286" s="40"/>
      <c r="AN1286" s="40"/>
    </row>
    <row r="1287" spans="8:40" x14ac:dyDescent="0.3">
      <c r="H1287" s="40"/>
      <c r="J1287" s="36"/>
      <c r="K1287" s="36"/>
      <c r="L1287" s="36"/>
      <c r="M1287" s="36"/>
      <c r="N1287" s="36"/>
      <c r="P1287" s="59"/>
      <c r="Q1287" s="36"/>
      <c r="S1287" s="36"/>
      <c r="T1287" s="36"/>
      <c r="U1287" s="36"/>
      <c r="AM1287" s="40"/>
      <c r="AN1287" s="40"/>
    </row>
    <row r="1288" spans="8:40" x14ac:dyDescent="0.3">
      <c r="H1288" s="40"/>
      <c r="J1288" s="36"/>
      <c r="K1288" s="36"/>
      <c r="L1288" s="36"/>
      <c r="M1288" s="36"/>
      <c r="N1288" s="36"/>
      <c r="P1288" s="59"/>
      <c r="Q1288" s="36"/>
      <c r="S1288" s="36"/>
      <c r="T1288" s="36"/>
      <c r="U1288" s="36"/>
      <c r="AM1288" s="40"/>
      <c r="AN1288" s="40"/>
    </row>
    <row r="1289" spans="8:40" x14ac:dyDescent="0.3">
      <c r="H1289" s="40"/>
      <c r="J1289" s="36"/>
      <c r="K1289" s="36"/>
      <c r="L1289" s="36"/>
      <c r="M1289" s="36"/>
      <c r="N1289" s="36"/>
      <c r="P1289" s="59"/>
      <c r="Q1289" s="36"/>
      <c r="S1289" s="36"/>
      <c r="T1289" s="36"/>
      <c r="U1289" s="36"/>
      <c r="AM1289" s="40"/>
      <c r="AN1289" s="40"/>
    </row>
    <row r="1290" spans="8:40" x14ac:dyDescent="0.3">
      <c r="H1290" s="40"/>
      <c r="J1290" s="36"/>
      <c r="K1290" s="36"/>
      <c r="L1290" s="36"/>
      <c r="M1290" s="36"/>
      <c r="N1290" s="36"/>
      <c r="P1290" s="59"/>
      <c r="Q1290" s="36"/>
      <c r="S1290" s="36"/>
      <c r="T1290" s="36"/>
      <c r="U1290" s="36"/>
      <c r="AM1290" s="40"/>
      <c r="AN1290" s="40"/>
    </row>
    <row r="1291" spans="8:40" x14ac:dyDescent="0.3">
      <c r="H1291" s="40"/>
      <c r="J1291" s="36"/>
      <c r="K1291" s="36"/>
      <c r="L1291" s="36"/>
      <c r="M1291" s="36"/>
      <c r="N1291" s="36"/>
      <c r="P1291" s="59"/>
      <c r="Q1291" s="36"/>
      <c r="S1291" s="36"/>
      <c r="T1291" s="36"/>
      <c r="U1291" s="36"/>
      <c r="AM1291" s="40"/>
      <c r="AN1291" s="40"/>
    </row>
    <row r="1292" spans="8:40" x14ac:dyDescent="0.3">
      <c r="H1292" s="40"/>
      <c r="J1292" s="36"/>
      <c r="K1292" s="36"/>
      <c r="L1292" s="36"/>
      <c r="M1292" s="36"/>
      <c r="N1292" s="36"/>
      <c r="P1292" s="59"/>
      <c r="Q1292" s="36"/>
      <c r="S1292" s="36"/>
      <c r="T1292" s="36"/>
      <c r="U1292" s="36"/>
      <c r="AM1292" s="40"/>
      <c r="AN1292" s="40"/>
    </row>
    <row r="1293" spans="8:40" x14ac:dyDescent="0.3">
      <c r="H1293" s="40"/>
      <c r="J1293" s="36"/>
      <c r="K1293" s="36"/>
      <c r="L1293" s="36"/>
      <c r="M1293" s="36"/>
      <c r="N1293" s="36"/>
      <c r="P1293" s="59"/>
      <c r="Q1293" s="36"/>
      <c r="S1293" s="36"/>
      <c r="T1293" s="36"/>
      <c r="U1293" s="36"/>
      <c r="AM1293" s="40"/>
      <c r="AN1293" s="40"/>
    </row>
    <row r="1294" spans="8:40" x14ac:dyDescent="0.3">
      <c r="H1294" s="40"/>
      <c r="J1294" s="36"/>
      <c r="K1294" s="36"/>
      <c r="L1294" s="36"/>
      <c r="M1294" s="36"/>
      <c r="N1294" s="36"/>
      <c r="P1294" s="59"/>
      <c r="Q1294" s="36"/>
      <c r="S1294" s="36"/>
      <c r="T1294" s="36"/>
      <c r="U1294" s="36"/>
      <c r="AM1294" s="40"/>
      <c r="AN1294" s="40"/>
    </row>
    <row r="1295" spans="8:40" x14ac:dyDescent="0.3">
      <c r="H1295" s="40"/>
      <c r="J1295" s="36"/>
      <c r="K1295" s="36"/>
      <c r="L1295" s="36"/>
      <c r="M1295" s="36"/>
      <c r="N1295" s="36"/>
      <c r="P1295" s="59"/>
      <c r="Q1295" s="36"/>
      <c r="S1295" s="36"/>
      <c r="T1295" s="36"/>
      <c r="U1295" s="36"/>
      <c r="AM1295" s="40"/>
      <c r="AN1295" s="40"/>
    </row>
    <row r="1296" spans="8:40" x14ac:dyDescent="0.3">
      <c r="H1296" s="40"/>
      <c r="J1296" s="36"/>
      <c r="K1296" s="36"/>
      <c r="L1296" s="36"/>
      <c r="M1296" s="36"/>
      <c r="N1296" s="36"/>
      <c r="P1296" s="59"/>
      <c r="Q1296" s="36"/>
      <c r="S1296" s="36"/>
      <c r="T1296" s="36"/>
      <c r="U1296" s="36"/>
      <c r="AM1296" s="40"/>
      <c r="AN1296" s="40"/>
    </row>
    <row r="1297" spans="8:40" x14ac:dyDescent="0.3">
      <c r="H1297" s="40"/>
      <c r="J1297" s="36"/>
      <c r="K1297" s="36"/>
      <c r="L1297" s="36"/>
      <c r="M1297" s="36"/>
      <c r="N1297" s="36"/>
      <c r="P1297" s="59"/>
      <c r="Q1297" s="36"/>
      <c r="S1297" s="36"/>
      <c r="T1297" s="36"/>
      <c r="U1297" s="36"/>
      <c r="AM1297" s="40"/>
      <c r="AN1297" s="40"/>
    </row>
    <row r="1298" spans="8:40" x14ac:dyDescent="0.3">
      <c r="H1298" s="40"/>
      <c r="J1298" s="36"/>
      <c r="K1298" s="36"/>
      <c r="L1298" s="36"/>
      <c r="M1298" s="36"/>
      <c r="N1298" s="36"/>
      <c r="P1298" s="59"/>
      <c r="Q1298" s="36"/>
      <c r="S1298" s="36"/>
      <c r="T1298" s="36"/>
      <c r="U1298" s="36"/>
      <c r="AM1298" s="40"/>
      <c r="AN1298" s="40"/>
    </row>
    <row r="1299" spans="8:40" x14ac:dyDescent="0.3">
      <c r="H1299" s="40"/>
      <c r="J1299" s="36"/>
      <c r="K1299" s="36"/>
      <c r="L1299" s="36"/>
      <c r="M1299" s="36"/>
      <c r="N1299" s="36"/>
      <c r="P1299" s="59"/>
      <c r="Q1299" s="36"/>
      <c r="S1299" s="36"/>
      <c r="T1299" s="36"/>
      <c r="U1299" s="36"/>
      <c r="AM1299" s="40"/>
      <c r="AN1299" s="40"/>
    </row>
    <row r="1300" spans="8:40" x14ac:dyDescent="0.3">
      <c r="H1300" s="40"/>
      <c r="J1300" s="36"/>
      <c r="K1300" s="36"/>
      <c r="L1300" s="36"/>
      <c r="M1300" s="36"/>
      <c r="N1300" s="36"/>
      <c r="P1300" s="59"/>
      <c r="Q1300" s="36"/>
      <c r="S1300" s="36"/>
      <c r="T1300" s="36"/>
      <c r="U1300" s="36"/>
      <c r="AM1300" s="40"/>
      <c r="AN1300" s="40"/>
    </row>
    <row r="1301" spans="8:40" x14ac:dyDescent="0.3">
      <c r="H1301" s="40"/>
      <c r="J1301" s="36"/>
      <c r="K1301" s="36"/>
      <c r="L1301" s="36"/>
      <c r="M1301" s="36"/>
      <c r="N1301" s="36"/>
      <c r="P1301" s="59"/>
      <c r="Q1301" s="36"/>
      <c r="S1301" s="36"/>
      <c r="T1301" s="36"/>
      <c r="U1301" s="36"/>
      <c r="AM1301" s="40"/>
      <c r="AN1301" s="40"/>
    </row>
    <row r="1302" spans="8:40" x14ac:dyDescent="0.3">
      <c r="H1302" s="40"/>
      <c r="J1302" s="36"/>
      <c r="K1302" s="36"/>
      <c r="L1302" s="36"/>
      <c r="M1302" s="36"/>
      <c r="N1302" s="36"/>
      <c r="P1302" s="59"/>
      <c r="Q1302" s="36"/>
      <c r="S1302" s="36"/>
      <c r="T1302" s="36"/>
      <c r="U1302" s="36"/>
      <c r="AM1302" s="40"/>
      <c r="AN1302" s="40"/>
    </row>
    <row r="1303" spans="8:40" x14ac:dyDescent="0.3">
      <c r="H1303" s="40"/>
      <c r="J1303" s="36"/>
      <c r="K1303" s="36"/>
      <c r="L1303" s="36"/>
      <c r="M1303" s="36"/>
      <c r="N1303" s="36"/>
      <c r="P1303" s="59"/>
      <c r="Q1303" s="36"/>
      <c r="S1303" s="36"/>
      <c r="T1303" s="36"/>
      <c r="U1303" s="36"/>
      <c r="AM1303" s="40"/>
      <c r="AN1303" s="40"/>
    </row>
    <row r="1304" spans="8:40" x14ac:dyDescent="0.3">
      <c r="H1304" s="40"/>
      <c r="J1304" s="36"/>
      <c r="K1304" s="36"/>
      <c r="L1304" s="36"/>
      <c r="M1304" s="36"/>
      <c r="N1304" s="36"/>
      <c r="P1304" s="59"/>
      <c r="Q1304" s="36"/>
      <c r="S1304" s="36"/>
      <c r="T1304" s="36"/>
      <c r="U1304" s="36"/>
      <c r="AM1304" s="40"/>
      <c r="AN1304" s="40"/>
    </row>
    <row r="1305" spans="8:40" x14ac:dyDescent="0.3">
      <c r="H1305" s="40"/>
      <c r="J1305" s="36"/>
      <c r="K1305" s="36"/>
      <c r="L1305" s="36"/>
      <c r="M1305" s="36"/>
      <c r="N1305" s="36"/>
      <c r="P1305" s="59"/>
      <c r="Q1305" s="36"/>
      <c r="S1305" s="36"/>
      <c r="T1305" s="36"/>
      <c r="U1305" s="36"/>
      <c r="AM1305" s="40"/>
      <c r="AN1305" s="40"/>
    </row>
    <row r="1306" spans="8:40" x14ac:dyDescent="0.3">
      <c r="H1306" s="40"/>
      <c r="J1306" s="36"/>
      <c r="K1306" s="36"/>
      <c r="L1306" s="36"/>
      <c r="M1306" s="36"/>
      <c r="N1306" s="36"/>
      <c r="P1306" s="59"/>
      <c r="Q1306" s="36"/>
      <c r="S1306" s="36"/>
      <c r="T1306" s="36"/>
      <c r="U1306" s="36"/>
      <c r="AM1306" s="40"/>
      <c r="AN1306" s="40"/>
    </row>
    <row r="1307" spans="8:40" x14ac:dyDescent="0.3">
      <c r="H1307" s="40"/>
      <c r="J1307" s="36"/>
      <c r="K1307" s="36"/>
      <c r="L1307" s="36"/>
      <c r="M1307" s="36"/>
      <c r="N1307" s="36"/>
      <c r="P1307" s="59"/>
      <c r="Q1307" s="36"/>
      <c r="S1307" s="36"/>
      <c r="T1307" s="36"/>
      <c r="U1307" s="36"/>
      <c r="AM1307" s="40"/>
      <c r="AN1307" s="40"/>
    </row>
    <row r="1308" spans="8:40" x14ac:dyDescent="0.3">
      <c r="H1308" s="40"/>
      <c r="J1308" s="36"/>
      <c r="K1308" s="36"/>
      <c r="L1308" s="36"/>
      <c r="M1308" s="36"/>
      <c r="N1308" s="36"/>
      <c r="P1308" s="59"/>
      <c r="Q1308" s="36"/>
      <c r="S1308" s="36"/>
      <c r="T1308" s="36"/>
      <c r="U1308" s="36"/>
      <c r="AM1308" s="40"/>
      <c r="AN1308" s="40"/>
    </row>
    <row r="1309" spans="8:40" x14ac:dyDescent="0.3">
      <c r="H1309" s="40"/>
      <c r="J1309" s="36"/>
      <c r="K1309" s="36"/>
      <c r="L1309" s="36"/>
      <c r="M1309" s="36"/>
      <c r="N1309" s="36"/>
      <c r="P1309" s="59"/>
      <c r="Q1309" s="36"/>
      <c r="S1309" s="36"/>
      <c r="T1309" s="36"/>
      <c r="U1309" s="36"/>
      <c r="AM1309" s="40"/>
      <c r="AN1309" s="40"/>
    </row>
    <row r="1310" spans="8:40" x14ac:dyDescent="0.3">
      <c r="H1310" s="40"/>
      <c r="J1310" s="36"/>
      <c r="K1310" s="36"/>
      <c r="L1310" s="36"/>
      <c r="M1310" s="36"/>
      <c r="N1310" s="36"/>
      <c r="P1310" s="59"/>
      <c r="Q1310" s="36"/>
      <c r="S1310" s="36"/>
      <c r="T1310" s="36"/>
      <c r="U1310" s="36"/>
      <c r="AM1310" s="40"/>
      <c r="AN1310" s="40"/>
    </row>
    <row r="1311" spans="8:40" x14ac:dyDescent="0.3">
      <c r="H1311" s="40"/>
      <c r="J1311" s="36"/>
      <c r="K1311" s="36"/>
      <c r="L1311" s="36"/>
      <c r="M1311" s="36"/>
      <c r="N1311" s="36"/>
      <c r="P1311" s="59"/>
      <c r="Q1311" s="36"/>
      <c r="S1311" s="36"/>
      <c r="T1311" s="36"/>
      <c r="U1311" s="36"/>
      <c r="AM1311" s="40"/>
      <c r="AN1311" s="40"/>
    </row>
    <row r="1312" spans="8:40" x14ac:dyDescent="0.3">
      <c r="H1312" s="40"/>
      <c r="J1312" s="36"/>
      <c r="K1312" s="36"/>
      <c r="L1312" s="36"/>
      <c r="M1312" s="36"/>
      <c r="N1312" s="36"/>
      <c r="P1312" s="59"/>
      <c r="Q1312" s="36"/>
      <c r="S1312" s="36"/>
      <c r="T1312" s="36"/>
      <c r="U1312" s="36"/>
      <c r="AM1312" s="40"/>
      <c r="AN1312" s="40"/>
    </row>
    <row r="1313" spans="8:40" x14ac:dyDescent="0.3">
      <c r="H1313" s="40"/>
      <c r="J1313" s="36"/>
      <c r="K1313" s="36"/>
      <c r="L1313" s="36"/>
      <c r="M1313" s="36"/>
      <c r="N1313" s="36"/>
      <c r="P1313" s="59"/>
      <c r="Q1313" s="36"/>
      <c r="S1313" s="36"/>
      <c r="T1313" s="36"/>
      <c r="U1313" s="36"/>
      <c r="AM1313" s="40"/>
      <c r="AN1313" s="40"/>
    </row>
    <row r="1314" spans="8:40" x14ac:dyDescent="0.3">
      <c r="H1314" s="40"/>
      <c r="J1314" s="36"/>
      <c r="K1314" s="36"/>
      <c r="L1314" s="36"/>
      <c r="M1314" s="36"/>
      <c r="N1314" s="36"/>
      <c r="P1314" s="59"/>
      <c r="Q1314" s="36"/>
      <c r="S1314" s="36"/>
      <c r="T1314" s="36"/>
      <c r="U1314" s="36"/>
      <c r="AM1314" s="40"/>
      <c r="AN1314" s="40"/>
    </row>
    <row r="1315" spans="8:40" x14ac:dyDescent="0.3">
      <c r="H1315" s="40"/>
      <c r="J1315" s="36"/>
      <c r="K1315" s="36"/>
      <c r="L1315" s="36"/>
      <c r="M1315" s="36"/>
      <c r="N1315" s="36"/>
      <c r="P1315" s="59"/>
      <c r="Q1315" s="36"/>
      <c r="S1315" s="36"/>
      <c r="T1315" s="36"/>
      <c r="U1315" s="36"/>
      <c r="AM1315" s="40"/>
      <c r="AN1315" s="40"/>
    </row>
    <row r="1316" spans="8:40" x14ac:dyDescent="0.3">
      <c r="H1316" s="40"/>
      <c r="J1316" s="36"/>
      <c r="K1316" s="36"/>
      <c r="L1316" s="36"/>
      <c r="M1316" s="36"/>
      <c r="N1316" s="36"/>
      <c r="P1316" s="59"/>
      <c r="Q1316" s="36"/>
      <c r="S1316" s="36"/>
      <c r="T1316" s="36"/>
      <c r="U1316" s="36"/>
      <c r="AM1316" s="40"/>
      <c r="AN1316" s="40"/>
    </row>
    <row r="1317" spans="8:40" x14ac:dyDescent="0.3">
      <c r="H1317" s="40"/>
      <c r="J1317" s="36"/>
      <c r="K1317" s="36"/>
      <c r="L1317" s="36"/>
      <c r="M1317" s="36"/>
      <c r="N1317" s="36"/>
      <c r="P1317" s="59"/>
      <c r="Q1317" s="36"/>
      <c r="S1317" s="36"/>
      <c r="T1317" s="36"/>
      <c r="U1317" s="36"/>
      <c r="AM1317" s="40"/>
      <c r="AN1317" s="40"/>
    </row>
    <row r="1318" spans="8:40" x14ac:dyDescent="0.3">
      <c r="H1318" s="40"/>
      <c r="J1318" s="36"/>
      <c r="K1318" s="36"/>
      <c r="L1318" s="36"/>
      <c r="M1318" s="36"/>
      <c r="N1318" s="36"/>
      <c r="P1318" s="59"/>
      <c r="Q1318" s="36"/>
      <c r="S1318" s="36"/>
      <c r="T1318" s="36"/>
      <c r="U1318" s="36"/>
      <c r="AM1318" s="40"/>
      <c r="AN1318" s="40"/>
    </row>
    <row r="1319" spans="8:40" x14ac:dyDescent="0.3">
      <c r="H1319" s="40"/>
      <c r="J1319" s="36"/>
      <c r="K1319" s="36"/>
      <c r="L1319" s="36"/>
      <c r="M1319" s="36"/>
      <c r="N1319" s="36"/>
      <c r="P1319" s="59"/>
      <c r="Q1319" s="36"/>
      <c r="S1319" s="36"/>
      <c r="T1319" s="36"/>
      <c r="U1319" s="36"/>
      <c r="AM1319" s="40"/>
      <c r="AN1319" s="40"/>
    </row>
    <row r="1320" spans="8:40" x14ac:dyDescent="0.3">
      <c r="H1320" s="40"/>
      <c r="J1320" s="36"/>
      <c r="K1320" s="36"/>
      <c r="L1320" s="36"/>
      <c r="M1320" s="36"/>
      <c r="N1320" s="36"/>
      <c r="P1320" s="59"/>
      <c r="Q1320" s="36"/>
      <c r="S1320" s="36"/>
      <c r="T1320" s="36"/>
      <c r="U1320" s="36"/>
      <c r="AM1320" s="40"/>
      <c r="AN1320" s="40"/>
    </row>
    <row r="1321" spans="8:40" x14ac:dyDescent="0.3">
      <c r="H1321" s="40"/>
      <c r="J1321" s="36"/>
      <c r="K1321" s="36"/>
      <c r="L1321" s="36"/>
      <c r="M1321" s="36"/>
      <c r="N1321" s="36"/>
      <c r="P1321" s="59"/>
      <c r="Q1321" s="36"/>
      <c r="S1321" s="36"/>
      <c r="T1321" s="36"/>
      <c r="U1321" s="36"/>
      <c r="AM1321" s="40"/>
      <c r="AN1321" s="40"/>
    </row>
    <row r="1322" spans="8:40" x14ac:dyDescent="0.3">
      <c r="H1322" s="40"/>
      <c r="J1322" s="36"/>
      <c r="K1322" s="36"/>
      <c r="L1322" s="36"/>
      <c r="M1322" s="36"/>
      <c r="N1322" s="36"/>
      <c r="P1322" s="59"/>
      <c r="Q1322" s="36"/>
      <c r="S1322" s="36"/>
      <c r="T1322" s="36"/>
      <c r="U1322" s="36"/>
      <c r="AM1322" s="40"/>
      <c r="AN1322" s="40"/>
    </row>
    <row r="1323" spans="8:40" x14ac:dyDescent="0.3">
      <c r="H1323" s="40"/>
      <c r="J1323" s="36"/>
      <c r="K1323" s="36"/>
      <c r="L1323" s="36"/>
      <c r="M1323" s="36"/>
      <c r="N1323" s="36"/>
      <c r="P1323" s="59"/>
      <c r="Q1323" s="36"/>
      <c r="S1323" s="36"/>
      <c r="T1323" s="36"/>
      <c r="U1323" s="36"/>
      <c r="AM1323" s="40"/>
      <c r="AN1323" s="40"/>
    </row>
    <row r="1324" spans="8:40" x14ac:dyDescent="0.3">
      <c r="H1324" s="40"/>
      <c r="J1324" s="36"/>
      <c r="K1324" s="36"/>
      <c r="L1324" s="36"/>
      <c r="M1324" s="36"/>
      <c r="N1324" s="36"/>
      <c r="P1324" s="59"/>
      <c r="Q1324" s="36"/>
      <c r="S1324" s="36"/>
      <c r="T1324" s="36"/>
      <c r="U1324" s="36"/>
      <c r="AM1324" s="40"/>
      <c r="AN1324" s="40"/>
    </row>
    <row r="1325" spans="8:40" x14ac:dyDescent="0.3">
      <c r="H1325" s="40"/>
      <c r="J1325" s="36"/>
      <c r="K1325" s="36"/>
      <c r="L1325" s="36"/>
      <c r="M1325" s="36"/>
      <c r="N1325" s="36"/>
      <c r="P1325" s="59"/>
      <c r="Q1325" s="36"/>
      <c r="S1325" s="36"/>
      <c r="T1325" s="36"/>
      <c r="U1325" s="36"/>
      <c r="AM1325" s="40"/>
      <c r="AN1325" s="40"/>
    </row>
    <row r="1326" spans="8:40" x14ac:dyDescent="0.3">
      <c r="H1326" s="40"/>
      <c r="J1326" s="36"/>
      <c r="K1326" s="36"/>
      <c r="L1326" s="36"/>
      <c r="M1326" s="36"/>
      <c r="N1326" s="36"/>
      <c r="P1326" s="59"/>
      <c r="Q1326" s="36"/>
      <c r="S1326" s="36"/>
      <c r="T1326" s="36"/>
      <c r="U1326" s="36"/>
      <c r="AM1326" s="40"/>
      <c r="AN1326" s="40"/>
    </row>
    <row r="1327" spans="8:40" x14ac:dyDescent="0.3">
      <c r="H1327" s="40"/>
      <c r="J1327" s="36"/>
      <c r="K1327" s="36"/>
      <c r="L1327" s="36"/>
      <c r="M1327" s="36"/>
      <c r="N1327" s="36"/>
      <c r="P1327" s="59"/>
      <c r="Q1327" s="36"/>
      <c r="S1327" s="36"/>
      <c r="T1327" s="36"/>
      <c r="U1327" s="36"/>
      <c r="AM1327" s="40"/>
      <c r="AN1327" s="40"/>
    </row>
    <row r="1328" spans="8:40" x14ac:dyDescent="0.3">
      <c r="H1328" s="40"/>
      <c r="J1328" s="36"/>
      <c r="K1328" s="36"/>
      <c r="L1328" s="36"/>
      <c r="M1328" s="36"/>
      <c r="N1328" s="36"/>
      <c r="P1328" s="59"/>
      <c r="Q1328" s="36"/>
      <c r="S1328" s="36"/>
      <c r="T1328" s="36"/>
      <c r="U1328" s="36"/>
      <c r="AM1328" s="40"/>
      <c r="AN1328" s="40"/>
    </row>
    <row r="1329" spans="8:40" x14ac:dyDescent="0.3">
      <c r="H1329" s="40"/>
      <c r="J1329" s="36"/>
      <c r="K1329" s="36"/>
      <c r="L1329" s="36"/>
      <c r="M1329" s="36"/>
      <c r="N1329" s="36"/>
      <c r="P1329" s="59"/>
      <c r="Q1329" s="36"/>
      <c r="S1329" s="36"/>
      <c r="T1329" s="36"/>
      <c r="U1329" s="36"/>
      <c r="AM1329" s="40"/>
      <c r="AN1329" s="40"/>
    </row>
    <row r="1330" spans="8:40" x14ac:dyDescent="0.3">
      <c r="H1330" s="40"/>
      <c r="J1330" s="36"/>
      <c r="K1330" s="36"/>
      <c r="L1330" s="36"/>
      <c r="M1330" s="36"/>
      <c r="N1330" s="36"/>
      <c r="P1330" s="59"/>
      <c r="Q1330" s="36"/>
      <c r="S1330" s="36"/>
      <c r="T1330" s="36"/>
      <c r="U1330" s="36"/>
      <c r="AM1330" s="40"/>
      <c r="AN1330" s="40"/>
    </row>
    <row r="1331" spans="8:40" x14ac:dyDescent="0.3">
      <c r="H1331" s="40"/>
      <c r="J1331" s="36"/>
      <c r="K1331" s="36"/>
      <c r="L1331" s="36"/>
      <c r="M1331" s="36"/>
      <c r="N1331" s="36"/>
      <c r="P1331" s="59"/>
      <c r="Q1331" s="36"/>
      <c r="S1331" s="36"/>
      <c r="T1331" s="36"/>
      <c r="U1331" s="36"/>
      <c r="AM1331" s="40"/>
      <c r="AN1331" s="40"/>
    </row>
    <row r="1332" spans="8:40" x14ac:dyDescent="0.3">
      <c r="H1332" s="40"/>
      <c r="J1332" s="36"/>
      <c r="K1332" s="36"/>
      <c r="L1332" s="36"/>
      <c r="M1332" s="36"/>
      <c r="N1332" s="36"/>
      <c r="P1332" s="59"/>
      <c r="Q1332" s="36"/>
      <c r="S1332" s="36"/>
      <c r="T1332" s="36"/>
      <c r="U1332" s="36"/>
      <c r="AM1332" s="40"/>
      <c r="AN1332" s="40"/>
    </row>
    <row r="1333" spans="8:40" x14ac:dyDescent="0.3">
      <c r="H1333" s="40"/>
      <c r="J1333" s="36"/>
      <c r="K1333" s="36"/>
      <c r="L1333" s="36"/>
      <c r="M1333" s="36"/>
      <c r="N1333" s="36"/>
      <c r="P1333" s="59"/>
      <c r="Q1333" s="36"/>
      <c r="S1333" s="36"/>
      <c r="T1333" s="36"/>
      <c r="U1333" s="36"/>
      <c r="AM1333" s="40"/>
      <c r="AN1333" s="40"/>
    </row>
    <row r="1334" spans="8:40" x14ac:dyDescent="0.3">
      <c r="H1334" s="40"/>
      <c r="J1334" s="36"/>
      <c r="K1334" s="36"/>
      <c r="L1334" s="36"/>
      <c r="M1334" s="36"/>
      <c r="N1334" s="36"/>
      <c r="P1334" s="59"/>
      <c r="Q1334" s="36"/>
      <c r="S1334" s="36"/>
      <c r="T1334" s="36"/>
      <c r="U1334" s="36"/>
      <c r="AM1334" s="40"/>
      <c r="AN1334" s="40"/>
    </row>
    <row r="1335" spans="8:40" x14ac:dyDescent="0.3">
      <c r="H1335" s="40"/>
      <c r="J1335" s="36"/>
      <c r="K1335" s="36"/>
      <c r="L1335" s="36"/>
      <c r="M1335" s="36"/>
      <c r="N1335" s="36"/>
      <c r="P1335" s="59"/>
      <c r="Q1335" s="36"/>
      <c r="S1335" s="36"/>
      <c r="T1335" s="36"/>
      <c r="U1335" s="36"/>
      <c r="AM1335" s="40"/>
      <c r="AN1335" s="40"/>
    </row>
    <row r="1336" spans="8:40" x14ac:dyDescent="0.3">
      <c r="H1336" s="40"/>
      <c r="J1336" s="36"/>
      <c r="K1336" s="36"/>
      <c r="L1336" s="36"/>
      <c r="M1336" s="36"/>
      <c r="N1336" s="36"/>
      <c r="P1336" s="59"/>
      <c r="Q1336" s="36"/>
      <c r="S1336" s="36"/>
      <c r="T1336" s="36"/>
      <c r="U1336" s="36"/>
      <c r="AM1336" s="40"/>
      <c r="AN1336" s="40"/>
    </row>
    <row r="1337" spans="8:40" x14ac:dyDescent="0.3">
      <c r="H1337" s="40"/>
      <c r="J1337" s="36"/>
      <c r="K1337" s="36"/>
      <c r="L1337" s="36"/>
      <c r="M1337" s="36"/>
      <c r="N1337" s="36"/>
      <c r="P1337" s="59"/>
      <c r="Q1337" s="36"/>
      <c r="S1337" s="36"/>
      <c r="T1337" s="36"/>
      <c r="U1337" s="36"/>
      <c r="AM1337" s="40"/>
      <c r="AN1337" s="40"/>
    </row>
    <row r="1338" spans="8:40" x14ac:dyDescent="0.3">
      <c r="H1338" s="40"/>
      <c r="J1338" s="36"/>
      <c r="K1338" s="36"/>
      <c r="L1338" s="36"/>
      <c r="M1338" s="36"/>
      <c r="N1338" s="36"/>
      <c r="P1338" s="59"/>
      <c r="Q1338" s="36"/>
      <c r="S1338" s="36"/>
      <c r="T1338" s="36"/>
      <c r="U1338" s="36"/>
      <c r="AM1338" s="40"/>
      <c r="AN1338" s="40"/>
    </row>
    <row r="1339" spans="8:40" x14ac:dyDescent="0.3">
      <c r="H1339" s="40"/>
      <c r="J1339" s="36"/>
      <c r="K1339" s="36"/>
      <c r="L1339" s="36"/>
      <c r="M1339" s="36"/>
      <c r="N1339" s="36"/>
      <c r="P1339" s="59"/>
      <c r="Q1339" s="36"/>
      <c r="S1339" s="36"/>
      <c r="T1339" s="36"/>
      <c r="U1339" s="36"/>
      <c r="AM1339" s="40"/>
      <c r="AN1339" s="40"/>
    </row>
    <row r="1340" spans="8:40" x14ac:dyDescent="0.3">
      <c r="H1340" s="40"/>
      <c r="J1340" s="36"/>
      <c r="K1340" s="36"/>
      <c r="L1340" s="36"/>
      <c r="M1340" s="36"/>
      <c r="N1340" s="36"/>
      <c r="P1340" s="59"/>
      <c r="Q1340" s="36"/>
      <c r="S1340" s="36"/>
      <c r="T1340" s="36"/>
      <c r="U1340" s="36"/>
      <c r="AM1340" s="40"/>
      <c r="AN1340" s="40"/>
    </row>
    <row r="1341" spans="8:40" x14ac:dyDescent="0.3">
      <c r="H1341" s="40"/>
      <c r="J1341" s="36"/>
      <c r="K1341" s="36"/>
      <c r="L1341" s="36"/>
      <c r="M1341" s="36"/>
      <c r="N1341" s="36"/>
      <c r="P1341" s="59"/>
      <c r="Q1341" s="36"/>
      <c r="S1341" s="36"/>
      <c r="T1341" s="36"/>
      <c r="U1341" s="36"/>
      <c r="AM1341" s="40"/>
      <c r="AN1341" s="40"/>
    </row>
    <row r="1342" spans="8:40" x14ac:dyDescent="0.3">
      <c r="H1342" s="40"/>
      <c r="J1342" s="36"/>
      <c r="K1342" s="36"/>
      <c r="L1342" s="36"/>
      <c r="M1342" s="36"/>
      <c r="N1342" s="36"/>
      <c r="P1342" s="59"/>
      <c r="Q1342" s="36"/>
      <c r="S1342" s="36"/>
      <c r="T1342" s="36"/>
      <c r="U1342" s="36"/>
      <c r="AM1342" s="40"/>
      <c r="AN1342" s="40"/>
    </row>
    <row r="1343" spans="8:40" x14ac:dyDescent="0.3">
      <c r="H1343" s="40"/>
      <c r="J1343" s="36"/>
      <c r="K1343" s="36"/>
      <c r="L1343" s="36"/>
      <c r="M1343" s="36"/>
      <c r="N1343" s="36"/>
      <c r="P1343" s="59"/>
      <c r="Q1343" s="36"/>
      <c r="S1343" s="36"/>
      <c r="T1343" s="36"/>
      <c r="U1343" s="36"/>
      <c r="AM1343" s="40"/>
      <c r="AN1343" s="40"/>
    </row>
    <row r="1344" spans="8:40" x14ac:dyDescent="0.3">
      <c r="H1344" s="40"/>
      <c r="J1344" s="36"/>
      <c r="K1344" s="36"/>
      <c r="L1344" s="36"/>
      <c r="M1344" s="36"/>
      <c r="N1344" s="36"/>
      <c r="P1344" s="59"/>
      <c r="Q1344" s="36"/>
      <c r="S1344" s="36"/>
      <c r="T1344" s="36"/>
      <c r="U1344" s="36"/>
      <c r="AM1344" s="40"/>
      <c r="AN1344" s="40"/>
    </row>
    <row r="1345" spans="8:40" x14ac:dyDescent="0.3">
      <c r="H1345" s="40"/>
      <c r="J1345" s="36"/>
      <c r="K1345" s="36"/>
      <c r="L1345" s="36"/>
      <c r="M1345" s="36"/>
      <c r="N1345" s="36"/>
      <c r="P1345" s="59"/>
      <c r="Q1345" s="36"/>
      <c r="S1345" s="36"/>
      <c r="T1345" s="36"/>
      <c r="U1345" s="36"/>
      <c r="AM1345" s="40"/>
      <c r="AN1345" s="40"/>
    </row>
    <row r="1346" spans="8:40" x14ac:dyDescent="0.3">
      <c r="H1346" s="40"/>
      <c r="J1346" s="36"/>
      <c r="K1346" s="36"/>
      <c r="L1346" s="36"/>
      <c r="M1346" s="36"/>
      <c r="N1346" s="36"/>
      <c r="P1346" s="59"/>
      <c r="Q1346" s="36"/>
      <c r="S1346" s="36"/>
      <c r="T1346" s="36"/>
      <c r="U1346" s="36"/>
      <c r="AM1346" s="40"/>
      <c r="AN1346" s="40"/>
    </row>
    <row r="1347" spans="8:40" x14ac:dyDescent="0.3">
      <c r="H1347" s="40"/>
      <c r="J1347" s="36"/>
      <c r="K1347" s="36"/>
      <c r="L1347" s="36"/>
      <c r="M1347" s="36"/>
      <c r="N1347" s="36"/>
      <c r="P1347" s="59"/>
      <c r="Q1347" s="36"/>
      <c r="S1347" s="36"/>
      <c r="T1347" s="36"/>
      <c r="U1347" s="36"/>
      <c r="AM1347" s="40"/>
      <c r="AN1347" s="40"/>
    </row>
    <row r="1348" spans="8:40" x14ac:dyDescent="0.3">
      <c r="H1348" s="40"/>
      <c r="J1348" s="36"/>
      <c r="K1348" s="36"/>
      <c r="L1348" s="36"/>
      <c r="M1348" s="36"/>
      <c r="N1348" s="36"/>
      <c r="P1348" s="59"/>
      <c r="Q1348" s="36"/>
      <c r="S1348" s="36"/>
      <c r="T1348" s="36"/>
      <c r="U1348" s="36"/>
      <c r="AM1348" s="40"/>
      <c r="AN1348" s="40"/>
    </row>
    <row r="1349" spans="8:40" x14ac:dyDescent="0.3">
      <c r="H1349" s="40"/>
      <c r="J1349" s="36"/>
      <c r="K1349" s="36"/>
      <c r="L1349" s="36"/>
      <c r="M1349" s="36"/>
      <c r="N1349" s="36"/>
      <c r="P1349" s="59"/>
      <c r="Q1349" s="36"/>
      <c r="S1349" s="36"/>
      <c r="T1349" s="36"/>
      <c r="U1349" s="36"/>
      <c r="AM1349" s="40"/>
      <c r="AN1349" s="40"/>
    </row>
    <row r="1350" spans="8:40" x14ac:dyDescent="0.3">
      <c r="H1350" s="40"/>
      <c r="J1350" s="36"/>
      <c r="K1350" s="36"/>
      <c r="L1350" s="36"/>
      <c r="M1350" s="36"/>
      <c r="N1350" s="36"/>
      <c r="P1350" s="59"/>
      <c r="Q1350" s="36"/>
      <c r="S1350" s="36"/>
      <c r="T1350" s="36"/>
      <c r="U1350" s="36"/>
      <c r="AM1350" s="40"/>
      <c r="AN1350" s="40"/>
    </row>
    <row r="1351" spans="8:40" x14ac:dyDescent="0.3">
      <c r="H1351" s="40"/>
      <c r="J1351" s="36"/>
      <c r="K1351" s="36"/>
      <c r="L1351" s="36"/>
      <c r="M1351" s="36"/>
      <c r="N1351" s="36"/>
      <c r="P1351" s="59"/>
      <c r="Q1351" s="36"/>
      <c r="S1351" s="36"/>
      <c r="T1351" s="36"/>
      <c r="U1351" s="36"/>
      <c r="AM1351" s="40"/>
      <c r="AN1351" s="40"/>
    </row>
    <row r="1352" spans="8:40" x14ac:dyDescent="0.3">
      <c r="H1352" s="40"/>
      <c r="J1352" s="36"/>
      <c r="K1352" s="36"/>
      <c r="L1352" s="36"/>
      <c r="M1352" s="36"/>
      <c r="N1352" s="36"/>
      <c r="P1352" s="59"/>
      <c r="Q1352" s="36"/>
      <c r="S1352" s="36"/>
      <c r="T1352" s="36"/>
      <c r="U1352" s="36"/>
      <c r="AM1352" s="40"/>
      <c r="AN1352" s="40"/>
    </row>
    <row r="1353" spans="8:40" x14ac:dyDescent="0.3">
      <c r="H1353" s="40"/>
      <c r="J1353" s="36"/>
      <c r="K1353" s="36"/>
      <c r="L1353" s="36"/>
      <c r="M1353" s="36"/>
      <c r="N1353" s="36"/>
      <c r="P1353" s="59"/>
      <c r="Q1353" s="36"/>
      <c r="S1353" s="36"/>
      <c r="T1353" s="36"/>
      <c r="U1353" s="36"/>
      <c r="AM1353" s="40"/>
      <c r="AN1353" s="40"/>
    </row>
    <row r="1354" spans="8:40" x14ac:dyDescent="0.3">
      <c r="H1354" s="40"/>
      <c r="J1354" s="36"/>
      <c r="K1354" s="36"/>
      <c r="L1354" s="36"/>
      <c r="M1354" s="36"/>
      <c r="N1354" s="36"/>
      <c r="P1354" s="59"/>
      <c r="Q1354" s="36"/>
      <c r="S1354" s="36"/>
      <c r="T1354" s="36"/>
      <c r="U1354" s="36"/>
      <c r="AM1354" s="40"/>
      <c r="AN1354" s="40"/>
    </row>
    <row r="1355" spans="8:40" x14ac:dyDescent="0.3">
      <c r="H1355" s="40"/>
      <c r="J1355" s="36"/>
      <c r="K1355" s="36"/>
      <c r="L1355" s="36"/>
      <c r="M1355" s="36"/>
      <c r="N1355" s="36"/>
      <c r="P1355" s="59"/>
      <c r="Q1355" s="36"/>
      <c r="S1355" s="36"/>
      <c r="T1355" s="36"/>
      <c r="U1355" s="36"/>
      <c r="AM1355" s="40"/>
      <c r="AN1355" s="40"/>
    </row>
    <row r="1356" spans="8:40" x14ac:dyDescent="0.3">
      <c r="H1356" s="40"/>
      <c r="J1356" s="36"/>
      <c r="K1356" s="36"/>
      <c r="L1356" s="36"/>
      <c r="M1356" s="36"/>
      <c r="N1356" s="36"/>
      <c r="P1356" s="59"/>
      <c r="Q1356" s="36"/>
      <c r="S1356" s="36"/>
      <c r="T1356" s="36"/>
      <c r="U1356" s="36"/>
      <c r="AM1356" s="40"/>
      <c r="AN1356" s="40"/>
    </row>
    <row r="1357" spans="8:40" x14ac:dyDescent="0.3">
      <c r="H1357" s="40"/>
      <c r="J1357" s="36"/>
      <c r="K1357" s="36"/>
      <c r="L1357" s="36"/>
      <c r="M1357" s="36"/>
      <c r="N1357" s="36"/>
      <c r="P1357" s="59"/>
      <c r="Q1357" s="36"/>
      <c r="S1357" s="36"/>
      <c r="T1357" s="36"/>
      <c r="U1357" s="36"/>
      <c r="AM1357" s="40"/>
      <c r="AN1357" s="40"/>
    </row>
    <row r="1358" spans="8:40" x14ac:dyDescent="0.3">
      <c r="H1358" s="40"/>
      <c r="J1358" s="36"/>
      <c r="K1358" s="36"/>
      <c r="L1358" s="36"/>
      <c r="M1358" s="36"/>
      <c r="N1358" s="36"/>
      <c r="P1358" s="59"/>
      <c r="Q1358" s="36"/>
      <c r="S1358" s="36"/>
      <c r="T1358" s="36"/>
      <c r="U1358" s="36"/>
      <c r="AM1358" s="40"/>
      <c r="AN1358" s="40"/>
    </row>
    <row r="1359" spans="8:40" x14ac:dyDescent="0.3">
      <c r="H1359" s="40"/>
      <c r="J1359" s="36"/>
      <c r="K1359" s="36"/>
      <c r="L1359" s="36"/>
      <c r="M1359" s="36"/>
      <c r="N1359" s="36"/>
      <c r="P1359" s="59"/>
      <c r="Q1359" s="36"/>
      <c r="S1359" s="36"/>
      <c r="T1359" s="36"/>
      <c r="U1359" s="36"/>
      <c r="AM1359" s="40"/>
      <c r="AN1359" s="40"/>
    </row>
    <row r="1360" spans="8:40" x14ac:dyDescent="0.3">
      <c r="H1360" s="40"/>
      <c r="J1360" s="36"/>
      <c r="K1360" s="36"/>
      <c r="L1360" s="36"/>
      <c r="M1360" s="36"/>
      <c r="N1360" s="36"/>
      <c r="P1360" s="59"/>
      <c r="Q1360" s="36"/>
      <c r="S1360" s="36"/>
      <c r="T1360" s="36"/>
      <c r="U1360" s="36"/>
      <c r="AM1360" s="40"/>
      <c r="AN1360" s="40"/>
    </row>
    <row r="1361" spans="8:40" x14ac:dyDescent="0.3">
      <c r="H1361" s="40"/>
      <c r="J1361" s="36"/>
      <c r="K1361" s="36"/>
      <c r="L1361" s="36"/>
      <c r="M1361" s="36"/>
      <c r="N1361" s="36"/>
      <c r="P1361" s="59"/>
      <c r="Q1361" s="36"/>
      <c r="S1361" s="36"/>
      <c r="T1361" s="36"/>
      <c r="U1361" s="36"/>
      <c r="AM1361" s="40"/>
      <c r="AN1361" s="40"/>
    </row>
    <row r="1362" spans="8:40" x14ac:dyDescent="0.3">
      <c r="H1362" s="40"/>
      <c r="J1362" s="36"/>
      <c r="K1362" s="36"/>
      <c r="L1362" s="36"/>
      <c r="M1362" s="36"/>
      <c r="N1362" s="36"/>
      <c r="P1362" s="59"/>
      <c r="Q1362" s="36"/>
      <c r="S1362" s="36"/>
      <c r="T1362" s="36"/>
      <c r="U1362" s="36"/>
      <c r="AM1362" s="40"/>
      <c r="AN1362" s="40"/>
    </row>
    <row r="1363" spans="8:40" x14ac:dyDescent="0.3">
      <c r="H1363" s="40"/>
      <c r="J1363" s="36"/>
      <c r="K1363" s="36"/>
      <c r="L1363" s="36"/>
      <c r="M1363" s="36"/>
      <c r="N1363" s="36"/>
      <c r="P1363" s="59"/>
      <c r="Q1363" s="36"/>
      <c r="S1363" s="36"/>
      <c r="T1363" s="36"/>
      <c r="U1363" s="36"/>
      <c r="AM1363" s="40"/>
      <c r="AN1363" s="40"/>
    </row>
    <row r="1364" spans="8:40" x14ac:dyDescent="0.3">
      <c r="H1364" s="40"/>
      <c r="J1364" s="36"/>
      <c r="K1364" s="36"/>
      <c r="L1364" s="36"/>
      <c r="M1364" s="36"/>
      <c r="N1364" s="36"/>
      <c r="P1364" s="59"/>
      <c r="Q1364" s="36"/>
      <c r="S1364" s="36"/>
      <c r="T1364" s="36"/>
      <c r="U1364" s="36"/>
      <c r="AM1364" s="40"/>
      <c r="AN1364" s="40"/>
    </row>
    <row r="1365" spans="8:40" x14ac:dyDescent="0.3">
      <c r="H1365" s="40"/>
      <c r="J1365" s="36"/>
      <c r="K1365" s="36"/>
      <c r="L1365" s="36"/>
      <c r="M1365" s="36"/>
      <c r="N1365" s="36"/>
      <c r="P1365" s="59"/>
      <c r="Q1365" s="36"/>
      <c r="S1365" s="36"/>
      <c r="T1365" s="36"/>
      <c r="U1365" s="36"/>
      <c r="AM1365" s="40"/>
      <c r="AN1365" s="40"/>
    </row>
    <row r="1366" spans="8:40" x14ac:dyDescent="0.3">
      <c r="H1366" s="40"/>
      <c r="J1366" s="36"/>
      <c r="K1366" s="36"/>
      <c r="L1366" s="36"/>
      <c r="M1366" s="36"/>
      <c r="N1366" s="36"/>
      <c r="P1366" s="59"/>
      <c r="Q1366" s="36"/>
      <c r="S1366" s="36"/>
      <c r="T1366" s="36"/>
      <c r="U1366" s="36"/>
      <c r="AM1366" s="40"/>
      <c r="AN1366" s="40"/>
    </row>
    <row r="1367" spans="8:40" x14ac:dyDescent="0.3">
      <c r="H1367" s="40"/>
      <c r="J1367" s="36"/>
      <c r="K1367" s="36"/>
      <c r="L1367" s="36"/>
      <c r="M1367" s="36"/>
      <c r="N1367" s="36"/>
      <c r="P1367" s="59"/>
      <c r="Q1367" s="36"/>
      <c r="S1367" s="36"/>
      <c r="T1367" s="36"/>
      <c r="U1367" s="36"/>
      <c r="AM1367" s="40"/>
      <c r="AN1367" s="40"/>
    </row>
    <row r="1368" spans="8:40" x14ac:dyDescent="0.3">
      <c r="H1368" s="40"/>
      <c r="J1368" s="36"/>
      <c r="K1368" s="36"/>
      <c r="L1368" s="36"/>
      <c r="M1368" s="36"/>
      <c r="N1368" s="36"/>
      <c r="P1368" s="59"/>
      <c r="Q1368" s="36"/>
      <c r="S1368" s="36"/>
      <c r="T1368" s="36"/>
      <c r="U1368" s="36"/>
      <c r="AM1368" s="40"/>
      <c r="AN1368" s="40"/>
    </row>
    <row r="1369" spans="8:40" x14ac:dyDescent="0.3">
      <c r="H1369" s="40"/>
      <c r="J1369" s="36"/>
      <c r="K1369" s="36"/>
      <c r="L1369" s="36"/>
      <c r="M1369" s="36"/>
      <c r="N1369" s="36"/>
      <c r="P1369" s="59"/>
      <c r="Q1369" s="36"/>
      <c r="S1369" s="36"/>
      <c r="T1369" s="36"/>
      <c r="U1369" s="36"/>
      <c r="AM1369" s="40"/>
      <c r="AN1369" s="40"/>
    </row>
    <row r="1370" spans="8:40" x14ac:dyDescent="0.3">
      <c r="H1370" s="40"/>
      <c r="J1370" s="36"/>
      <c r="K1370" s="36"/>
      <c r="L1370" s="36"/>
      <c r="M1370" s="36"/>
      <c r="N1370" s="36"/>
      <c r="P1370" s="59"/>
      <c r="Q1370" s="36"/>
      <c r="S1370" s="36"/>
      <c r="T1370" s="36"/>
      <c r="U1370" s="36"/>
      <c r="AM1370" s="40"/>
      <c r="AN1370" s="40"/>
    </row>
    <row r="1371" spans="8:40" x14ac:dyDescent="0.3">
      <c r="H1371" s="40"/>
      <c r="J1371" s="36"/>
      <c r="K1371" s="36"/>
      <c r="L1371" s="36"/>
      <c r="M1371" s="36"/>
      <c r="N1371" s="36"/>
      <c r="P1371" s="59"/>
      <c r="Q1371" s="36"/>
      <c r="S1371" s="36"/>
      <c r="T1371" s="36"/>
      <c r="U1371" s="36"/>
      <c r="AM1371" s="40"/>
      <c r="AN1371" s="40"/>
    </row>
    <row r="1372" spans="8:40" x14ac:dyDescent="0.3">
      <c r="H1372" s="40"/>
      <c r="J1372" s="36"/>
      <c r="K1372" s="36"/>
      <c r="L1372" s="36"/>
      <c r="M1372" s="36"/>
      <c r="N1372" s="36"/>
      <c r="P1372" s="59"/>
      <c r="Q1372" s="36"/>
      <c r="S1372" s="36"/>
      <c r="T1372" s="36"/>
      <c r="U1372" s="36"/>
      <c r="AM1372" s="40"/>
      <c r="AN1372" s="40"/>
    </row>
    <row r="1373" spans="8:40" x14ac:dyDescent="0.3">
      <c r="H1373" s="40"/>
      <c r="J1373" s="36"/>
      <c r="K1373" s="36"/>
      <c r="L1373" s="36"/>
      <c r="M1373" s="36"/>
      <c r="N1373" s="36"/>
      <c r="P1373" s="59"/>
      <c r="Q1373" s="36"/>
      <c r="S1373" s="36"/>
      <c r="T1373" s="36"/>
      <c r="U1373" s="36"/>
      <c r="AM1373" s="40"/>
      <c r="AN1373" s="40"/>
    </row>
    <row r="1374" spans="8:40" x14ac:dyDescent="0.3">
      <c r="H1374" s="40"/>
      <c r="J1374" s="36"/>
      <c r="K1374" s="36"/>
      <c r="L1374" s="36"/>
      <c r="M1374" s="36"/>
      <c r="N1374" s="36"/>
      <c r="P1374" s="59"/>
      <c r="Q1374" s="36"/>
      <c r="S1374" s="36"/>
      <c r="T1374" s="36"/>
      <c r="U1374" s="36"/>
      <c r="AM1374" s="40"/>
      <c r="AN1374" s="40"/>
    </row>
    <row r="1375" spans="8:40" x14ac:dyDescent="0.3">
      <c r="H1375" s="40"/>
      <c r="J1375" s="36"/>
      <c r="K1375" s="36"/>
      <c r="L1375" s="36"/>
      <c r="M1375" s="36"/>
      <c r="N1375" s="36"/>
      <c r="P1375" s="59"/>
      <c r="Q1375" s="36"/>
      <c r="S1375" s="36"/>
      <c r="T1375" s="36"/>
      <c r="U1375" s="36"/>
      <c r="AM1375" s="40"/>
      <c r="AN1375" s="40"/>
    </row>
    <row r="1376" spans="8:40" x14ac:dyDescent="0.3">
      <c r="H1376" s="40"/>
      <c r="J1376" s="36"/>
      <c r="K1376" s="36"/>
      <c r="L1376" s="36"/>
      <c r="M1376" s="36"/>
      <c r="N1376" s="36"/>
      <c r="P1376" s="59"/>
      <c r="Q1376" s="36"/>
      <c r="S1376" s="36"/>
      <c r="T1376" s="36"/>
      <c r="U1376" s="36"/>
      <c r="AM1376" s="40"/>
      <c r="AN1376" s="40"/>
    </row>
    <row r="1377" spans="8:40" x14ac:dyDescent="0.3">
      <c r="H1377" s="40"/>
      <c r="J1377" s="36"/>
      <c r="K1377" s="36"/>
      <c r="L1377" s="36"/>
      <c r="M1377" s="36"/>
      <c r="N1377" s="36"/>
      <c r="P1377" s="59"/>
      <c r="Q1377" s="36"/>
      <c r="S1377" s="36"/>
      <c r="T1377" s="36"/>
      <c r="U1377" s="36"/>
      <c r="AM1377" s="40"/>
      <c r="AN1377" s="40"/>
    </row>
    <row r="1378" spans="8:40" x14ac:dyDescent="0.3">
      <c r="H1378" s="40"/>
      <c r="J1378" s="36"/>
      <c r="K1378" s="36"/>
      <c r="L1378" s="36"/>
      <c r="M1378" s="36"/>
      <c r="N1378" s="36"/>
      <c r="P1378" s="59"/>
      <c r="Q1378" s="36"/>
      <c r="S1378" s="36"/>
      <c r="T1378" s="36"/>
      <c r="U1378" s="36"/>
      <c r="AM1378" s="40"/>
      <c r="AN1378" s="40"/>
    </row>
    <row r="1379" spans="8:40" x14ac:dyDescent="0.3">
      <c r="H1379" s="40"/>
      <c r="J1379" s="36"/>
      <c r="K1379" s="36"/>
      <c r="L1379" s="36"/>
      <c r="M1379" s="36"/>
      <c r="N1379" s="36"/>
      <c r="P1379" s="59"/>
      <c r="Q1379" s="36"/>
      <c r="S1379" s="36"/>
      <c r="T1379" s="36"/>
      <c r="U1379" s="36"/>
      <c r="AM1379" s="40"/>
      <c r="AN1379" s="40"/>
    </row>
    <row r="1380" spans="8:40" x14ac:dyDescent="0.3">
      <c r="H1380" s="40"/>
      <c r="J1380" s="36"/>
      <c r="K1380" s="36"/>
      <c r="L1380" s="36"/>
      <c r="M1380" s="36"/>
      <c r="N1380" s="36"/>
      <c r="P1380" s="59"/>
      <c r="Q1380" s="36"/>
      <c r="S1380" s="36"/>
      <c r="T1380" s="36"/>
      <c r="U1380" s="36"/>
      <c r="AM1380" s="40"/>
      <c r="AN1380" s="40"/>
    </row>
    <row r="1381" spans="8:40" x14ac:dyDescent="0.3">
      <c r="H1381" s="40"/>
      <c r="J1381" s="36"/>
      <c r="K1381" s="36"/>
      <c r="L1381" s="36"/>
      <c r="M1381" s="36"/>
      <c r="N1381" s="36"/>
      <c r="P1381" s="59"/>
      <c r="Q1381" s="36"/>
      <c r="S1381" s="36"/>
      <c r="T1381" s="36"/>
      <c r="U1381" s="36"/>
      <c r="AM1381" s="40"/>
      <c r="AN1381" s="40"/>
    </row>
    <row r="1382" spans="8:40" x14ac:dyDescent="0.3">
      <c r="H1382" s="40"/>
      <c r="J1382" s="36"/>
      <c r="K1382" s="36"/>
      <c r="L1382" s="36"/>
      <c r="M1382" s="36"/>
      <c r="N1382" s="36"/>
      <c r="P1382" s="59"/>
      <c r="Q1382" s="36"/>
      <c r="S1382" s="36"/>
      <c r="T1382" s="36"/>
      <c r="U1382" s="36"/>
      <c r="AM1382" s="40"/>
      <c r="AN1382" s="40"/>
    </row>
    <row r="1383" spans="8:40" x14ac:dyDescent="0.3">
      <c r="H1383" s="40"/>
      <c r="J1383" s="36"/>
      <c r="K1383" s="36"/>
      <c r="L1383" s="36"/>
      <c r="M1383" s="36"/>
      <c r="N1383" s="36"/>
      <c r="P1383" s="59"/>
      <c r="Q1383" s="36"/>
      <c r="S1383" s="36"/>
      <c r="T1383" s="36"/>
      <c r="U1383" s="36"/>
      <c r="AM1383" s="40"/>
      <c r="AN1383" s="40"/>
    </row>
    <row r="1384" spans="8:40" x14ac:dyDescent="0.3">
      <c r="H1384" s="40"/>
      <c r="J1384" s="36"/>
      <c r="K1384" s="36"/>
      <c r="L1384" s="36"/>
      <c r="M1384" s="36"/>
      <c r="N1384" s="36"/>
      <c r="P1384" s="59"/>
      <c r="Q1384" s="36"/>
      <c r="S1384" s="36"/>
      <c r="T1384" s="36"/>
      <c r="U1384" s="36"/>
      <c r="AM1384" s="40"/>
      <c r="AN1384" s="40"/>
    </row>
    <row r="1385" spans="8:40" x14ac:dyDescent="0.3">
      <c r="H1385" s="40"/>
      <c r="J1385" s="36"/>
      <c r="K1385" s="36"/>
      <c r="L1385" s="36"/>
      <c r="M1385" s="36"/>
      <c r="N1385" s="36"/>
      <c r="P1385" s="59"/>
      <c r="Q1385" s="36"/>
      <c r="S1385" s="36"/>
      <c r="T1385" s="36"/>
      <c r="U1385" s="36"/>
      <c r="AM1385" s="40"/>
      <c r="AN1385" s="40"/>
    </row>
    <row r="1386" spans="8:40" x14ac:dyDescent="0.3">
      <c r="H1386" s="40"/>
      <c r="J1386" s="36"/>
      <c r="K1386" s="36"/>
      <c r="L1386" s="36"/>
      <c r="M1386" s="36"/>
      <c r="N1386" s="36"/>
      <c r="P1386" s="59"/>
      <c r="Q1386" s="36"/>
      <c r="S1386" s="36"/>
      <c r="T1386" s="36"/>
      <c r="U1386" s="36"/>
      <c r="AM1386" s="40"/>
      <c r="AN1386" s="40"/>
    </row>
    <row r="1387" spans="8:40" x14ac:dyDescent="0.3">
      <c r="H1387" s="40"/>
      <c r="J1387" s="36"/>
      <c r="K1387" s="36"/>
      <c r="L1387" s="36"/>
      <c r="M1387" s="36"/>
      <c r="N1387" s="36"/>
      <c r="P1387" s="59"/>
      <c r="Q1387" s="36"/>
      <c r="S1387" s="36"/>
      <c r="T1387" s="36"/>
      <c r="U1387" s="36"/>
      <c r="AM1387" s="40"/>
      <c r="AN1387" s="40"/>
    </row>
    <row r="1388" spans="8:40" x14ac:dyDescent="0.3">
      <c r="H1388" s="40"/>
      <c r="J1388" s="36"/>
      <c r="K1388" s="36"/>
      <c r="L1388" s="36"/>
      <c r="M1388" s="36"/>
      <c r="N1388" s="36"/>
      <c r="P1388" s="59"/>
      <c r="Q1388" s="36"/>
      <c r="S1388" s="36"/>
      <c r="T1388" s="36"/>
      <c r="U1388" s="36"/>
      <c r="AM1388" s="40"/>
      <c r="AN1388" s="40"/>
    </row>
    <row r="1389" spans="8:40" x14ac:dyDescent="0.3">
      <c r="H1389" s="40"/>
      <c r="J1389" s="36"/>
      <c r="K1389" s="36"/>
      <c r="L1389" s="36"/>
      <c r="M1389" s="36"/>
      <c r="N1389" s="36"/>
      <c r="P1389" s="59"/>
      <c r="Q1389" s="36"/>
      <c r="S1389" s="36"/>
      <c r="T1389" s="36"/>
      <c r="U1389" s="36"/>
      <c r="AM1389" s="40"/>
      <c r="AN1389" s="40"/>
    </row>
    <row r="1390" spans="8:40" x14ac:dyDescent="0.3">
      <c r="H1390" s="40"/>
      <c r="J1390" s="36"/>
      <c r="K1390" s="36"/>
      <c r="L1390" s="36"/>
      <c r="M1390" s="36"/>
      <c r="N1390" s="36"/>
      <c r="P1390" s="59"/>
      <c r="Q1390" s="36"/>
      <c r="S1390" s="36"/>
      <c r="T1390" s="36"/>
      <c r="U1390" s="36"/>
      <c r="AM1390" s="40"/>
      <c r="AN1390" s="40"/>
    </row>
    <row r="1391" spans="8:40" x14ac:dyDescent="0.3">
      <c r="H1391" s="40"/>
      <c r="J1391" s="36"/>
      <c r="K1391" s="36"/>
      <c r="L1391" s="36"/>
      <c r="M1391" s="36"/>
      <c r="N1391" s="36"/>
      <c r="P1391" s="59"/>
      <c r="Q1391" s="36"/>
      <c r="S1391" s="36"/>
      <c r="T1391" s="36"/>
      <c r="U1391" s="36"/>
      <c r="AM1391" s="40"/>
      <c r="AN1391" s="40"/>
    </row>
    <row r="1392" spans="8:40" x14ac:dyDescent="0.3">
      <c r="H1392" s="40"/>
      <c r="J1392" s="36"/>
      <c r="K1392" s="36"/>
      <c r="L1392" s="36"/>
      <c r="M1392" s="36"/>
      <c r="N1392" s="36"/>
      <c r="P1392" s="59"/>
      <c r="Q1392" s="36"/>
      <c r="S1392" s="36"/>
      <c r="T1392" s="36"/>
      <c r="U1392" s="36"/>
      <c r="AM1392" s="40"/>
      <c r="AN1392" s="40"/>
    </row>
    <row r="1393" spans="8:40" x14ac:dyDescent="0.3">
      <c r="H1393" s="40"/>
      <c r="J1393" s="36"/>
      <c r="K1393" s="36"/>
      <c r="L1393" s="36"/>
      <c r="M1393" s="36"/>
      <c r="N1393" s="36"/>
      <c r="P1393" s="59"/>
      <c r="Q1393" s="36"/>
      <c r="S1393" s="36"/>
      <c r="T1393" s="36"/>
      <c r="U1393" s="36"/>
      <c r="AM1393" s="40"/>
      <c r="AN1393" s="40"/>
    </row>
    <row r="1394" spans="8:40" x14ac:dyDescent="0.3">
      <c r="H1394" s="40"/>
      <c r="J1394" s="36"/>
      <c r="K1394" s="36"/>
      <c r="L1394" s="36"/>
      <c r="M1394" s="36"/>
      <c r="N1394" s="36"/>
      <c r="P1394" s="59"/>
      <c r="Q1394" s="36"/>
      <c r="S1394" s="36"/>
      <c r="T1394" s="36"/>
      <c r="U1394" s="36"/>
      <c r="AM1394" s="40"/>
      <c r="AN1394" s="40"/>
    </row>
    <row r="1395" spans="8:40" x14ac:dyDescent="0.3">
      <c r="H1395" s="40"/>
      <c r="J1395" s="36"/>
      <c r="K1395" s="36"/>
      <c r="L1395" s="36"/>
      <c r="M1395" s="36"/>
      <c r="N1395" s="36"/>
      <c r="P1395" s="59"/>
      <c r="Q1395" s="36"/>
      <c r="S1395" s="36"/>
      <c r="T1395" s="36"/>
      <c r="U1395" s="36"/>
      <c r="AM1395" s="40"/>
      <c r="AN1395" s="40"/>
    </row>
    <row r="1396" spans="8:40" x14ac:dyDescent="0.3">
      <c r="H1396" s="40"/>
      <c r="J1396" s="36"/>
      <c r="K1396" s="36"/>
      <c r="L1396" s="36"/>
      <c r="M1396" s="36"/>
      <c r="N1396" s="36"/>
      <c r="P1396" s="59"/>
      <c r="Q1396" s="36"/>
      <c r="S1396" s="36"/>
      <c r="T1396" s="36"/>
      <c r="U1396" s="36"/>
      <c r="AM1396" s="40"/>
      <c r="AN1396" s="40"/>
    </row>
    <row r="1397" spans="8:40" x14ac:dyDescent="0.3">
      <c r="H1397" s="40"/>
      <c r="J1397" s="36"/>
      <c r="K1397" s="36"/>
      <c r="L1397" s="36"/>
      <c r="M1397" s="36"/>
      <c r="N1397" s="36"/>
      <c r="P1397" s="59"/>
      <c r="Q1397" s="36"/>
      <c r="S1397" s="36"/>
      <c r="T1397" s="36"/>
      <c r="U1397" s="36"/>
      <c r="AM1397" s="40"/>
      <c r="AN1397" s="40"/>
    </row>
    <row r="1398" spans="8:40" x14ac:dyDescent="0.3">
      <c r="H1398" s="40"/>
      <c r="J1398" s="36"/>
      <c r="K1398" s="36"/>
      <c r="L1398" s="36"/>
      <c r="M1398" s="36"/>
      <c r="N1398" s="36"/>
      <c r="P1398" s="59"/>
      <c r="Q1398" s="36"/>
      <c r="S1398" s="36"/>
      <c r="T1398" s="36"/>
      <c r="U1398" s="36"/>
      <c r="AM1398" s="40"/>
      <c r="AN1398" s="40"/>
    </row>
    <row r="1399" spans="8:40" x14ac:dyDescent="0.3">
      <c r="H1399" s="40"/>
      <c r="J1399" s="36"/>
      <c r="K1399" s="36"/>
      <c r="L1399" s="36"/>
      <c r="M1399" s="36"/>
      <c r="N1399" s="36"/>
      <c r="P1399" s="59"/>
      <c r="Q1399" s="36"/>
      <c r="S1399" s="36"/>
      <c r="T1399" s="36"/>
      <c r="U1399" s="36"/>
      <c r="AM1399" s="40"/>
      <c r="AN1399" s="40"/>
    </row>
    <row r="1400" spans="8:40" x14ac:dyDescent="0.3">
      <c r="H1400" s="40"/>
      <c r="J1400" s="36"/>
      <c r="K1400" s="36"/>
      <c r="L1400" s="36"/>
      <c r="M1400" s="36"/>
      <c r="N1400" s="36"/>
      <c r="P1400" s="59"/>
      <c r="Q1400" s="36"/>
      <c r="S1400" s="36"/>
      <c r="T1400" s="36"/>
      <c r="U1400" s="36"/>
      <c r="AM1400" s="40"/>
      <c r="AN1400" s="40"/>
    </row>
    <row r="1401" spans="8:40" x14ac:dyDescent="0.3">
      <c r="H1401" s="40"/>
      <c r="J1401" s="36"/>
      <c r="K1401" s="36"/>
      <c r="L1401" s="36"/>
      <c r="M1401" s="36"/>
      <c r="N1401" s="36"/>
      <c r="P1401" s="59"/>
      <c r="Q1401" s="36"/>
      <c r="S1401" s="36"/>
      <c r="T1401" s="36"/>
      <c r="U1401" s="36"/>
      <c r="AM1401" s="40"/>
      <c r="AN1401" s="40"/>
    </row>
    <row r="1402" spans="8:40" x14ac:dyDescent="0.3">
      <c r="H1402" s="40"/>
      <c r="J1402" s="36"/>
      <c r="K1402" s="36"/>
      <c r="L1402" s="36"/>
      <c r="M1402" s="36"/>
      <c r="N1402" s="36"/>
      <c r="P1402" s="59"/>
      <c r="Q1402" s="36"/>
      <c r="S1402" s="36"/>
      <c r="T1402" s="36"/>
      <c r="U1402" s="36"/>
      <c r="AM1402" s="40"/>
      <c r="AN1402" s="40"/>
    </row>
    <row r="1403" spans="8:40" x14ac:dyDescent="0.3">
      <c r="H1403" s="40"/>
      <c r="J1403" s="36"/>
      <c r="K1403" s="36"/>
      <c r="L1403" s="36"/>
      <c r="M1403" s="36"/>
      <c r="N1403" s="36"/>
      <c r="P1403" s="59"/>
      <c r="Q1403" s="36"/>
      <c r="S1403" s="36"/>
      <c r="T1403" s="36"/>
      <c r="U1403" s="36"/>
      <c r="AM1403" s="40"/>
      <c r="AN1403" s="40"/>
    </row>
    <row r="1404" spans="8:40" x14ac:dyDescent="0.3">
      <c r="H1404" s="40"/>
      <c r="J1404" s="36"/>
      <c r="K1404" s="36"/>
      <c r="L1404" s="36"/>
      <c r="M1404" s="36"/>
      <c r="N1404" s="36"/>
      <c r="P1404" s="59"/>
      <c r="Q1404" s="36"/>
      <c r="S1404" s="36"/>
      <c r="T1404" s="36"/>
      <c r="U1404" s="36"/>
      <c r="AM1404" s="40"/>
      <c r="AN1404" s="40"/>
    </row>
    <row r="1405" spans="8:40" x14ac:dyDescent="0.3">
      <c r="H1405" s="40"/>
      <c r="J1405" s="36"/>
      <c r="K1405" s="36"/>
      <c r="L1405" s="36"/>
      <c r="M1405" s="36"/>
      <c r="N1405" s="36"/>
      <c r="P1405" s="59"/>
      <c r="Q1405" s="36"/>
      <c r="S1405" s="36"/>
      <c r="T1405" s="36"/>
      <c r="U1405" s="36"/>
      <c r="AM1405" s="40"/>
      <c r="AN1405" s="40"/>
    </row>
    <row r="1406" spans="8:40" x14ac:dyDescent="0.3">
      <c r="H1406" s="40"/>
      <c r="J1406" s="36"/>
      <c r="K1406" s="36"/>
      <c r="L1406" s="36"/>
      <c r="M1406" s="36"/>
      <c r="N1406" s="36"/>
      <c r="P1406" s="59"/>
      <c r="Q1406" s="36"/>
      <c r="S1406" s="36"/>
      <c r="T1406" s="36"/>
      <c r="U1406" s="36"/>
      <c r="AM1406" s="40"/>
      <c r="AN1406" s="40"/>
    </row>
    <row r="1407" spans="8:40" x14ac:dyDescent="0.3">
      <c r="H1407" s="40"/>
      <c r="J1407" s="36"/>
      <c r="K1407" s="36"/>
      <c r="L1407" s="36"/>
      <c r="M1407" s="36"/>
      <c r="N1407" s="36"/>
      <c r="P1407" s="59"/>
      <c r="Q1407" s="36"/>
      <c r="S1407" s="36"/>
      <c r="T1407" s="36"/>
      <c r="U1407" s="36"/>
      <c r="AM1407" s="40"/>
      <c r="AN1407" s="40"/>
    </row>
    <row r="1408" spans="8:40" x14ac:dyDescent="0.3">
      <c r="H1408" s="40"/>
      <c r="J1408" s="36"/>
      <c r="K1408" s="36"/>
      <c r="L1408" s="36"/>
      <c r="M1408" s="36"/>
      <c r="N1408" s="36"/>
      <c r="P1408" s="59"/>
      <c r="Q1408" s="36"/>
      <c r="S1408" s="36"/>
      <c r="T1408" s="36"/>
      <c r="U1408" s="36"/>
      <c r="AM1408" s="40"/>
      <c r="AN1408" s="40"/>
    </row>
    <row r="1409" spans="8:40" x14ac:dyDescent="0.3">
      <c r="H1409" s="40"/>
      <c r="J1409" s="36"/>
      <c r="K1409" s="36"/>
      <c r="L1409" s="36"/>
      <c r="M1409" s="36"/>
      <c r="N1409" s="36"/>
      <c r="P1409" s="59"/>
      <c r="Q1409" s="36"/>
      <c r="S1409" s="36"/>
      <c r="T1409" s="36"/>
      <c r="U1409" s="36"/>
      <c r="AM1409" s="40"/>
      <c r="AN1409" s="40"/>
    </row>
    <row r="1410" spans="8:40" x14ac:dyDescent="0.3">
      <c r="H1410" s="40"/>
      <c r="J1410" s="36"/>
      <c r="K1410" s="36"/>
      <c r="L1410" s="36"/>
      <c r="M1410" s="36"/>
      <c r="N1410" s="36"/>
      <c r="P1410" s="59"/>
      <c r="Q1410" s="36"/>
      <c r="S1410" s="36"/>
      <c r="T1410" s="36"/>
      <c r="U1410" s="36"/>
      <c r="AM1410" s="40"/>
      <c r="AN1410" s="40"/>
    </row>
    <row r="1411" spans="8:40" x14ac:dyDescent="0.3">
      <c r="H1411" s="40"/>
      <c r="J1411" s="36"/>
      <c r="K1411" s="36"/>
      <c r="L1411" s="36"/>
      <c r="M1411" s="36"/>
      <c r="N1411" s="36"/>
      <c r="P1411" s="59"/>
      <c r="Q1411" s="36"/>
      <c r="S1411" s="36"/>
      <c r="T1411" s="36"/>
      <c r="U1411" s="36"/>
      <c r="AM1411" s="40"/>
      <c r="AN1411" s="40"/>
    </row>
    <row r="1412" spans="8:40" x14ac:dyDescent="0.3">
      <c r="H1412" s="40"/>
      <c r="J1412" s="36"/>
      <c r="K1412" s="36"/>
      <c r="L1412" s="36"/>
      <c r="M1412" s="36"/>
      <c r="N1412" s="36"/>
      <c r="P1412" s="59"/>
      <c r="Q1412" s="36"/>
      <c r="S1412" s="36"/>
      <c r="T1412" s="36"/>
      <c r="U1412" s="36"/>
      <c r="AM1412" s="40"/>
      <c r="AN1412" s="40"/>
    </row>
    <row r="1413" spans="8:40" x14ac:dyDescent="0.3">
      <c r="H1413" s="40"/>
      <c r="J1413" s="36"/>
      <c r="K1413" s="36"/>
      <c r="L1413" s="36"/>
      <c r="M1413" s="36"/>
      <c r="N1413" s="36"/>
      <c r="P1413" s="59"/>
      <c r="Q1413" s="36"/>
      <c r="S1413" s="36"/>
      <c r="T1413" s="36"/>
      <c r="U1413" s="36"/>
      <c r="AM1413" s="40"/>
      <c r="AN1413" s="40"/>
    </row>
    <row r="1414" spans="8:40" x14ac:dyDescent="0.3">
      <c r="H1414" s="40"/>
      <c r="J1414" s="36"/>
      <c r="K1414" s="36"/>
      <c r="L1414" s="36"/>
      <c r="M1414" s="36"/>
      <c r="N1414" s="36"/>
      <c r="P1414" s="59"/>
      <c r="Q1414" s="36"/>
      <c r="S1414" s="36"/>
      <c r="T1414" s="36"/>
      <c r="U1414" s="36"/>
      <c r="AM1414" s="40"/>
      <c r="AN1414" s="40"/>
    </row>
    <row r="1415" spans="8:40" x14ac:dyDescent="0.3">
      <c r="H1415" s="40"/>
      <c r="J1415" s="36"/>
      <c r="K1415" s="36"/>
      <c r="L1415" s="36"/>
      <c r="M1415" s="36"/>
      <c r="N1415" s="36"/>
      <c r="P1415" s="59"/>
      <c r="Q1415" s="36"/>
      <c r="S1415" s="36"/>
      <c r="T1415" s="36"/>
      <c r="U1415" s="36"/>
      <c r="AM1415" s="40"/>
      <c r="AN1415" s="40"/>
    </row>
    <row r="1416" spans="8:40" x14ac:dyDescent="0.3">
      <c r="H1416" s="40"/>
      <c r="J1416" s="36"/>
      <c r="K1416" s="36"/>
      <c r="L1416" s="36"/>
      <c r="M1416" s="36"/>
      <c r="N1416" s="36"/>
      <c r="P1416" s="59"/>
      <c r="Q1416" s="36"/>
      <c r="S1416" s="36"/>
      <c r="T1416" s="36"/>
      <c r="U1416" s="36"/>
      <c r="AM1416" s="40"/>
      <c r="AN1416" s="40"/>
    </row>
    <row r="1417" spans="8:40" x14ac:dyDescent="0.3">
      <c r="H1417" s="40"/>
      <c r="J1417" s="36"/>
      <c r="K1417" s="36"/>
      <c r="L1417" s="36"/>
      <c r="M1417" s="36"/>
      <c r="N1417" s="36"/>
      <c r="P1417" s="59"/>
      <c r="Q1417" s="36"/>
      <c r="S1417" s="36"/>
      <c r="T1417" s="36"/>
      <c r="U1417" s="36"/>
      <c r="AM1417" s="40"/>
      <c r="AN1417" s="40"/>
    </row>
    <row r="1418" spans="8:40" x14ac:dyDescent="0.3">
      <c r="H1418" s="40"/>
      <c r="J1418" s="36"/>
      <c r="K1418" s="36"/>
      <c r="L1418" s="36"/>
      <c r="M1418" s="36"/>
      <c r="N1418" s="36"/>
      <c r="P1418" s="59"/>
      <c r="Q1418" s="36"/>
      <c r="S1418" s="36"/>
      <c r="T1418" s="36"/>
      <c r="U1418" s="36"/>
      <c r="AM1418" s="40"/>
      <c r="AN1418" s="40"/>
    </row>
    <row r="1419" spans="8:40" x14ac:dyDescent="0.3">
      <c r="H1419" s="40"/>
      <c r="J1419" s="36"/>
      <c r="K1419" s="36"/>
      <c r="L1419" s="36"/>
      <c r="M1419" s="36"/>
      <c r="N1419" s="36"/>
      <c r="P1419" s="59"/>
      <c r="Q1419" s="36"/>
      <c r="S1419" s="36"/>
      <c r="T1419" s="36"/>
      <c r="U1419" s="36"/>
      <c r="AM1419" s="40"/>
      <c r="AN1419" s="40"/>
    </row>
    <row r="1420" spans="8:40" x14ac:dyDescent="0.3">
      <c r="H1420" s="40"/>
      <c r="J1420" s="36"/>
      <c r="K1420" s="36"/>
      <c r="L1420" s="36"/>
      <c r="M1420" s="36"/>
      <c r="N1420" s="36"/>
      <c r="P1420" s="59"/>
      <c r="Q1420" s="36"/>
      <c r="S1420" s="36"/>
      <c r="T1420" s="36"/>
      <c r="U1420" s="36"/>
      <c r="AM1420" s="40"/>
      <c r="AN1420" s="40"/>
    </row>
    <row r="1421" spans="8:40" x14ac:dyDescent="0.3">
      <c r="H1421" s="40"/>
      <c r="J1421" s="36"/>
      <c r="K1421" s="36"/>
      <c r="L1421" s="36"/>
      <c r="M1421" s="36"/>
      <c r="N1421" s="36"/>
      <c r="P1421" s="59"/>
      <c r="Q1421" s="36"/>
      <c r="S1421" s="36"/>
      <c r="T1421" s="36"/>
      <c r="U1421" s="36"/>
      <c r="AM1421" s="40"/>
      <c r="AN1421" s="40"/>
    </row>
    <row r="1422" spans="8:40" x14ac:dyDescent="0.3">
      <c r="H1422" s="40"/>
      <c r="J1422" s="36"/>
      <c r="K1422" s="36"/>
      <c r="L1422" s="36"/>
      <c r="M1422" s="36"/>
      <c r="N1422" s="36"/>
      <c r="P1422" s="59"/>
      <c r="Q1422" s="36"/>
      <c r="S1422" s="36"/>
      <c r="T1422" s="36"/>
      <c r="U1422" s="36"/>
      <c r="AM1422" s="40"/>
      <c r="AN1422" s="40"/>
    </row>
    <row r="1423" spans="8:40" x14ac:dyDescent="0.3">
      <c r="H1423" s="40"/>
      <c r="J1423" s="36"/>
      <c r="K1423" s="36"/>
      <c r="L1423" s="36"/>
      <c r="M1423" s="36"/>
      <c r="N1423" s="36"/>
      <c r="P1423" s="59"/>
      <c r="Q1423" s="36"/>
      <c r="S1423" s="36"/>
      <c r="T1423" s="36"/>
      <c r="U1423" s="36"/>
      <c r="AM1423" s="40"/>
      <c r="AN1423" s="40"/>
    </row>
    <row r="1424" spans="8:40" x14ac:dyDescent="0.3">
      <c r="H1424" s="40"/>
      <c r="J1424" s="36"/>
      <c r="K1424" s="36"/>
      <c r="L1424" s="36"/>
      <c r="M1424" s="36"/>
      <c r="N1424" s="36"/>
      <c r="P1424" s="59"/>
      <c r="Q1424" s="36"/>
      <c r="S1424" s="36"/>
      <c r="T1424" s="36"/>
      <c r="U1424" s="36"/>
      <c r="AM1424" s="40"/>
      <c r="AN1424" s="40"/>
    </row>
    <row r="1425" spans="8:40" x14ac:dyDescent="0.3">
      <c r="H1425" s="40"/>
      <c r="J1425" s="36"/>
      <c r="K1425" s="36"/>
      <c r="L1425" s="36"/>
      <c r="M1425" s="36"/>
      <c r="N1425" s="36"/>
      <c r="P1425" s="59"/>
      <c r="Q1425" s="36"/>
      <c r="S1425" s="36"/>
      <c r="T1425" s="36"/>
      <c r="U1425" s="36"/>
      <c r="AM1425" s="40"/>
      <c r="AN1425" s="40"/>
    </row>
    <row r="1426" spans="8:40" x14ac:dyDescent="0.3">
      <c r="H1426" s="40"/>
      <c r="J1426" s="36"/>
      <c r="K1426" s="36"/>
      <c r="L1426" s="36"/>
      <c r="M1426" s="36"/>
      <c r="N1426" s="36"/>
      <c r="P1426" s="59"/>
      <c r="Q1426" s="36"/>
      <c r="S1426" s="36"/>
      <c r="T1426" s="36"/>
      <c r="U1426" s="36"/>
      <c r="AM1426" s="40"/>
      <c r="AN1426" s="40"/>
    </row>
    <row r="1427" spans="8:40" x14ac:dyDescent="0.3">
      <c r="H1427" s="40"/>
      <c r="J1427" s="36"/>
      <c r="K1427" s="36"/>
      <c r="L1427" s="36"/>
      <c r="M1427" s="36"/>
      <c r="N1427" s="36"/>
      <c r="P1427" s="59"/>
      <c r="Q1427" s="36"/>
      <c r="S1427" s="36"/>
      <c r="T1427" s="36"/>
      <c r="U1427" s="36"/>
      <c r="AM1427" s="40"/>
      <c r="AN1427" s="40"/>
    </row>
    <row r="1428" spans="8:40" x14ac:dyDescent="0.3">
      <c r="H1428" s="40"/>
      <c r="J1428" s="36"/>
      <c r="K1428" s="36"/>
      <c r="L1428" s="36"/>
      <c r="M1428" s="36"/>
      <c r="N1428" s="36"/>
      <c r="P1428" s="59"/>
      <c r="Q1428" s="36"/>
      <c r="S1428" s="36"/>
      <c r="T1428" s="36"/>
      <c r="U1428" s="36"/>
      <c r="AM1428" s="40"/>
      <c r="AN1428" s="40"/>
    </row>
    <row r="1429" spans="8:40" x14ac:dyDescent="0.3">
      <c r="H1429" s="40"/>
      <c r="J1429" s="36"/>
      <c r="K1429" s="36"/>
      <c r="L1429" s="36"/>
      <c r="M1429" s="36"/>
      <c r="N1429" s="36"/>
      <c r="P1429" s="59"/>
      <c r="Q1429" s="36"/>
      <c r="S1429" s="36"/>
      <c r="T1429" s="36"/>
      <c r="U1429" s="36"/>
      <c r="AM1429" s="40"/>
      <c r="AN1429" s="40"/>
    </row>
    <row r="1430" spans="8:40" x14ac:dyDescent="0.3">
      <c r="H1430" s="40"/>
      <c r="J1430" s="36"/>
      <c r="K1430" s="36"/>
      <c r="L1430" s="36"/>
      <c r="M1430" s="36"/>
      <c r="N1430" s="36"/>
      <c r="P1430" s="59"/>
      <c r="Q1430" s="36"/>
      <c r="S1430" s="36"/>
      <c r="T1430" s="36"/>
      <c r="U1430" s="36"/>
      <c r="AM1430" s="40"/>
      <c r="AN1430" s="40"/>
    </row>
    <row r="1431" spans="8:40" x14ac:dyDescent="0.3">
      <c r="H1431" s="40"/>
      <c r="J1431" s="36"/>
      <c r="K1431" s="36"/>
      <c r="L1431" s="36"/>
      <c r="M1431" s="36"/>
      <c r="N1431" s="36"/>
      <c r="P1431" s="59"/>
      <c r="Q1431" s="36"/>
      <c r="S1431" s="36"/>
      <c r="T1431" s="36"/>
      <c r="U1431" s="36"/>
      <c r="AM1431" s="40"/>
      <c r="AN1431" s="40"/>
    </row>
    <row r="1432" spans="8:40" x14ac:dyDescent="0.3">
      <c r="H1432" s="40"/>
      <c r="J1432" s="36"/>
      <c r="K1432" s="36"/>
      <c r="L1432" s="36"/>
      <c r="M1432" s="36"/>
      <c r="N1432" s="36"/>
      <c r="P1432" s="59"/>
      <c r="Q1432" s="36"/>
      <c r="S1432" s="36"/>
      <c r="T1432" s="36"/>
      <c r="U1432" s="36"/>
      <c r="AM1432" s="40"/>
      <c r="AN1432" s="40"/>
    </row>
    <row r="1433" spans="8:40" x14ac:dyDescent="0.3">
      <c r="H1433" s="40"/>
      <c r="J1433" s="36"/>
      <c r="K1433" s="36"/>
      <c r="L1433" s="36"/>
      <c r="M1433" s="36"/>
      <c r="N1433" s="36"/>
      <c r="P1433" s="59"/>
      <c r="Q1433" s="36"/>
      <c r="S1433" s="36"/>
      <c r="T1433" s="36"/>
      <c r="U1433" s="36"/>
      <c r="AM1433" s="40"/>
      <c r="AN1433" s="40"/>
    </row>
    <row r="1434" spans="8:40" x14ac:dyDescent="0.3">
      <c r="H1434" s="40"/>
      <c r="J1434" s="36"/>
      <c r="K1434" s="36"/>
      <c r="L1434" s="36"/>
      <c r="M1434" s="36"/>
      <c r="N1434" s="36"/>
      <c r="P1434" s="59"/>
      <c r="Q1434" s="36"/>
      <c r="S1434" s="36"/>
      <c r="T1434" s="36"/>
      <c r="U1434" s="36"/>
      <c r="AM1434" s="40"/>
      <c r="AN1434" s="40"/>
    </row>
    <row r="1435" spans="8:40" x14ac:dyDescent="0.3">
      <c r="H1435" s="40"/>
      <c r="J1435" s="36"/>
      <c r="K1435" s="36"/>
      <c r="L1435" s="36"/>
      <c r="M1435" s="36"/>
      <c r="N1435" s="36"/>
      <c r="P1435" s="59"/>
      <c r="Q1435" s="36"/>
      <c r="S1435" s="36"/>
      <c r="T1435" s="36"/>
      <c r="U1435" s="36"/>
      <c r="AM1435" s="40"/>
      <c r="AN1435" s="40"/>
    </row>
    <row r="1436" spans="8:40" x14ac:dyDescent="0.3">
      <c r="H1436" s="40"/>
      <c r="J1436" s="36"/>
      <c r="K1436" s="36"/>
      <c r="L1436" s="36"/>
      <c r="M1436" s="36"/>
      <c r="N1436" s="36"/>
      <c r="P1436" s="59"/>
      <c r="Q1436" s="36"/>
      <c r="S1436" s="36"/>
      <c r="T1436" s="36"/>
      <c r="U1436" s="36"/>
      <c r="AM1436" s="40"/>
      <c r="AN1436" s="40"/>
    </row>
    <row r="1437" spans="8:40" x14ac:dyDescent="0.3">
      <c r="H1437" s="40"/>
      <c r="J1437" s="36"/>
      <c r="K1437" s="36"/>
      <c r="L1437" s="36"/>
      <c r="M1437" s="36"/>
      <c r="N1437" s="36"/>
      <c r="P1437" s="59"/>
      <c r="Q1437" s="36"/>
      <c r="S1437" s="36"/>
      <c r="T1437" s="36"/>
      <c r="U1437" s="36"/>
      <c r="AM1437" s="40"/>
      <c r="AN1437" s="40"/>
    </row>
    <row r="1438" spans="8:40" x14ac:dyDescent="0.3">
      <c r="H1438" s="40"/>
      <c r="J1438" s="36"/>
      <c r="K1438" s="36"/>
      <c r="L1438" s="36"/>
      <c r="M1438" s="36"/>
      <c r="N1438" s="36"/>
      <c r="P1438" s="59"/>
      <c r="Q1438" s="36"/>
      <c r="S1438" s="36"/>
      <c r="T1438" s="36"/>
      <c r="U1438" s="36"/>
      <c r="AM1438" s="40"/>
      <c r="AN1438" s="40"/>
    </row>
    <row r="1439" spans="8:40" x14ac:dyDescent="0.3">
      <c r="H1439" s="40"/>
      <c r="J1439" s="36"/>
      <c r="K1439" s="36"/>
      <c r="L1439" s="36"/>
      <c r="M1439" s="36"/>
      <c r="N1439" s="36"/>
      <c r="P1439" s="59"/>
      <c r="Q1439" s="36"/>
      <c r="S1439" s="36"/>
      <c r="T1439" s="36"/>
      <c r="U1439" s="36"/>
      <c r="AM1439" s="40"/>
      <c r="AN1439" s="40"/>
    </row>
    <row r="1440" spans="8:40" x14ac:dyDescent="0.3">
      <c r="H1440" s="40"/>
      <c r="J1440" s="36"/>
      <c r="K1440" s="36"/>
      <c r="L1440" s="36"/>
      <c r="M1440" s="36"/>
      <c r="N1440" s="36"/>
      <c r="P1440" s="59"/>
      <c r="Q1440" s="36"/>
      <c r="S1440" s="36"/>
      <c r="T1440" s="36"/>
      <c r="U1440" s="36"/>
      <c r="AM1440" s="40"/>
      <c r="AN1440" s="40"/>
    </row>
    <row r="1441" spans="8:40" x14ac:dyDescent="0.3">
      <c r="H1441" s="40"/>
      <c r="J1441" s="36"/>
      <c r="K1441" s="36"/>
      <c r="L1441" s="36"/>
      <c r="M1441" s="36"/>
      <c r="N1441" s="36"/>
      <c r="P1441" s="59"/>
      <c r="Q1441" s="36"/>
      <c r="S1441" s="36"/>
      <c r="T1441" s="36"/>
      <c r="U1441" s="36"/>
      <c r="AM1441" s="40"/>
      <c r="AN1441" s="40"/>
    </row>
    <row r="1442" spans="8:40" x14ac:dyDescent="0.3">
      <c r="H1442" s="40"/>
      <c r="J1442" s="36"/>
      <c r="K1442" s="36"/>
      <c r="L1442" s="36"/>
      <c r="M1442" s="36"/>
      <c r="N1442" s="36"/>
      <c r="P1442" s="59"/>
      <c r="Q1442" s="36"/>
      <c r="S1442" s="36"/>
      <c r="T1442" s="36"/>
      <c r="U1442" s="36"/>
      <c r="AM1442" s="40"/>
      <c r="AN1442" s="40"/>
    </row>
    <row r="1443" spans="8:40" x14ac:dyDescent="0.3">
      <c r="H1443" s="40"/>
      <c r="J1443" s="36"/>
      <c r="K1443" s="36"/>
      <c r="L1443" s="36"/>
      <c r="M1443" s="36"/>
      <c r="N1443" s="36"/>
      <c r="P1443" s="59"/>
      <c r="Q1443" s="36"/>
      <c r="S1443" s="36"/>
      <c r="T1443" s="36"/>
      <c r="U1443" s="36"/>
      <c r="AM1443" s="40"/>
      <c r="AN1443" s="40"/>
    </row>
    <row r="1444" spans="8:40" x14ac:dyDescent="0.3">
      <c r="H1444" s="40"/>
      <c r="J1444" s="36"/>
      <c r="K1444" s="36"/>
      <c r="L1444" s="36"/>
      <c r="M1444" s="36"/>
      <c r="N1444" s="36"/>
      <c r="P1444" s="59"/>
      <c r="Q1444" s="36"/>
      <c r="S1444" s="36"/>
      <c r="T1444" s="36"/>
      <c r="U1444" s="36"/>
      <c r="AM1444" s="40"/>
      <c r="AN1444" s="40"/>
    </row>
    <row r="1445" spans="8:40" x14ac:dyDescent="0.3">
      <c r="H1445" s="40"/>
      <c r="J1445" s="36"/>
      <c r="K1445" s="36"/>
      <c r="L1445" s="36"/>
      <c r="M1445" s="36"/>
      <c r="N1445" s="36"/>
      <c r="P1445" s="59"/>
      <c r="Q1445" s="36"/>
      <c r="S1445" s="36"/>
      <c r="T1445" s="36"/>
      <c r="U1445" s="36"/>
      <c r="AM1445" s="40"/>
      <c r="AN1445" s="40"/>
    </row>
    <row r="1446" spans="8:40" x14ac:dyDescent="0.3">
      <c r="H1446" s="40"/>
      <c r="J1446" s="36"/>
      <c r="K1446" s="36"/>
      <c r="L1446" s="36"/>
      <c r="M1446" s="36"/>
      <c r="N1446" s="36"/>
      <c r="P1446" s="59"/>
      <c r="Q1446" s="36"/>
      <c r="S1446" s="36"/>
      <c r="T1446" s="36"/>
      <c r="U1446" s="36"/>
      <c r="AM1446" s="40"/>
      <c r="AN1446" s="40"/>
    </row>
    <row r="1447" spans="8:40" x14ac:dyDescent="0.3">
      <c r="H1447" s="40"/>
      <c r="J1447" s="36"/>
      <c r="K1447" s="36"/>
      <c r="L1447" s="36"/>
      <c r="M1447" s="36"/>
      <c r="N1447" s="36"/>
      <c r="P1447" s="59"/>
      <c r="Q1447" s="36"/>
      <c r="S1447" s="36"/>
      <c r="T1447" s="36"/>
      <c r="U1447" s="36"/>
      <c r="AM1447" s="40"/>
      <c r="AN1447" s="40"/>
    </row>
    <row r="1448" spans="8:40" x14ac:dyDescent="0.3">
      <c r="H1448" s="40"/>
      <c r="J1448" s="36"/>
      <c r="K1448" s="36"/>
      <c r="L1448" s="36"/>
      <c r="M1448" s="36"/>
      <c r="N1448" s="36"/>
      <c r="P1448" s="59"/>
      <c r="Q1448" s="36"/>
      <c r="S1448" s="36"/>
      <c r="T1448" s="36"/>
      <c r="U1448" s="36"/>
      <c r="AM1448" s="40"/>
      <c r="AN1448" s="40"/>
    </row>
    <row r="1449" spans="8:40" x14ac:dyDescent="0.3">
      <c r="H1449" s="40"/>
      <c r="J1449" s="36"/>
      <c r="K1449" s="36"/>
      <c r="L1449" s="36"/>
      <c r="M1449" s="36"/>
      <c r="N1449" s="36"/>
      <c r="P1449" s="59"/>
      <c r="Q1449" s="36"/>
      <c r="S1449" s="36"/>
      <c r="T1449" s="36"/>
      <c r="U1449" s="36"/>
      <c r="AM1449" s="40"/>
      <c r="AN1449" s="40"/>
    </row>
    <row r="1450" spans="8:40" x14ac:dyDescent="0.3">
      <c r="H1450" s="40"/>
      <c r="J1450" s="36"/>
      <c r="K1450" s="36"/>
      <c r="L1450" s="36"/>
      <c r="M1450" s="36"/>
      <c r="N1450" s="36"/>
      <c r="P1450" s="59"/>
      <c r="Q1450" s="36"/>
      <c r="S1450" s="36"/>
      <c r="T1450" s="36"/>
      <c r="U1450" s="36"/>
      <c r="AM1450" s="40"/>
      <c r="AN1450" s="40"/>
    </row>
    <row r="1451" spans="8:40" x14ac:dyDescent="0.3">
      <c r="H1451" s="40"/>
      <c r="J1451" s="36"/>
      <c r="K1451" s="36"/>
      <c r="L1451" s="36"/>
      <c r="M1451" s="36"/>
      <c r="N1451" s="36"/>
      <c r="P1451" s="59"/>
      <c r="Q1451" s="36"/>
      <c r="S1451" s="36"/>
      <c r="T1451" s="36"/>
      <c r="U1451" s="36"/>
      <c r="AM1451" s="40"/>
      <c r="AN1451" s="40"/>
    </row>
    <row r="1452" spans="8:40" x14ac:dyDescent="0.3">
      <c r="H1452" s="40"/>
      <c r="J1452" s="36"/>
      <c r="K1452" s="36"/>
      <c r="L1452" s="36"/>
      <c r="M1452" s="36"/>
      <c r="N1452" s="36"/>
      <c r="P1452" s="59"/>
      <c r="Q1452" s="36"/>
      <c r="S1452" s="36"/>
      <c r="T1452" s="36"/>
      <c r="U1452" s="36"/>
      <c r="AM1452" s="40"/>
      <c r="AN1452" s="40"/>
    </row>
    <row r="1453" spans="8:40" x14ac:dyDescent="0.3">
      <c r="H1453" s="40"/>
      <c r="J1453" s="36"/>
      <c r="K1453" s="36"/>
      <c r="L1453" s="36"/>
      <c r="M1453" s="36"/>
      <c r="N1453" s="36"/>
      <c r="P1453" s="59"/>
      <c r="Q1453" s="36"/>
      <c r="S1453" s="36"/>
      <c r="T1453" s="36"/>
      <c r="U1453" s="36"/>
      <c r="AM1453" s="40"/>
      <c r="AN1453" s="40"/>
    </row>
    <row r="1454" spans="8:40" x14ac:dyDescent="0.3">
      <c r="H1454" s="40"/>
      <c r="J1454" s="36"/>
      <c r="K1454" s="36"/>
      <c r="L1454" s="36"/>
      <c r="M1454" s="36"/>
      <c r="N1454" s="36"/>
      <c r="P1454" s="59"/>
      <c r="Q1454" s="36"/>
      <c r="S1454" s="36"/>
      <c r="T1454" s="36"/>
      <c r="U1454" s="36"/>
      <c r="AM1454" s="40"/>
      <c r="AN1454" s="40"/>
    </row>
    <row r="1455" spans="8:40" x14ac:dyDescent="0.3">
      <c r="H1455" s="40"/>
      <c r="J1455" s="36"/>
      <c r="K1455" s="36"/>
      <c r="L1455" s="36"/>
      <c r="M1455" s="36"/>
      <c r="N1455" s="36"/>
      <c r="P1455" s="59"/>
      <c r="Q1455" s="36"/>
      <c r="S1455" s="36"/>
      <c r="T1455" s="36"/>
      <c r="U1455" s="36"/>
      <c r="AM1455" s="40"/>
      <c r="AN1455" s="40"/>
    </row>
    <row r="1456" spans="8:40" x14ac:dyDescent="0.3">
      <c r="H1456" s="40"/>
      <c r="J1456" s="36"/>
      <c r="K1456" s="36"/>
      <c r="L1456" s="36"/>
      <c r="M1456" s="36"/>
      <c r="N1456" s="36"/>
      <c r="P1456" s="59"/>
      <c r="Q1456" s="36"/>
      <c r="S1456" s="36"/>
      <c r="T1456" s="36"/>
      <c r="U1456" s="36"/>
      <c r="AM1456" s="40"/>
      <c r="AN1456" s="40"/>
    </row>
    <row r="1457" spans="8:40" x14ac:dyDescent="0.3">
      <c r="H1457" s="40"/>
      <c r="J1457" s="36"/>
      <c r="K1457" s="36"/>
      <c r="L1457" s="36"/>
      <c r="M1457" s="36"/>
      <c r="N1457" s="36"/>
      <c r="P1457" s="59"/>
      <c r="Q1457" s="36"/>
      <c r="S1457" s="36"/>
      <c r="T1457" s="36"/>
      <c r="U1457" s="36"/>
      <c r="AM1457" s="40"/>
      <c r="AN1457" s="40"/>
    </row>
    <row r="1458" spans="8:40" x14ac:dyDescent="0.3">
      <c r="H1458" s="40"/>
      <c r="J1458" s="36"/>
      <c r="K1458" s="36"/>
      <c r="L1458" s="36"/>
      <c r="M1458" s="36"/>
      <c r="N1458" s="36"/>
      <c r="P1458" s="59"/>
      <c r="Q1458" s="36"/>
      <c r="S1458" s="36"/>
      <c r="T1458" s="36"/>
      <c r="U1458" s="36"/>
      <c r="AM1458" s="40"/>
      <c r="AN1458" s="40"/>
    </row>
    <row r="1459" spans="8:40" x14ac:dyDescent="0.3">
      <c r="H1459" s="40"/>
      <c r="J1459" s="36"/>
      <c r="K1459" s="36"/>
      <c r="L1459" s="36"/>
      <c r="M1459" s="36"/>
      <c r="N1459" s="36"/>
      <c r="P1459" s="59"/>
      <c r="Q1459" s="36"/>
      <c r="S1459" s="36"/>
      <c r="T1459" s="36"/>
      <c r="U1459" s="36"/>
      <c r="AM1459" s="40"/>
      <c r="AN1459" s="40"/>
    </row>
    <row r="1460" spans="8:40" x14ac:dyDescent="0.3">
      <c r="H1460" s="40"/>
      <c r="J1460" s="36"/>
      <c r="K1460" s="36"/>
      <c r="L1460" s="36"/>
      <c r="M1460" s="36"/>
      <c r="N1460" s="36"/>
      <c r="P1460" s="59"/>
      <c r="Q1460" s="36"/>
      <c r="S1460" s="36"/>
      <c r="T1460" s="36"/>
      <c r="U1460" s="36"/>
      <c r="AM1460" s="40"/>
      <c r="AN1460" s="40"/>
    </row>
    <row r="1461" spans="8:40" x14ac:dyDescent="0.3">
      <c r="H1461" s="40"/>
      <c r="J1461" s="36"/>
      <c r="K1461" s="36"/>
      <c r="L1461" s="36"/>
      <c r="M1461" s="36"/>
      <c r="N1461" s="36"/>
      <c r="P1461" s="59"/>
      <c r="Q1461" s="36"/>
      <c r="S1461" s="36"/>
      <c r="T1461" s="36"/>
      <c r="U1461" s="36"/>
      <c r="AM1461" s="40"/>
      <c r="AN1461" s="40"/>
    </row>
    <row r="1462" spans="8:40" x14ac:dyDescent="0.3">
      <c r="H1462" s="40"/>
      <c r="J1462" s="36"/>
      <c r="K1462" s="36"/>
      <c r="L1462" s="36"/>
      <c r="M1462" s="36"/>
      <c r="N1462" s="36"/>
      <c r="P1462" s="59"/>
      <c r="Q1462" s="36"/>
      <c r="S1462" s="36"/>
      <c r="T1462" s="36"/>
      <c r="U1462" s="36"/>
      <c r="AM1462" s="40"/>
      <c r="AN1462" s="40"/>
    </row>
    <row r="1463" spans="8:40" x14ac:dyDescent="0.3">
      <c r="H1463" s="40"/>
      <c r="J1463" s="36"/>
      <c r="K1463" s="36"/>
      <c r="L1463" s="36"/>
      <c r="M1463" s="36"/>
      <c r="N1463" s="36"/>
      <c r="P1463" s="59"/>
      <c r="Q1463" s="36"/>
      <c r="S1463" s="36"/>
      <c r="T1463" s="36"/>
      <c r="U1463" s="36"/>
      <c r="AM1463" s="40"/>
      <c r="AN1463" s="40"/>
    </row>
    <row r="1464" spans="8:40" x14ac:dyDescent="0.3">
      <c r="H1464" s="40"/>
      <c r="J1464" s="36"/>
      <c r="K1464" s="36"/>
      <c r="L1464" s="36"/>
      <c r="M1464" s="36"/>
      <c r="N1464" s="36"/>
      <c r="P1464" s="59"/>
      <c r="Q1464" s="36"/>
      <c r="S1464" s="36"/>
      <c r="T1464" s="36"/>
      <c r="U1464" s="36"/>
      <c r="AM1464" s="40"/>
      <c r="AN1464" s="40"/>
    </row>
    <row r="1465" spans="8:40" x14ac:dyDescent="0.3">
      <c r="H1465" s="40"/>
      <c r="J1465" s="36"/>
      <c r="K1465" s="36"/>
      <c r="L1465" s="36"/>
      <c r="M1465" s="36"/>
      <c r="N1465" s="36"/>
      <c r="P1465" s="59"/>
      <c r="Q1465" s="36"/>
      <c r="S1465" s="36"/>
      <c r="T1465" s="36"/>
      <c r="U1465" s="36"/>
      <c r="AM1465" s="40"/>
      <c r="AN1465" s="40"/>
    </row>
    <row r="1466" spans="8:40" x14ac:dyDescent="0.3">
      <c r="H1466" s="40"/>
      <c r="J1466" s="36"/>
      <c r="K1466" s="36"/>
      <c r="L1466" s="36"/>
      <c r="M1466" s="36"/>
      <c r="N1466" s="36"/>
      <c r="P1466" s="59"/>
      <c r="Q1466" s="36"/>
      <c r="S1466" s="36"/>
      <c r="T1466" s="36"/>
      <c r="U1466" s="36"/>
      <c r="AM1466" s="40"/>
      <c r="AN1466" s="40"/>
    </row>
    <row r="1467" spans="8:40" x14ac:dyDescent="0.3">
      <c r="H1467" s="40"/>
      <c r="J1467" s="36"/>
      <c r="K1467" s="36"/>
      <c r="L1467" s="36"/>
      <c r="M1467" s="36"/>
      <c r="N1467" s="36"/>
      <c r="P1467" s="59"/>
      <c r="Q1467" s="36"/>
      <c r="S1467" s="36"/>
      <c r="T1467" s="36"/>
      <c r="U1467" s="36"/>
      <c r="AM1467" s="40"/>
      <c r="AN1467" s="40"/>
    </row>
    <row r="1468" spans="8:40" x14ac:dyDescent="0.3">
      <c r="H1468" s="40"/>
      <c r="J1468" s="36"/>
      <c r="K1468" s="36"/>
      <c r="L1468" s="36"/>
      <c r="M1468" s="36"/>
      <c r="N1468" s="36"/>
      <c r="P1468" s="59"/>
      <c r="Q1468" s="36"/>
      <c r="S1468" s="36"/>
      <c r="T1468" s="36"/>
      <c r="U1468" s="36"/>
      <c r="AM1468" s="40"/>
      <c r="AN1468" s="40"/>
    </row>
    <row r="1469" spans="8:40" x14ac:dyDescent="0.3">
      <c r="H1469" s="40"/>
      <c r="J1469" s="36"/>
      <c r="K1469" s="36"/>
      <c r="L1469" s="36"/>
      <c r="M1469" s="36"/>
      <c r="N1469" s="36"/>
      <c r="P1469" s="59"/>
      <c r="Q1469" s="36"/>
      <c r="S1469" s="36"/>
      <c r="T1469" s="36"/>
      <c r="U1469" s="36"/>
      <c r="AM1469" s="40"/>
      <c r="AN1469" s="40"/>
    </row>
    <row r="1470" spans="8:40" x14ac:dyDescent="0.3">
      <c r="H1470" s="40"/>
      <c r="J1470" s="36"/>
      <c r="K1470" s="36"/>
      <c r="L1470" s="36"/>
      <c r="M1470" s="36"/>
      <c r="N1470" s="36"/>
      <c r="P1470" s="59"/>
      <c r="Q1470" s="36"/>
      <c r="S1470" s="36"/>
      <c r="T1470" s="36"/>
      <c r="U1470" s="36"/>
      <c r="AM1470" s="40"/>
      <c r="AN1470" s="40"/>
    </row>
    <row r="1471" spans="8:40" x14ac:dyDescent="0.3">
      <c r="H1471" s="40"/>
      <c r="J1471" s="36"/>
      <c r="K1471" s="36"/>
      <c r="L1471" s="36"/>
      <c r="M1471" s="36"/>
      <c r="N1471" s="36"/>
      <c r="P1471" s="59"/>
      <c r="Q1471" s="36"/>
      <c r="S1471" s="36"/>
      <c r="T1471" s="36"/>
      <c r="U1471" s="36"/>
      <c r="AM1471" s="40"/>
      <c r="AN1471" s="40"/>
    </row>
    <row r="1472" spans="8:40" x14ac:dyDescent="0.3">
      <c r="H1472" s="40"/>
      <c r="J1472" s="36"/>
      <c r="K1472" s="36"/>
      <c r="L1472" s="36"/>
      <c r="M1472" s="36"/>
      <c r="N1472" s="36"/>
      <c r="P1472" s="59"/>
      <c r="Q1472" s="36"/>
      <c r="S1472" s="36"/>
      <c r="T1472" s="36"/>
      <c r="U1472" s="36"/>
      <c r="AM1472" s="40"/>
      <c r="AN1472" s="40"/>
    </row>
    <row r="1473" spans="8:40" x14ac:dyDescent="0.3">
      <c r="H1473" s="40"/>
      <c r="J1473" s="36"/>
      <c r="K1473" s="36"/>
      <c r="L1473" s="36"/>
      <c r="M1473" s="36"/>
      <c r="N1473" s="36"/>
      <c r="P1473" s="59"/>
      <c r="Q1473" s="36"/>
      <c r="S1473" s="36"/>
      <c r="T1473" s="36"/>
      <c r="U1473" s="36"/>
      <c r="AM1473" s="40"/>
      <c r="AN1473" s="40"/>
    </row>
    <row r="1474" spans="8:40" x14ac:dyDescent="0.3">
      <c r="H1474" s="40"/>
      <c r="J1474" s="36"/>
      <c r="K1474" s="36"/>
      <c r="L1474" s="36"/>
      <c r="M1474" s="36"/>
      <c r="N1474" s="36"/>
      <c r="P1474" s="59"/>
      <c r="Q1474" s="36"/>
      <c r="S1474" s="36"/>
      <c r="T1474" s="36"/>
      <c r="U1474" s="36"/>
      <c r="AM1474" s="40"/>
      <c r="AN1474" s="40"/>
    </row>
    <row r="1475" spans="8:40" x14ac:dyDescent="0.3">
      <c r="H1475" s="40"/>
      <c r="J1475" s="36"/>
      <c r="K1475" s="36"/>
      <c r="L1475" s="36"/>
      <c r="M1475" s="36"/>
      <c r="N1475" s="36"/>
      <c r="P1475" s="59"/>
      <c r="Q1475" s="36"/>
      <c r="S1475" s="36"/>
      <c r="T1475" s="36"/>
      <c r="U1475" s="36"/>
      <c r="AM1475" s="40"/>
      <c r="AN1475" s="40"/>
    </row>
    <row r="1476" spans="8:40" x14ac:dyDescent="0.3">
      <c r="H1476" s="40"/>
      <c r="J1476" s="36"/>
      <c r="K1476" s="36"/>
      <c r="L1476" s="36"/>
      <c r="M1476" s="36"/>
      <c r="N1476" s="36"/>
      <c r="P1476" s="59"/>
      <c r="Q1476" s="36"/>
      <c r="S1476" s="36"/>
      <c r="T1476" s="36"/>
      <c r="U1476" s="36"/>
      <c r="AM1476" s="40"/>
      <c r="AN1476" s="40"/>
    </row>
    <row r="1477" spans="8:40" x14ac:dyDescent="0.3">
      <c r="H1477" s="40"/>
      <c r="J1477" s="36"/>
      <c r="K1477" s="36"/>
      <c r="L1477" s="36"/>
      <c r="M1477" s="36"/>
      <c r="N1477" s="36"/>
      <c r="P1477" s="59"/>
      <c r="Q1477" s="36"/>
      <c r="S1477" s="36"/>
      <c r="T1477" s="36"/>
      <c r="U1477" s="36"/>
      <c r="AM1477" s="40"/>
      <c r="AN1477" s="40"/>
    </row>
    <row r="1478" spans="8:40" x14ac:dyDescent="0.3">
      <c r="H1478" s="40"/>
      <c r="J1478" s="36"/>
      <c r="K1478" s="36"/>
      <c r="L1478" s="36"/>
      <c r="M1478" s="36"/>
      <c r="N1478" s="36"/>
      <c r="P1478" s="59"/>
      <c r="Q1478" s="36"/>
      <c r="S1478" s="36"/>
      <c r="T1478" s="36"/>
      <c r="U1478" s="36"/>
      <c r="AM1478" s="40"/>
      <c r="AN1478" s="40"/>
    </row>
    <row r="1479" spans="8:40" x14ac:dyDescent="0.3">
      <c r="H1479" s="40"/>
      <c r="J1479" s="36"/>
      <c r="K1479" s="36"/>
      <c r="L1479" s="36"/>
      <c r="M1479" s="36"/>
      <c r="N1479" s="36"/>
      <c r="P1479" s="59"/>
      <c r="Q1479" s="36"/>
      <c r="S1479" s="36"/>
      <c r="T1479" s="36"/>
      <c r="U1479" s="36"/>
      <c r="AM1479" s="40"/>
      <c r="AN1479" s="40"/>
    </row>
    <row r="1480" spans="8:40" x14ac:dyDescent="0.3">
      <c r="H1480" s="40"/>
      <c r="J1480" s="36"/>
      <c r="K1480" s="36"/>
      <c r="L1480" s="36"/>
      <c r="M1480" s="36"/>
      <c r="N1480" s="36"/>
      <c r="P1480" s="59"/>
      <c r="Q1480" s="36"/>
      <c r="S1480" s="36"/>
      <c r="T1480" s="36"/>
      <c r="U1480" s="36"/>
      <c r="AM1480" s="40"/>
      <c r="AN1480" s="40"/>
    </row>
    <row r="1481" spans="8:40" x14ac:dyDescent="0.3">
      <c r="H1481" s="40"/>
      <c r="J1481" s="36"/>
      <c r="K1481" s="36"/>
      <c r="L1481" s="36"/>
      <c r="M1481" s="36"/>
      <c r="N1481" s="36"/>
      <c r="P1481" s="59"/>
      <c r="Q1481" s="36"/>
      <c r="S1481" s="36"/>
      <c r="T1481" s="36"/>
      <c r="U1481" s="36"/>
      <c r="AM1481" s="40"/>
      <c r="AN1481" s="40"/>
    </row>
    <row r="1482" spans="8:40" x14ac:dyDescent="0.3">
      <c r="H1482" s="40"/>
      <c r="J1482" s="36"/>
      <c r="K1482" s="36"/>
      <c r="L1482" s="36"/>
      <c r="M1482" s="36"/>
      <c r="N1482" s="36"/>
      <c r="P1482" s="59"/>
      <c r="Q1482" s="36"/>
      <c r="S1482" s="36"/>
      <c r="T1482" s="36"/>
      <c r="U1482" s="36"/>
      <c r="AM1482" s="40"/>
      <c r="AN1482" s="40"/>
    </row>
    <row r="1483" spans="8:40" x14ac:dyDescent="0.3">
      <c r="H1483" s="40"/>
      <c r="J1483" s="36"/>
      <c r="K1483" s="36"/>
      <c r="L1483" s="36"/>
      <c r="M1483" s="36"/>
      <c r="N1483" s="36"/>
      <c r="P1483" s="59"/>
      <c r="Q1483" s="36"/>
      <c r="S1483" s="36"/>
      <c r="T1483" s="36"/>
      <c r="U1483" s="36"/>
      <c r="AM1483" s="40"/>
      <c r="AN1483" s="40"/>
    </row>
    <row r="1484" spans="8:40" x14ac:dyDescent="0.3">
      <c r="H1484" s="40"/>
      <c r="J1484" s="36"/>
      <c r="K1484" s="36"/>
      <c r="L1484" s="36"/>
      <c r="M1484" s="36"/>
      <c r="N1484" s="36"/>
      <c r="P1484" s="59"/>
      <c r="Q1484" s="36"/>
      <c r="S1484" s="36"/>
      <c r="T1484" s="36"/>
      <c r="U1484" s="36"/>
      <c r="AM1484" s="40"/>
      <c r="AN1484" s="40"/>
    </row>
    <row r="1485" spans="8:40" x14ac:dyDescent="0.3">
      <c r="H1485" s="40"/>
      <c r="J1485" s="36"/>
      <c r="K1485" s="36"/>
      <c r="L1485" s="36"/>
      <c r="M1485" s="36"/>
      <c r="N1485" s="36"/>
      <c r="P1485" s="59"/>
      <c r="Q1485" s="36"/>
      <c r="S1485" s="36"/>
      <c r="T1485" s="36"/>
      <c r="U1485" s="36"/>
      <c r="AM1485" s="40"/>
      <c r="AN1485" s="40"/>
    </row>
    <row r="1486" spans="8:40" x14ac:dyDescent="0.3">
      <c r="H1486" s="40"/>
      <c r="J1486" s="36"/>
      <c r="K1486" s="36"/>
      <c r="L1486" s="36"/>
      <c r="M1486" s="36"/>
      <c r="N1486" s="36"/>
      <c r="P1486" s="59"/>
      <c r="Q1486" s="36"/>
      <c r="S1486" s="36"/>
      <c r="T1486" s="36"/>
      <c r="U1486" s="36"/>
      <c r="AM1486" s="40"/>
      <c r="AN1486" s="40"/>
    </row>
    <row r="1487" spans="8:40" x14ac:dyDescent="0.3">
      <c r="H1487" s="40"/>
      <c r="J1487" s="36"/>
      <c r="K1487" s="36"/>
      <c r="L1487" s="36"/>
      <c r="M1487" s="36"/>
      <c r="N1487" s="36"/>
      <c r="P1487" s="59"/>
      <c r="Q1487" s="36"/>
      <c r="S1487" s="36"/>
      <c r="T1487" s="36"/>
      <c r="U1487" s="36"/>
      <c r="AM1487" s="40"/>
      <c r="AN1487" s="40"/>
    </row>
    <row r="1488" spans="8:40" x14ac:dyDescent="0.3">
      <c r="H1488" s="40"/>
      <c r="J1488" s="36"/>
      <c r="K1488" s="36"/>
      <c r="L1488" s="36"/>
      <c r="M1488" s="36"/>
      <c r="N1488" s="36"/>
      <c r="P1488" s="59"/>
      <c r="Q1488" s="36"/>
      <c r="S1488" s="36"/>
      <c r="T1488" s="36"/>
      <c r="U1488" s="36"/>
      <c r="AM1488" s="40"/>
      <c r="AN1488" s="40"/>
    </row>
    <row r="1489" spans="8:40" x14ac:dyDescent="0.3">
      <c r="H1489" s="40"/>
      <c r="J1489" s="36"/>
      <c r="K1489" s="36"/>
      <c r="L1489" s="36"/>
      <c r="M1489" s="36"/>
      <c r="N1489" s="36"/>
      <c r="P1489" s="59"/>
      <c r="Q1489" s="36"/>
      <c r="S1489" s="36"/>
      <c r="T1489" s="36"/>
      <c r="U1489" s="36"/>
      <c r="AM1489" s="40"/>
      <c r="AN1489" s="40"/>
    </row>
    <row r="1490" spans="8:40" x14ac:dyDescent="0.3">
      <c r="H1490" s="40"/>
      <c r="J1490" s="36"/>
      <c r="K1490" s="36"/>
      <c r="L1490" s="36"/>
      <c r="M1490" s="36"/>
      <c r="N1490" s="36"/>
      <c r="P1490" s="59"/>
      <c r="Q1490" s="36"/>
      <c r="S1490" s="36"/>
      <c r="T1490" s="36"/>
      <c r="U1490" s="36"/>
      <c r="AM1490" s="40"/>
      <c r="AN1490" s="40"/>
    </row>
    <row r="1491" spans="8:40" x14ac:dyDescent="0.3">
      <c r="H1491" s="40"/>
      <c r="J1491" s="36"/>
      <c r="K1491" s="36"/>
      <c r="L1491" s="36"/>
      <c r="M1491" s="36"/>
      <c r="N1491" s="36"/>
      <c r="P1491" s="59"/>
      <c r="Q1491" s="36"/>
      <c r="S1491" s="36"/>
      <c r="T1491" s="36"/>
      <c r="U1491" s="36"/>
      <c r="AM1491" s="40"/>
      <c r="AN1491" s="40"/>
    </row>
    <row r="1492" spans="8:40" x14ac:dyDescent="0.3">
      <c r="H1492" s="40"/>
      <c r="J1492" s="36"/>
      <c r="K1492" s="36"/>
      <c r="L1492" s="36"/>
      <c r="M1492" s="36"/>
      <c r="N1492" s="36"/>
      <c r="P1492" s="59"/>
      <c r="Q1492" s="36"/>
      <c r="S1492" s="36"/>
      <c r="U1492" s="36"/>
      <c r="AM1492" s="40"/>
      <c r="AN1492" s="40"/>
    </row>
    <row r="1493" spans="8:40" x14ac:dyDescent="0.3">
      <c r="H1493" s="40"/>
      <c r="J1493" s="36"/>
      <c r="K1493" s="36"/>
      <c r="L1493" s="36"/>
      <c r="M1493" s="36"/>
      <c r="N1493" s="36"/>
      <c r="P1493" s="59"/>
      <c r="Q1493" s="36"/>
      <c r="S1493" s="36"/>
      <c r="U1493" s="36"/>
      <c r="AM1493" s="40"/>
      <c r="AN1493" s="40"/>
    </row>
    <row r="1494" spans="8:40" x14ac:dyDescent="0.3">
      <c r="H1494" s="40"/>
      <c r="J1494" s="36"/>
      <c r="K1494" s="36"/>
      <c r="L1494" s="36"/>
      <c r="M1494" s="36"/>
      <c r="N1494" s="36"/>
      <c r="P1494" s="59"/>
      <c r="Q1494" s="36"/>
      <c r="S1494" s="36"/>
      <c r="U1494" s="36"/>
      <c r="AM1494" s="40"/>
      <c r="AN1494" s="40"/>
    </row>
    <row r="1495" spans="8:40" x14ac:dyDescent="0.3">
      <c r="H1495" s="40"/>
      <c r="J1495" s="36"/>
      <c r="K1495" s="36"/>
      <c r="L1495" s="36"/>
      <c r="M1495" s="36"/>
      <c r="N1495" s="36"/>
      <c r="P1495" s="59"/>
      <c r="Q1495" s="36"/>
      <c r="S1495" s="36"/>
      <c r="U1495" s="36"/>
      <c r="AM1495" s="40"/>
      <c r="AN1495" s="40"/>
    </row>
    <row r="1496" spans="8:40" x14ac:dyDescent="0.3">
      <c r="H1496" s="40"/>
      <c r="J1496" s="36"/>
      <c r="K1496" s="36"/>
      <c r="L1496" s="36"/>
      <c r="M1496" s="36"/>
      <c r="N1496" s="36"/>
      <c r="P1496" s="59"/>
      <c r="Q1496" s="36"/>
      <c r="S1496" s="36"/>
      <c r="U1496" s="36"/>
      <c r="AM1496" s="40"/>
      <c r="AN1496" s="40"/>
    </row>
    <row r="1497" spans="8:40" x14ac:dyDescent="0.3">
      <c r="H1497" s="40"/>
      <c r="J1497" s="36"/>
      <c r="K1497" s="36"/>
      <c r="L1497" s="36"/>
      <c r="M1497" s="36"/>
      <c r="N1497" s="36"/>
      <c r="P1497" s="59"/>
      <c r="Q1497" s="36"/>
      <c r="S1497" s="36"/>
      <c r="U1497" s="36"/>
      <c r="AM1497" s="40"/>
      <c r="AN1497" s="40"/>
    </row>
    <row r="1498" spans="8:40" x14ac:dyDescent="0.3">
      <c r="H1498" s="40"/>
      <c r="J1498" s="36"/>
      <c r="K1498" s="36"/>
      <c r="L1498" s="36"/>
      <c r="M1498" s="36"/>
      <c r="N1498" s="36"/>
      <c r="P1498" s="59"/>
      <c r="Q1498" s="36"/>
      <c r="S1498" s="36"/>
      <c r="U1498" s="36"/>
      <c r="AM1498" s="40"/>
      <c r="AN1498" s="40"/>
    </row>
    <row r="1499" spans="8:40" x14ac:dyDescent="0.3">
      <c r="H1499" s="40"/>
      <c r="J1499" s="36"/>
      <c r="K1499" s="36"/>
      <c r="L1499" s="36"/>
      <c r="M1499" s="36"/>
      <c r="N1499" s="36"/>
      <c r="P1499" s="59"/>
      <c r="Q1499" s="36"/>
      <c r="S1499" s="36"/>
      <c r="U1499" s="36"/>
      <c r="AM1499" s="40"/>
      <c r="AN1499" s="40"/>
    </row>
    <row r="1500" spans="8:40" x14ac:dyDescent="0.3">
      <c r="H1500" s="40"/>
      <c r="J1500" s="36"/>
      <c r="K1500" s="36"/>
      <c r="L1500" s="36"/>
      <c r="M1500" s="36"/>
      <c r="N1500" s="36"/>
      <c r="P1500" s="59"/>
      <c r="Q1500" s="36"/>
      <c r="S1500" s="36"/>
      <c r="U1500" s="36"/>
      <c r="AM1500" s="40"/>
      <c r="AN1500" s="40"/>
    </row>
    <row r="1501" spans="8:40" x14ac:dyDescent="0.3">
      <c r="H1501" s="40"/>
      <c r="J1501" s="36"/>
      <c r="K1501" s="36"/>
      <c r="L1501" s="36"/>
      <c r="M1501" s="36"/>
      <c r="N1501" s="36"/>
      <c r="P1501" s="59"/>
      <c r="Q1501" s="36"/>
      <c r="S1501" s="36"/>
      <c r="U1501" s="36"/>
      <c r="AM1501" s="40"/>
      <c r="AN1501" s="40"/>
    </row>
    <row r="1502" spans="8:40" x14ac:dyDescent="0.3">
      <c r="H1502" s="40"/>
      <c r="J1502" s="36"/>
      <c r="K1502" s="36"/>
      <c r="L1502" s="36"/>
      <c r="M1502" s="36"/>
      <c r="N1502" s="36"/>
      <c r="P1502" s="59"/>
      <c r="Q1502" s="36"/>
      <c r="S1502" s="36"/>
      <c r="U1502" s="36"/>
      <c r="AM1502" s="40"/>
      <c r="AN1502" s="40"/>
    </row>
    <row r="1503" spans="8:40" x14ac:dyDescent="0.3">
      <c r="H1503" s="40"/>
      <c r="J1503" s="36"/>
      <c r="K1503" s="36"/>
      <c r="L1503" s="36"/>
      <c r="M1503" s="36"/>
      <c r="N1503" s="36"/>
      <c r="P1503" s="59"/>
      <c r="Q1503" s="36"/>
      <c r="S1503" s="36"/>
      <c r="U1503" s="36"/>
      <c r="AM1503" s="40"/>
      <c r="AN1503" s="40"/>
    </row>
    <row r="1504" spans="8:40" x14ac:dyDescent="0.3">
      <c r="H1504" s="40"/>
      <c r="J1504" s="36"/>
      <c r="K1504" s="36"/>
      <c r="L1504" s="36"/>
      <c r="M1504" s="36"/>
      <c r="N1504" s="36"/>
      <c r="P1504" s="59"/>
      <c r="Q1504" s="36"/>
      <c r="S1504" s="36"/>
      <c r="U1504" s="36"/>
      <c r="AM1504" s="40"/>
      <c r="AN1504" s="40"/>
    </row>
    <row r="1505" spans="8:40" x14ac:dyDescent="0.3">
      <c r="H1505" s="40"/>
      <c r="J1505" s="36"/>
      <c r="K1505" s="36"/>
      <c r="L1505" s="36"/>
      <c r="M1505" s="36"/>
      <c r="N1505" s="36"/>
      <c r="P1505" s="59"/>
      <c r="Q1505" s="36"/>
      <c r="S1505" s="36"/>
      <c r="U1505" s="36"/>
      <c r="AM1505" s="40"/>
      <c r="AN1505" s="40"/>
    </row>
    <row r="1506" spans="8:40" x14ac:dyDescent="0.3">
      <c r="H1506" s="40"/>
      <c r="J1506" s="36"/>
      <c r="K1506" s="36"/>
      <c r="L1506" s="36"/>
      <c r="M1506" s="36"/>
      <c r="N1506" s="36"/>
      <c r="P1506" s="59"/>
      <c r="Q1506" s="36"/>
      <c r="S1506" s="36"/>
      <c r="U1506" s="36"/>
      <c r="AM1506" s="40"/>
      <c r="AN1506" s="40"/>
    </row>
    <row r="1507" spans="8:40" x14ac:dyDescent="0.3">
      <c r="H1507" s="40"/>
      <c r="J1507" s="36"/>
      <c r="K1507" s="36"/>
      <c r="L1507" s="36"/>
      <c r="M1507" s="36"/>
      <c r="N1507" s="36"/>
      <c r="P1507" s="59"/>
      <c r="Q1507" s="36"/>
      <c r="S1507" s="36"/>
      <c r="U1507" s="36"/>
      <c r="AM1507" s="40"/>
      <c r="AN1507" s="40"/>
    </row>
    <row r="1508" spans="8:40" x14ac:dyDescent="0.3">
      <c r="H1508" s="40"/>
      <c r="J1508" s="36"/>
      <c r="K1508" s="36"/>
      <c r="L1508" s="36"/>
      <c r="M1508" s="36"/>
      <c r="N1508" s="36"/>
      <c r="P1508" s="59"/>
      <c r="Q1508" s="36"/>
      <c r="S1508" s="36"/>
      <c r="U1508" s="36"/>
      <c r="AM1508" s="40"/>
      <c r="AN1508" s="40"/>
    </row>
    <row r="1509" spans="8:40" x14ac:dyDescent="0.3">
      <c r="H1509" s="40"/>
      <c r="J1509" s="36"/>
      <c r="K1509" s="36"/>
      <c r="L1509" s="36"/>
      <c r="M1509" s="36"/>
      <c r="N1509" s="36"/>
      <c r="P1509" s="59"/>
      <c r="Q1509" s="36"/>
      <c r="S1509" s="36"/>
      <c r="U1509" s="36"/>
      <c r="AM1509" s="40"/>
      <c r="AN1509" s="40"/>
    </row>
    <row r="1510" spans="8:40" x14ac:dyDescent="0.3">
      <c r="H1510" s="40"/>
      <c r="J1510" s="36"/>
      <c r="K1510" s="36"/>
      <c r="L1510" s="36"/>
      <c r="M1510" s="36"/>
      <c r="N1510" s="36"/>
      <c r="P1510" s="59"/>
      <c r="Q1510" s="36"/>
      <c r="S1510" s="36"/>
      <c r="U1510" s="36"/>
      <c r="AM1510" s="40"/>
      <c r="AN1510" s="40"/>
    </row>
    <row r="1511" spans="8:40" x14ac:dyDescent="0.3">
      <c r="H1511" s="40"/>
      <c r="J1511" s="36"/>
      <c r="K1511" s="36"/>
      <c r="L1511" s="36"/>
      <c r="M1511" s="36"/>
      <c r="N1511" s="36"/>
      <c r="P1511" s="59"/>
      <c r="Q1511" s="36"/>
      <c r="S1511" s="36"/>
      <c r="U1511" s="36"/>
      <c r="AM1511" s="40"/>
      <c r="AN1511" s="40"/>
    </row>
    <row r="1512" spans="8:40" x14ac:dyDescent="0.3">
      <c r="H1512" s="40"/>
      <c r="J1512" s="36"/>
      <c r="K1512" s="36"/>
      <c r="L1512" s="36"/>
      <c r="M1512" s="36"/>
      <c r="N1512" s="36"/>
      <c r="P1512" s="59"/>
      <c r="Q1512" s="36"/>
      <c r="S1512" s="36"/>
      <c r="U1512" s="36"/>
      <c r="AM1512" s="40"/>
      <c r="AN1512" s="40"/>
    </row>
    <row r="1513" spans="8:40" x14ac:dyDescent="0.3">
      <c r="H1513" s="40"/>
      <c r="J1513" s="36"/>
      <c r="K1513" s="36"/>
      <c r="L1513" s="36"/>
      <c r="M1513" s="36"/>
      <c r="N1513" s="36"/>
      <c r="P1513" s="59"/>
      <c r="Q1513" s="36"/>
      <c r="S1513" s="36"/>
      <c r="U1513" s="36"/>
      <c r="AM1513" s="40"/>
      <c r="AN1513" s="40"/>
    </row>
    <row r="1514" spans="8:40" x14ac:dyDescent="0.3">
      <c r="H1514" s="40"/>
      <c r="J1514" s="36"/>
      <c r="K1514" s="36"/>
      <c r="L1514" s="36"/>
      <c r="M1514" s="36"/>
      <c r="N1514" s="36"/>
      <c r="P1514" s="59"/>
      <c r="Q1514" s="36"/>
      <c r="S1514" s="36"/>
      <c r="U1514" s="36"/>
      <c r="AM1514" s="40"/>
      <c r="AN1514" s="40"/>
    </row>
    <row r="1515" spans="8:40" x14ac:dyDescent="0.3">
      <c r="H1515" s="40"/>
      <c r="J1515" s="36"/>
      <c r="K1515" s="36"/>
      <c r="L1515" s="36"/>
      <c r="M1515" s="36"/>
      <c r="N1515" s="36"/>
      <c r="P1515" s="59"/>
      <c r="Q1515" s="36"/>
      <c r="S1515" s="36"/>
      <c r="U1515" s="36"/>
      <c r="AM1515" s="40"/>
      <c r="AN1515" s="40"/>
    </row>
    <row r="1516" spans="8:40" x14ac:dyDescent="0.3">
      <c r="H1516" s="40"/>
      <c r="J1516" s="36"/>
      <c r="K1516" s="36"/>
      <c r="L1516" s="36"/>
      <c r="M1516" s="36"/>
      <c r="N1516" s="36"/>
      <c r="P1516" s="59"/>
      <c r="Q1516" s="36"/>
      <c r="S1516" s="36"/>
      <c r="U1516" s="36"/>
      <c r="AM1516" s="40"/>
      <c r="AN1516" s="40"/>
    </row>
    <row r="1517" spans="8:40" x14ac:dyDescent="0.3">
      <c r="H1517" s="40"/>
      <c r="J1517" s="36"/>
      <c r="K1517" s="36"/>
      <c r="L1517" s="36"/>
      <c r="M1517" s="36"/>
      <c r="N1517" s="36"/>
      <c r="P1517" s="59"/>
      <c r="Q1517" s="36"/>
      <c r="S1517" s="36"/>
      <c r="U1517" s="36"/>
      <c r="AM1517" s="40"/>
      <c r="AN1517" s="40"/>
    </row>
    <row r="1518" spans="8:40" x14ac:dyDescent="0.3">
      <c r="H1518" s="40"/>
      <c r="J1518" s="36"/>
      <c r="K1518" s="36"/>
      <c r="L1518" s="36"/>
      <c r="M1518" s="36"/>
      <c r="N1518" s="36"/>
      <c r="P1518" s="59"/>
      <c r="Q1518" s="36"/>
      <c r="S1518" s="36"/>
      <c r="U1518" s="36"/>
      <c r="AM1518" s="40"/>
      <c r="AN1518" s="40"/>
    </row>
    <row r="1519" spans="8:40" x14ac:dyDescent="0.3">
      <c r="H1519" s="40"/>
      <c r="J1519" s="36"/>
      <c r="K1519" s="36"/>
      <c r="L1519" s="36"/>
      <c r="M1519" s="36"/>
      <c r="N1519" s="36"/>
      <c r="P1519" s="59"/>
      <c r="Q1519" s="36"/>
      <c r="S1519" s="36"/>
      <c r="U1519" s="36"/>
      <c r="AM1519" s="40"/>
      <c r="AN1519" s="40"/>
    </row>
    <row r="1520" spans="8:40" x14ac:dyDescent="0.3">
      <c r="H1520" s="40"/>
      <c r="J1520" s="36"/>
      <c r="K1520" s="36"/>
      <c r="L1520" s="36"/>
      <c r="M1520" s="36"/>
      <c r="N1520" s="36"/>
      <c r="P1520" s="59"/>
      <c r="Q1520" s="36"/>
      <c r="S1520" s="36"/>
      <c r="U1520" s="36"/>
      <c r="AM1520" s="40"/>
      <c r="AN1520" s="40"/>
    </row>
    <row r="1521" spans="8:40" x14ac:dyDescent="0.3">
      <c r="H1521" s="40"/>
      <c r="J1521" s="36"/>
      <c r="K1521" s="36"/>
      <c r="L1521" s="36"/>
      <c r="M1521" s="36"/>
      <c r="N1521" s="36"/>
      <c r="P1521" s="59"/>
      <c r="Q1521" s="36"/>
      <c r="S1521" s="36"/>
      <c r="U1521" s="36"/>
      <c r="AM1521" s="40"/>
      <c r="AN1521" s="40"/>
    </row>
    <row r="1522" spans="8:40" x14ac:dyDescent="0.3">
      <c r="H1522" s="40"/>
      <c r="J1522" s="36"/>
      <c r="K1522" s="36"/>
      <c r="L1522" s="36"/>
      <c r="M1522" s="36"/>
      <c r="N1522" s="36"/>
      <c r="P1522" s="59"/>
      <c r="Q1522" s="36"/>
      <c r="S1522" s="36"/>
      <c r="U1522" s="36"/>
      <c r="AM1522" s="40"/>
      <c r="AN1522" s="40"/>
    </row>
    <row r="1523" spans="8:40" x14ac:dyDescent="0.3">
      <c r="H1523" s="40"/>
      <c r="J1523" s="36"/>
      <c r="K1523" s="36"/>
      <c r="L1523" s="36"/>
      <c r="M1523" s="36"/>
      <c r="N1523" s="36"/>
      <c r="P1523" s="59"/>
      <c r="Q1523" s="36"/>
      <c r="S1523" s="36"/>
      <c r="U1523" s="36"/>
      <c r="AM1523" s="40"/>
      <c r="AN1523" s="40"/>
    </row>
    <row r="1524" spans="8:40" x14ac:dyDescent="0.3">
      <c r="H1524" s="40"/>
      <c r="J1524" s="36"/>
      <c r="K1524" s="36"/>
      <c r="L1524" s="36"/>
      <c r="M1524" s="36"/>
      <c r="N1524" s="36"/>
      <c r="P1524" s="59"/>
      <c r="Q1524" s="36"/>
      <c r="S1524" s="36"/>
      <c r="U1524" s="36"/>
      <c r="AM1524" s="40"/>
      <c r="AN1524" s="40"/>
    </row>
    <row r="1525" spans="8:40" x14ac:dyDescent="0.3">
      <c r="H1525" s="40"/>
      <c r="J1525" s="36"/>
      <c r="K1525" s="36"/>
      <c r="L1525" s="36"/>
      <c r="M1525" s="36"/>
      <c r="N1525" s="36"/>
      <c r="P1525" s="59"/>
      <c r="Q1525" s="36"/>
      <c r="S1525" s="36"/>
      <c r="U1525" s="36"/>
      <c r="AM1525" s="40"/>
      <c r="AN1525" s="40"/>
    </row>
    <row r="1526" spans="8:40" x14ac:dyDescent="0.3">
      <c r="H1526" s="40"/>
      <c r="J1526" s="36"/>
      <c r="K1526" s="36"/>
      <c r="L1526" s="36"/>
      <c r="M1526" s="36"/>
      <c r="N1526" s="36"/>
      <c r="P1526" s="59"/>
      <c r="Q1526" s="36"/>
      <c r="S1526" s="36"/>
      <c r="U1526" s="36"/>
      <c r="AM1526" s="40"/>
      <c r="AN1526" s="40"/>
    </row>
    <row r="1527" spans="8:40" x14ac:dyDescent="0.3">
      <c r="H1527" s="40"/>
      <c r="J1527" s="36"/>
      <c r="K1527" s="36"/>
      <c r="L1527" s="36"/>
      <c r="M1527" s="36"/>
      <c r="N1527" s="36"/>
      <c r="P1527" s="59"/>
      <c r="Q1527" s="36"/>
      <c r="S1527" s="36"/>
      <c r="U1527" s="36"/>
      <c r="AM1527" s="40"/>
      <c r="AN1527" s="40"/>
    </row>
    <row r="1528" spans="8:40" x14ac:dyDescent="0.3">
      <c r="H1528" s="40"/>
      <c r="J1528" s="36"/>
      <c r="K1528" s="36"/>
      <c r="L1528" s="36"/>
      <c r="M1528" s="36"/>
      <c r="N1528" s="36"/>
      <c r="P1528" s="59"/>
      <c r="Q1528" s="36"/>
      <c r="S1528" s="36"/>
      <c r="U1528" s="36"/>
      <c r="AM1528" s="40"/>
      <c r="AN1528" s="40"/>
    </row>
    <row r="1529" spans="8:40" x14ac:dyDescent="0.3">
      <c r="H1529" s="40"/>
      <c r="J1529" s="36"/>
      <c r="K1529" s="36"/>
      <c r="L1529" s="36"/>
      <c r="M1529" s="36"/>
      <c r="N1529" s="36"/>
      <c r="P1529" s="59"/>
      <c r="Q1529" s="36"/>
      <c r="S1529" s="36"/>
      <c r="U1529" s="36"/>
      <c r="AM1529" s="40"/>
      <c r="AN1529" s="40"/>
    </row>
    <row r="1530" spans="8:40" x14ac:dyDescent="0.3">
      <c r="H1530" s="40"/>
      <c r="J1530" s="36"/>
      <c r="K1530" s="36"/>
      <c r="L1530" s="36"/>
      <c r="M1530" s="36"/>
      <c r="N1530" s="36"/>
      <c r="P1530" s="59"/>
      <c r="Q1530" s="36"/>
      <c r="S1530" s="36"/>
      <c r="U1530" s="36"/>
      <c r="AM1530" s="40"/>
      <c r="AN1530" s="40"/>
    </row>
    <row r="1531" spans="8:40" x14ac:dyDescent="0.3">
      <c r="H1531" s="40"/>
      <c r="J1531" s="36"/>
      <c r="K1531" s="36"/>
      <c r="L1531" s="36"/>
      <c r="M1531" s="36"/>
      <c r="N1531" s="36"/>
      <c r="P1531" s="59"/>
      <c r="Q1531" s="36"/>
      <c r="S1531" s="36"/>
      <c r="U1531" s="36"/>
      <c r="AM1531" s="40"/>
      <c r="AN1531" s="40"/>
    </row>
    <row r="1532" spans="8:40" x14ac:dyDescent="0.3">
      <c r="H1532" s="40"/>
      <c r="J1532" s="36"/>
      <c r="K1532" s="36"/>
      <c r="L1532" s="36"/>
      <c r="M1532" s="36"/>
      <c r="N1532" s="36"/>
      <c r="P1532" s="59"/>
      <c r="Q1532" s="36"/>
      <c r="S1532" s="36"/>
      <c r="U1532" s="36"/>
      <c r="AM1532" s="40"/>
      <c r="AN1532" s="40"/>
    </row>
    <row r="1533" spans="8:40" x14ac:dyDescent="0.3">
      <c r="H1533" s="40"/>
      <c r="J1533" s="36"/>
      <c r="K1533" s="36"/>
      <c r="L1533" s="36"/>
      <c r="M1533" s="36"/>
      <c r="N1533" s="36"/>
      <c r="P1533" s="59"/>
      <c r="Q1533" s="36"/>
      <c r="S1533" s="36"/>
      <c r="U1533" s="36"/>
      <c r="AM1533" s="40"/>
      <c r="AN1533" s="40"/>
    </row>
    <row r="1534" spans="8:40" x14ac:dyDescent="0.3">
      <c r="H1534" s="40"/>
      <c r="J1534" s="36"/>
      <c r="K1534" s="36"/>
      <c r="L1534" s="36"/>
      <c r="M1534" s="36"/>
      <c r="N1534" s="36"/>
      <c r="P1534" s="59"/>
      <c r="Q1534" s="36"/>
      <c r="S1534" s="36"/>
      <c r="U1534" s="36"/>
      <c r="AM1534" s="40"/>
      <c r="AN1534" s="40"/>
    </row>
    <row r="1535" spans="8:40" x14ac:dyDescent="0.3">
      <c r="H1535" s="40"/>
      <c r="J1535" s="36"/>
      <c r="K1535" s="36"/>
      <c r="L1535" s="36"/>
      <c r="M1535" s="36"/>
      <c r="N1535" s="36"/>
      <c r="P1535" s="59"/>
      <c r="Q1535" s="36"/>
      <c r="S1535" s="36"/>
      <c r="U1535" s="36"/>
      <c r="AM1535" s="40"/>
      <c r="AN1535" s="40"/>
    </row>
    <row r="1536" spans="8:40" x14ac:dyDescent="0.3">
      <c r="H1536" s="40"/>
      <c r="J1536" s="36"/>
      <c r="K1536" s="36"/>
      <c r="L1536" s="36"/>
      <c r="M1536" s="36"/>
      <c r="N1536" s="36"/>
      <c r="P1536" s="59"/>
      <c r="Q1536" s="36"/>
      <c r="S1536" s="36"/>
      <c r="U1536" s="36"/>
      <c r="AM1536" s="40"/>
      <c r="AN1536" s="40"/>
    </row>
    <row r="1537" spans="8:40" x14ac:dyDescent="0.3">
      <c r="H1537" s="40"/>
      <c r="J1537" s="36"/>
      <c r="K1537" s="36"/>
      <c r="L1537" s="36"/>
      <c r="M1537" s="36"/>
      <c r="N1537" s="36"/>
      <c r="P1537" s="59"/>
      <c r="Q1537" s="36"/>
      <c r="S1537" s="36"/>
      <c r="U1537" s="36"/>
      <c r="AM1537" s="40"/>
      <c r="AN1537" s="40"/>
    </row>
    <row r="1538" spans="8:40" x14ac:dyDescent="0.3">
      <c r="H1538" s="40"/>
      <c r="J1538" s="36"/>
      <c r="K1538" s="36"/>
      <c r="L1538" s="36"/>
      <c r="M1538" s="36"/>
      <c r="N1538" s="36"/>
      <c r="P1538" s="59"/>
      <c r="Q1538" s="36"/>
      <c r="S1538" s="36"/>
      <c r="U1538" s="36"/>
      <c r="AM1538" s="40"/>
      <c r="AN1538" s="40"/>
    </row>
    <row r="1539" spans="8:40" x14ac:dyDescent="0.3">
      <c r="H1539" s="40"/>
      <c r="J1539" s="36"/>
      <c r="K1539" s="36"/>
      <c r="L1539" s="36"/>
      <c r="M1539" s="36"/>
      <c r="N1539" s="36"/>
      <c r="P1539" s="59"/>
      <c r="Q1539" s="36"/>
      <c r="S1539" s="36"/>
      <c r="U1539" s="36"/>
      <c r="AM1539" s="40"/>
      <c r="AN1539" s="40"/>
    </row>
    <row r="1540" spans="8:40" x14ac:dyDescent="0.3">
      <c r="H1540" s="40"/>
      <c r="J1540" s="36"/>
      <c r="K1540" s="36"/>
      <c r="L1540" s="36"/>
      <c r="M1540" s="36"/>
      <c r="N1540" s="36"/>
      <c r="P1540" s="59"/>
      <c r="Q1540" s="36"/>
      <c r="S1540" s="36"/>
      <c r="U1540" s="36"/>
      <c r="AM1540" s="40"/>
      <c r="AN1540" s="40"/>
    </row>
    <row r="1541" spans="8:40" x14ac:dyDescent="0.3">
      <c r="H1541" s="40"/>
      <c r="J1541" s="36"/>
      <c r="K1541" s="36"/>
      <c r="L1541" s="36"/>
      <c r="M1541" s="36"/>
      <c r="N1541" s="36"/>
      <c r="P1541" s="59"/>
      <c r="Q1541" s="36"/>
      <c r="S1541" s="36"/>
      <c r="U1541" s="36"/>
      <c r="AM1541" s="40"/>
      <c r="AN1541" s="40"/>
    </row>
    <row r="1542" spans="8:40" x14ac:dyDescent="0.3">
      <c r="H1542" s="40"/>
      <c r="J1542" s="36"/>
      <c r="K1542" s="36"/>
      <c r="L1542" s="36"/>
      <c r="M1542" s="36"/>
      <c r="N1542" s="36"/>
      <c r="P1542" s="59"/>
      <c r="Q1542" s="36"/>
      <c r="S1542" s="36"/>
      <c r="U1542" s="36"/>
      <c r="AM1542" s="40"/>
      <c r="AN1542" s="40"/>
    </row>
    <row r="1543" spans="8:40" x14ac:dyDescent="0.3">
      <c r="H1543" s="40"/>
      <c r="J1543" s="36"/>
      <c r="K1543" s="36"/>
      <c r="L1543" s="36"/>
      <c r="M1543" s="36"/>
      <c r="N1543" s="36"/>
      <c r="P1543" s="59"/>
      <c r="Q1543" s="36"/>
      <c r="S1543" s="36"/>
      <c r="U1543" s="36"/>
      <c r="AM1543" s="40"/>
      <c r="AN1543" s="40"/>
    </row>
    <row r="1544" spans="8:40" x14ac:dyDescent="0.3">
      <c r="H1544" s="40"/>
      <c r="J1544" s="36"/>
      <c r="K1544" s="36"/>
      <c r="L1544" s="36"/>
      <c r="M1544" s="36"/>
      <c r="N1544" s="36"/>
      <c r="P1544" s="59"/>
      <c r="Q1544" s="36"/>
      <c r="S1544" s="36"/>
      <c r="U1544" s="36"/>
      <c r="AM1544" s="40"/>
      <c r="AN1544" s="40"/>
    </row>
    <row r="1545" spans="8:40" x14ac:dyDescent="0.3">
      <c r="H1545" s="40"/>
      <c r="J1545" s="36"/>
      <c r="K1545" s="36"/>
      <c r="L1545" s="36"/>
      <c r="M1545" s="36"/>
      <c r="N1545" s="36"/>
      <c r="P1545" s="59"/>
      <c r="Q1545" s="36"/>
      <c r="S1545" s="36"/>
      <c r="U1545" s="36"/>
      <c r="AM1545" s="40"/>
      <c r="AN1545" s="40"/>
    </row>
    <row r="1546" spans="8:40" x14ac:dyDescent="0.3">
      <c r="H1546" s="40"/>
      <c r="J1546" s="36"/>
      <c r="K1546" s="36"/>
      <c r="L1546" s="36"/>
      <c r="M1546" s="36"/>
      <c r="N1546" s="36"/>
      <c r="P1546" s="59"/>
      <c r="Q1546" s="36"/>
      <c r="S1546" s="36"/>
      <c r="U1546" s="36"/>
      <c r="AM1546" s="40"/>
      <c r="AN1546" s="40"/>
    </row>
    <row r="1547" spans="8:40" x14ac:dyDescent="0.3">
      <c r="H1547" s="40"/>
      <c r="J1547" s="36"/>
      <c r="K1547" s="36"/>
      <c r="L1547" s="36"/>
      <c r="M1547" s="36"/>
      <c r="N1547" s="36"/>
      <c r="P1547" s="59"/>
      <c r="Q1547" s="36"/>
      <c r="S1547" s="36"/>
      <c r="U1547" s="36"/>
      <c r="AM1547" s="40"/>
      <c r="AN1547" s="40"/>
    </row>
    <row r="1548" spans="8:40" x14ac:dyDescent="0.3">
      <c r="H1548" s="40"/>
      <c r="J1548" s="36"/>
      <c r="K1548" s="36"/>
      <c r="L1548" s="36"/>
      <c r="M1548" s="36"/>
      <c r="N1548" s="36"/>
      <c r="P1548" s="59"/>
      <c r="Q1548" s="36"/>
      <c r="S1548" s="36"/>
      <c r="U1548" s="36"/>
      <c r="AM1548" s="40"/>
      <c r="AN1548" s="40"/>
    </row>
    <row r="1549" spans="8:40" x14ac:dyDescent="0.3">
      <c r="H1549" s="40"/>
      <c r="J1549" s="36"/>
      <c r="K1549" s="36"/>
      <c r="L1549" s="36"/>
      <c r="M1549" s="36"/>
      <c r="N1549" s="36"/>
      <c r="P1549" s="59"/>
      <c r="Q1549" s="36"/>
      <c r="S1549" s="36"/>
      <c r="U1549" s="36"/>
      <c r="AM1549" s="40"/>
      <c r="AN1549" s="40"/>
    </row>
    <row r="1550" spans="8:40" x14ac:dyDescent="0.3">
      <c r="H1550" s="40"/>
      <c r="J1550" s="36"/>
      <c r="K1550" s="36"/>
      <c r="L1550" s="36"/>
      <c r="M1550" s="36"/>
      <c r="N1550" s="36"/>
      <c r="P1550" s="59"/>
      <c r="Q1550" s="36"/>
      <c r="S1550" s="36"/>
      <c r="U1550" s="36"/>
      <c r="AM1550" s="40"/>
      <c r="AN1550" s="40"/>
    </row>
    <row r="1551" spans="8:40" x14ac:dyDescent="0.3">
      <c r="H1551" s="40"/>
      <c r="J1551" s="36"/>
      <c r="K1551" s="36"/>
      <c r="L1551" s="36"/>
      <c r="M1551" s="36"/>
      <c r="N1551" s="36"/>
      <c r="P1551" s="59"/>
      <c r="Q1551" s="36"/>
      <c r="S1551" s="36"/>
      <c r="U1551" s="36"/>
      <c r="AM1551" s="40"/>
      <c r="AN1551" s="40"/>
    </row>
    <row r="1552" spans="8:40" x14ac:dyDescent="0.3">
      <c r="H1552" s="40"/>
      <c r="J1552" s="36"/>
      <c r="K1552" s="36"/>
      <c r="L1552" s="36"/>
      <c r="M1552" s="36"/>
      <c r="N1552" s="36"/>
      <c r="P1552" s="59"/>
      <c r="Q1552" s="36"/>
      <c r="S1552" s="36"/>
      <c r="U1552" s="36"/>
      <c r="AM1552" s="40"/>
      <c r="AN1552" s="40"/>
    </row>
    <row r="1553" spans="8:40" x14ac:dyDescent="0.3">
      <c r="H1553" s="40"/>
      <c r="J1553" s="36"/>
      <c r="K1553" s="36"/>
      <c r="L1553" s="36"/>
      <c r="M1553" s="36"/>
      <c r="N1553" s="36"/>
      <c r="P1553" s="59"/>
      <c r="Q1553" s="36"/>
      <c r="S1553" s="36"/>
      <c r="U1553" s="36"/>
      <c r="AM1553" s="40"/>
      <c r="AN1553" s="40"/>
    </row>
    <row r="1554" spans="8:40" x14ac:dyDescent="0.3">
      <c r="H1554" s="40"/>
      <c r="J1554" s="36"/>
      <c r="K1554" s="36"/>
      <c r="L1554" s="36"/>
      <c r="M1554" s="36"/>
      <c r="N1554" s="36"/>
      <c r="P1554" s="59"/>
      <c r="Q1554" s="36"/>
      <c r="S1554" s="36"/>
      <c r="U1554" s="36"/>
      <c r="AM1554" s="40"/>
      <c r="AN1554" s="40"/>
    </row>
    <row r="1555" spans="8:40" x14ac:dyDescent="0.3">
      <c r="H1555" s="40"/>
      <c r="J1555" s="36"/>
      <c r="K1555" s="36"/>
      <c r="L1555" s="36"/>
      <c r="M1555" s="36"/>
      <c r="N1555" s="36"/>
      <c r="P1555" s="59"/>
      <c r="Q1555" s="36"/>
      <c r="S1555" s="36"/>
      <c r="U1555" s="36"/>
      <c r="AM1555" s="40"/>
      <c r="AN1555" s="40"/>
    </row>
    <row r="1556" spans="8:40" x14ac:dyDescent="0.3">
      <c r="H1556" s="40"/>
      <c r="J1556" s="36"/>
      <c r="K1556" s="36"/>
      <c r="L1556" s="36"/>
      <c r="M1556" s="36"/>
      <c r="N1556" s="36"/>
      <c r="P1556" s="59"/>
      <c r="Q1556" s="36"/>
      <c r="S1556" s="36"/>
      <c r="U1556" s="36"/>
      <c r="AM1556" s="40"/>
      <c r="AN1556" s="40"/>
    </row>
    <row r="1557" spans="8:40" x14ac:dyDescent="0.3">
      <c r="H1557" s="40"/>
      <c r="J1557" s="36"/>
      <c r="K1557" s="36"/>
      <c r="L1557" s="36"/>
      <c r="M1557" s="36"/>
      <c r="N1557" s="36"/>
      <c r="P1557" s="59"/>
      <c r="Q1557" s="36"/>
      <c r="S1557" s="36"/>
      <c r="U1557" s="36"/>
      <c r="AM1557" s="40"/>
      <c r="AN1557" s="40"/>
    </row>
    <row r="1558" spans="8:40" x14ac:dyDescent="0.3">
      <c r="H1558" s="40"/>
      <c r="J1558" s="36"/>
      <c r="K1558" s="36"/>
      <c r="L1558" s="36"/>
      <c r="M1558" s="36"/>
      <c r="N1558" s="36"/>
      <c r="P1558" s="59"/>
      <c r="Q1558" s="36"/>
      <c r="S1558" s="36"/>
      <c r="U1558" s="36"/>
      <c r="AM1558" s="40"/>
      <c r="AN1558" s="40"/>
    </row>
    <row r="1559" spans="8:40" x14ac:dyDescent="0.3">
      <c r="H1559" s="40"/>
      <c r="J1559" s="36"/>
      <c r="K1559" s="36"/>
      <c r="L1559" s="36"/>
      <c r="M1559" s="36"/>
      <c r="N1559" s="36"/>
      <c r="P1559" s="59"/>
      <c r="Q1559" s="36"/>
      <c r="S1559" s="36"/>
      <c r="U1559" s="36"/>
      <c r="AM1559" s="40"/>
      <c r="AN1559" s="40"/>
    </row>
    <row r="1560" spans="8:40" x14ac:dyDescent="0.3">
      <c r="H1560" s="40"/>
      <c r="J1560" s="36"/>
      <c r="K1560" s="36"/>
      <c r="L1560" s="36"/>
      <c r="M1560" s="36"/>
      <c r="N1560" s="36"/>
      <c r="P1560" s="59"/>
      <c r="Q1560" s="36"/>
      <c r="S1560" s="36"/>
      <c r="U1560" s="36"/>
      <c r="AM1560" s="40"/>
      <c r="AN1560" s="40"/>
    </row>
    <row r="1561" spans="8:40" x14ac:dyDescent="0.3">
      <c r="H1561" s="40"/>
      <c r="J1561" s="36"/>
      <c r="K1561" s="36"/>
      <c r="L1561" s="36"/>
      <c r="M1561" s="36"/>
      <c r="N1561" s="36"/>
      <c r="P1561" s="59"/>
      <c r="Q1561" s="36"/>
      <c r="S1561" s="36"/>
      <c r="U1561" s="36"/>
      <c r="AM1561" s="40"/>
      <c r="AN1561" s="40"/>
    </row>
    <row r="1562" spans="8:40" x14ac:dyDescent="0.3">
      <c r="H1562" s="40"/>
      <c r="J1562" s="36"/>
      <c r="K1562" s="36"/>
      <c r="L1562" s="36"/>
      <c r="M1562" s="36"/>
      <c r="N1562" s="36"/>
      <c r="P1562" s="59"/>
      <c r="Q1562" s="36"/>
      <c r="S1562" s="36"/>
      <c r="U1562" s="36"/>
      <c r="AM1562" s="40"/>
      <c r="AN1562" s="40"/>
    </row>
    <row r="1563" spans="8:40" x14ac:dyDescent="0.3">
      <c r="H1563" s="40"/>
      <c r="J1563" s="36"/>
      <c r="K1563" s="36"/>
      <c r="L1563" s="36"/>
      <c r="M1563" s="36"/>
      <c r="N1563" s="36"/>
      <c r="P1563" s="59"/>
      <c r="Q1563" s="36"/>
      <c r="S1563" s="36"/>
      <c r="U1563" s="36"/>
      <c r="AM1563" s="40"/>
      <c r="AN1563" s="40"/>
    </row>
    <row r="1564" spans="8:40" x14ac:dyDescent="0.3">
      <c r="H1564" s="40"/>
      <c r="J1564" s="36"/>
      <c r="K1564" s="36"/>
      <c r="L1564" s="36"/>
      <c r="M1564" s="36"/>
      <c r="N1564" s="36"/>
      <c r="P1564" s="59"/>
      <c r="Q1564" s="36"/>
      <c r="S1564" s="36"/>
      <c r="U1564" s="36"/>
      <c r="AM1564" s="40"/>
      <c r="AN1564" s="40"/>
    </row>
    <row r="1565" spans="8:40" x14ac:dyDescent="0.3">
      <c r="H1565" s="40"/>
      <c r="J1565" s="36"/>
      <c r="K1565" s="36"/>
      <c r="L1565" s="36"/>
      <c r="M1565" s="36"/>
      <c r="N1565" s="36"/>
      <c r="P1565" s="59"/>
      <c r="Q1565" s="36"/>
      <c r="S1565" s="36"/>
      <c r="U1565" s="36"/>
      <c r="AM1565" s="40"/>
      <c r="AN1565" s="40"/>
    </row>
    <row r="1566" spans="8:40" x14ac:dyDescent="0.3">
      <c r="H1566" s="40"/>
      <c r="J1566" s="36"/>
      <c r="K1566" s="36"/>
      <c r="L1566" s="36"/>
      <c r="M1566" s="36"/>
      <c r="N1566" s="36"/>
      <c r="P1566" s="59"/>
      <c r="Q1566" s="36"/>
      <c r="S1566" s="36"/>
      <c r="U1566" s="36"/>
      <c r="AM1566" s="40"/>
      <c r="AN1566" s="40"/>
    </row>
    <row r="1567" spans="8:40" x14ac:dyDescent="0.3">
      <c r="H1567" s="40"/>
      <c r="J1567" s="36"/>
      <c r="K1567" s="36"/>
      <c r="L1567" s="36"/>
      <c r="M1567" s="36"/>
      <c r="N1567" s="36"/>
      <c r="P1567" s="59"/>
      <c r="Q1567" s="36"/>
      <c r="S1567" s="36"/>
      <c r="U1567" s="36"/>
      <c r="AM1567" s="40"/>
      <c r="AN1567" s="40"/>
    </row>
    <row r="1568" spans="8:40" x14ac:dyDescent="0.3">
      <c r="H1568" s="40"/>
      <c r="J1568" s="36"/>
      <c r="K1568" s="36"/>
      <c r="L1568" s="36"/>
      <c r="M1568" s="36"/>
      <c r="N1568" s="36"/>
      <c r="P1568" s="59"/>
      <c r="Q1568" s="36"/>
      <c r="S1568" s="36"/>
      <c r="U1568" s="36"/>
      <c r="AM1568" s="40"/>
      <c r="AN1568" s="40"/>
    </row>
    <row r="1569" spans="8:40" x14ac:dyDescent="0.3">
      <c r="H1569" s="40"/>
      <c r="J1569" s="36"/>
      <c r="K1569" s="36"/>
      <c r="L1569" s="36"/>
      <c r="M1569" s="36"/>
      <c r="N1569" s="36"/>
      <c r="P1569" s="59"/>
      <c r="Q1569" s="36"/>
      <c r="S1569" s="36"/>
      <c r="U1569" s="36"/>
      <c r="AM1569" s="40"/>
      <c r="AN1569" s="40"/>
    </row>
    <row r="1570" spans="8:40" x14ac:dyDescent="0.3">
      <c r="H1570" s="40"/>
      <c r="J1570" s="36"/>
      <c r="K1570" s="36"/>
      <c r="L1570" s="36"/>
      <c r="M1570" s="36"/>
      <c r="N1570" s="36"/>
      <c r="P1570" s="59"/>
      <c r="Q1570" s="36"/>
      <c r="S1570" s="36"/>
      <c r="U1570" s="36"/>
      <c r="AM1570" s="40"/>
      <c r="AN1570" s="40"/>
    </row>
    <row r="1571" spans="8:40" x14ac:dyDescent="0.3">
      <c r="H1571" s="40"/>
      <c r="J1571" s="36"/>
      <c r="K1571" s="36"/>
      <c r="L1571" s="36"/>
      <c r="M1571" s="36"/>
      <c r="N1571" s="36"/>
      <c r="P1571" s="59"/>
      <c r="Q1571" s="36"/>
      <c r="S1571" s="36"/>
      <c r="U1571" s="36"/>
      <c r="AM1571" s="40"/>
      <c r="AN1571" s="40"/>
    </row>
    <row r="1572" spans="8:40" x14ac:dyDescent="0.3">
      <c r="H1572" s="40"/>
      <c r="J1572" s="36"/>
      <c r="K1572" s="36"/>
      <c r="L1572" s="36"/>
      <c r="M1572" s="36"/>
      <c r="N1572" s="36"/>
      <c r="P1572" s="59"/>
      <c r="Q1572" s="36"/>
      <c r="S1572" s="36"/>
      <c r="U1572" s="36"/>
      <c r="AM1572" s="40"/>
      <c r="AN1572" s="40"/>
    </row>
    <row r="1573" spans="8:40" x14ac:dyDescent="0.3">
      <c r="H1573" s="40"/>
      <c r="J1573" s="36"/>
      <c r="K1573" s="36"/>
      <c r="L1573" s="36"/>
      <c r="M1573" s="36"/>
      <c r="N1573" s="36"/>
      <c r="P1573" s="59"/>
      <c r="Q1573" s="36"/>
      <c r="S1573" s="36"/>
      <c r="U1573" s="36"/>
      <c r="AM1573" s="40"/>
      <c r="AN1573" s="40"/>
    </row>
    <row r="1574" spans="8:40" x14ac:dyDescent="0.3">
      <c r="H1574" s="40"/>
      <c r="J1574" s="36"/>
      <c r="K1574" s="36"/>
      <c r="L1574" s="36"/>
      <c r="M1574" s="36"/>
      <c r="N1574" s="36"/>
      <c r="P1574" s="59"/>
      <c r="Q1574" s="36"/>
      <c r="S1574" s="36"/>
      <c r="U1574" s="36"/>
      <c r="AM1574" s="40"/>
      <c r="AN1574" s="40"/>
    </row>
    <row r="1575" spans="8:40" x14ac:dyDescent="0.3">
      <c r="H1575" s="40"/>
      <c r="J1575" s="36"/>
      <c r="K1575" s="36"/>
      <c r="L1575" s="36"/>
      <c r="M1575" s="36"/>
      <c r="N1575" s="36"/>
      <c r="P1575" s="59"/>
      <c r="Q1575" s="36"/>
      <c r="S1575" s="36"/>
      <c r="U1575" s="36"/>
      <c r="AM1575" s="40"/>
      <c r="AN1575" s="40"/>
    </row>
    <row r="1576" spans="8:40" x14ac:dyDescent="0.3">
      <c r="H1576" s="40"/>
      <c r="J1576" s="36"/>
      <c r="K1576" s="36"/>
      <c r="L1576" s="36"/>
      <c r="M1576" s="36"/>
      <c r="N1576" s="36"/>
      <c r="P1576" s="59"/>
      <c r="Q1576" s="36"/>
      <c r="S1576" s="36"/>
      <c r="U1576" s="36"/>
      <c r="AM1576" s="40"/>
      <c r="AN1576" s="40"/>
    </row>
    <row r="1577" spans="8:40" x14ac:dyDescent="0.3">
      <c r="H1577" s="40"/>
      <c r="J1577" s="36"/>
      <c r="K1577" s="36"/>
      <c r="L1577" s="36"/>
      <c r="M1577" s="36"/>
      <c r="N1577" s="36"/>
      <c r="P1577" s="59"/>
      <c r="Q1577" s="36"/>
      <c r="S1577" s="36"/>
      <c r="U1577" s="36"/>
      <c r="AM1577" s="40"/>
      <c r="AN1577" s="40"/>
    </row>
    <row r="1578" spans="8:40" x14ac:dyDescent="0.3">
      <c r="H1578" s="40"/>
      <c r="J1578" s="36"/>
      <c r="K1578" s="36"/>
      <c r="L1578" s="36"/>
      <c r="M1578" s="36"/>
      <c r="N1578" s="36"/>
      <c r="P1578" s="59"/>
      <c r="Q1578" s="36"/>
      <c r="S1578" s="36"/>
      <c r="U1578" s="36"/>
      <c r="AM1578" s="40"/>
      <c r="AN1578" s="40"/>
    </row>
    <row r="1579" spans="8:40" x14ac:dyDescent="0.3">
      <c r="H1579" s="40"/>
      <c r="J1579" s="36"/>
      <c r="K1579" s="36"/>
      <c r="L1579" s="36"/>
      <c r="M1579" s="36"/>
      <c r="N1579" s="36"/>
      <c r="P1579" s="59"/>
      <c r="Q1579" s="36"/>
      <c r="S1579" s="36"/>
      <c r="U1579" s="36"/>
      <c r="AM1579" s="40"/>
      <c r="AN1579" s="40"/>
    </row>
    <row r="1580" spans="8:40" x14ac:dyDescent="0.3">
      <c r="H1580" s="40"/>
      <c r="J1580" s="36"/>
      <c r="K1580" s="36"/>
      <c r="L1580" s="36"/>
      <c r="M1580" s="36"/>
      <c r="N1580" s="36"/>
      <c r="P1580" s="59"/>
      <c r="Q1580" s="36"/>
      <c r="S1580" s="36"/>
      <c r="U1580" s="36"/>
      <c r="AM1580" s="40"/>
      <c r="AN1580" s="40"/>
    </row>
    <row r="1581" spans="8:40" x14ac:dyDescent="0.3">
      <c r="H1581" s="40"/>
      <c r="J1581" s="36"/>
      <c r="K1581" s="36"/>
      <c r="L1581" s="36"/>
      <c r="M1581" s="36"/>
      <c r="N1581" s="36"/>
      <c r="P1581" s="59"/>
      <c r="Q1581" s="36"/>
      <c r="S1581" s="36"/>
      <c r="U1581" s="36"/>
      <c r="AM1581" s="40"/>
      <c r="AN1581" s="40"/>
    </row>
    <row r="1582" spans="8:40" x14ac:dyDescent="0.3">
      <c r="H1582" s="40"/>
      <c r="J1582" s="36"/>
      <c r="K1582" s="36"/>
      <c r="L1582" s="36"/>
      <c r="M1582" s="36"/>
      <c r="N1582" s="36"/>
      <c r="P1582" s="59"/>
      <c r="Q1582" s="36"/>
      <c r="S1582" s="36"/>
      <c r="U1582" s="36"/>
      <c r="AM1582" s="40"/>
      <c r="AN1582" s="40"/>
    </row>
    <row r="1583" spans="8:40" x14ac:dyDescent="0.3">
      <c r="H1583" s="40"/>
      <c r="J1583" s="36"/>
      <c r="K1583" s="36"/>
      <c r="L1583" s="36"/>
      <c r="M1583" s="36"/>
      <c r="N1583" s="36"/>
      <c r="P1583" s="59"/>
      <c r="Q1583" s="36"/>
      <c r="S1583" s="36"/>
      <c r="U1583" s="36"/>
      <c r="AM1583" s="40"/>
      <c r="AN1583" s="40"/>
    </row>
    <row r="1584" spans="8:40" x14ac:dyDescent="0.3">
      <c r="H1584" s="40"/>
      <c r="J1584" s="36"/>
      <c r="K1584" s="36"/>
      <c r="L1584" s="36"/>
      <c r="M1584" s="36"/>
      <c r="N1584" s="36"/>
      <c r="P1584" s="59"/>
      <c r="Q1584" s="36"/>
      <c r="S1584" s="36"/>
      <c r="U1584" s="36"/>
      <c r="AM1584" s="40"/>
      <c r="AN1584" s="40"/>
    </row>
    <row r="1585" spans="8:40" x14ac:dyDescent="0.3">
      <c r="H1585" s="40"/>
      <c r="J1585" s="36"/>
      <c r="K1585" s="36"/>
      <c r="L1585" s="36"/>
      <c r="M1585" s="36"/>
      <c r="N1585" s="36"/>
      <c r="P1585" s="59"/>
      <c r="Q1585" s="36"/>
      <c r="S1585" s="36"/>
      <c r="U1585" s="36"/>
      <c r="AM1585" s="40"/>
      <c r="AN1585" s="40"/>
    </row>
    <row r="1586" spans="8:40" x14ac:dyDescent="0.3">
      <c r="H1586" s="40"/>
      <c r="J1586" s="36"/>
      <c r="K1586" s="36"/>
      <c r="L1586" s="36"/>
      <c r="M1586" s="36"/>
      <c r="N1586" s="36"/>
      <c r="P1586" s="59"/>
      <c r="Q1586" s="36"/>
      <c r="S1586" s="36"/>
      <c r="U1586" s="36"/>
      <c r="AM1586" s="40"/>
      <c r="AN1586" s="40"/>
    </row>
    <row r="1587" spans="8:40" x14ac:dyDescent="0.3">
      <c r="H1587" s="40"/>
      <c r="J1587" s="36"/>
      <c r="K1587" s="36"/>
      <c r="L1587" s="36"/>
      <c r="M1587" s="36"/>
      <c r="N1587" s="36"/>
      <c r="P1587" s="59"/>
      <c r="Q1587" s="36"/>
      <c r="S1587" s="36"/>
      <c r="U1587" s="36"/>
      <c r="AM1587" s="40"/>
      <c r="AN1587" s="40"/>
    </row>
    <row r="1588" spans="8:40" x14ac:dyDescent="0.3">
      <c r="H1588" s="40"/>
      <c r="J1588" s="36"/>
      <c r="K1588" s="36"/>
      <c r="L1588" s="36"/>
      <c r="M1588" s="36"/>
      <c r="N1588" s="36"/>
      <c r="P1588" s="59"/>
      <c r="Q1588" s="36"/>
      <c r="S1588" s="36"/>
      <c r="U1588" s="36"/>
      <c r="AM1588" s="40"/>
      <c r="AN1588" s="40"/>
    </row>
    <row r="1589" spans="8:40" x14ac:dyDescent="0.3">
      <c r="H1589" s="40"/>
      <c r="J1589" s="36"/>
      <c r="K1589" s="36"/>
      <c r="L1589" s="36"/>
      <c r="M1589" s="36"/>
      <c r="N1589" s="36"/>
      <c r="P1589" s="59"/>
      <c r="Q1589" s="36"/>
      <c r="S1589" s="36"/>
      <c r="U1589" s="36"/>
      <c r="AM1589" s="40"/>
      <c r="AN1589" s="40"/>
    </row>
    <row r="1590" spans="8:40" x14ac:dyDescent="0.3">
      <c r="H1590" s="40"/>
      <c r="J1590" s="36"/>
      <c r="K1590" s="36"/>
      <c r="L1590" s="36"/>
      <c r="M1590" s="36"/>
      <c r="N1590" s="36"/>
      <c r="P1590" s="59"/>
      <c r="Q1590" s="36"/>
      <c r="S1590" s="36"/>
      <c r="U1590" s="36"/>
      <c r="AM1590" s="40"/>
      <c r="AN1590" s="40"/>
    </row>
    <row r="1591" spans="8:40" x14ac:dyDescent="0.3">
      <c r="H1591" s="40"/>
      <c r="J1591" s="36"/>
      <c r="K1591" s="36"/>
      <c r="L1591" s="36"/>
      <c r="M1591" s="36"/>
      <c r="N1591" s="36"/>
      <c r="P1591" s="59"/>
      <c r="Q1591" s="36"/>
      <c r="S1591" s="36"/>
      <c r="U1591" s="36"/>
      <c r="AM1591" s="40"/>
      <c r="AN1591" s="40"/>
    </row>
    <row r="1592" spans="8:40" x14ac:dyDescent="0.3">
      <c r="H1592" s="40"/>
      <c r="J1592" s="36"/>
      <c r="K1592" s="36"/>
      <c r="L1592" s="36"/>
      <c r="M1592" s="36"/>
      <c r="N1592" s="36"/>
      <c r="P1592" s="59"/>
      <c r="Q1592" s="36"/>
      <c r="S1592" s="36"/>
      <c r="U1592" s="36"/>
      <c r="AM1592" s="40"/>
      <c r="AN1592" s="40"/>
    </row>
    <row r="1593" spans="8:40" x14ac:dyDescent="0.3">
      <c r="H1593" s="40"/>
      <c r="J1593" s="36"/>
      <c r="K1593" s="36"/>
      <c r="L1593" s="36"/>
      <c r="M1593" s="36"/>
      <c r="N1593" s="36"/>
      <c r="P1593" s="59"/>
      <c r="Q1593" s="36"/>
      <c r="S1593" s="36"/>
      <c r="U1593" s="36"/>
      <c r="AM1593" s="40"/>
      <c r="AN1593" s="40"/>
    </row>
    <row r="1594" spans="8:40" x14ac:dyDescent="0.3">
      <c r="H1594" s="40"/>
      <c r="J1594" s="36"/>
      <c r="K1594" s="36"/>
      <c r="L1594" s="36"/>
      <c r="M1594" s="36"/>
      <c r="N1594" s="36"/>
      <c r="P1594" s="59"/>
      <c r="Q1594" s="36"/>
      <c r="S1594" s="36"/>
      <c r="U1594" s="36"/>
      <c r="AM1594" s="40"/>
      <c r="AN1594" s="40"/>
    </row>
    <row r="1595" spans="8:40" x14ac:dyDescent="0.3">
      <c r="H1595" s="40"/>
      <c r="J1595" s="36"/>
      <c r="K1595" s="36"/>
      <c r="L1595" s="36"/>
      <c r="M1595" s="36"/>
      <c r="N1595" s="36"/>
      <c r="P1595" s="59"/>
      <c r="Q1595" s="36"/>
      <c r="S1595" s="36"/>
      <c r="U1595" s="36"/>
      <c r="AM1595" s="40"/>
    </row>
    <row r="1596" spans="8:40" x14ac:dyDescent="0.3">
      <c r="H1596" s="40"/>
      <c r="J1596" s="36"/>
      <c r="K1596" s="36"/>
      <c r="L1596" s="36"/>
      <c r="M1596" s="36"/>
      <c r="N1596" s="36"/>
      <c r="P1596" s="59"/>
      <c r="Q1596" s="36"/>
      <c r="S1596" s="36"/>
      <c r="U1596" s="36"/>
      <c r="AM1596" s="40"/>
    </row>
    <row r="1597" spans="8:40" x14ac:dyDescent="0.3">
      <c r="H1597" s="40"/>
      <c r="J1597" s="36"/>
      <c r="K1597" s="36"/>
      <c r="L1597" s="36"/>
      <c r="M1597" s="36"/>
      <c r="N1597" s="36"/>
      <c r="P1597" s="59"/>
      <c r="Q1597" s="36"/>
      <c r="S1597" s="36"/>
      <c r="U1597" s="36"/>
      <c r="AM1597" s="40"/>
    </row>
    <row r="1598" spans="8:40" x14ac:dyDescent="0.3">
      <c r="H1598" s="40"/>
      <c r="J1598" s="36"/>
      <c r="K1598" s="36"/>
      <c r="L1598" s="36"/>
      <c r="M1598" s="36"/>
      <c r="N1598" s="36"/>
      <c r="P1598" s="59"/>
      <c r="Q1598" s="36"/>
      <c r="S1598" s="36"/>
      <c r="U1598" s="36"/>
      <c r="AM1598" s="40"/>
    </row>
    <row r="1599" spans="8:40" x14ac:dyDescent="0.3">
      <c r="H1599" s="40"/>
      <c r="J1599" s="36"/>
      <c r="K1599" s="36"/>
      <c r="L1599" s="36"/>
      <c r="M1599" s="36"/>
      <c r="N1599" s="36"/>
      <c r="P1599" s="59"/>
      <c r="Q1599" s="36"/>
      <c r="S1599" s="36"/>
      <c r="U1599" s="36"/>
      <c r="AM1599" s="40"/>
    </row>
    <row r="1600" spans="8:40" x14ac:dyDescent="0.3">
      <c r="H1600" s="40"/>
      <c r="J1600" s="36"/>
      <c r="K1600" s="36"/>
      <c r="L1600" s="36"/>
      <c r="M1600" s="36"/>
      <c r="N1600" s="36"/>
      <c r="P1600" s="59"/>
      <c r="Q1600" s="36"/>
      <c r="S1600" s="36"/>
      <c r="U1600" s="36"/>
      <c r="AM1600" s="40"/>
    </row>
    <row r="1601" spans="8:39" x14ac:dyDescent="0.3">
      <c r="H1601" s="40"/>
      <c r="J1601" s="36"/>
      <c r="K1601" s="36"/>
      <c r="L1601" s="36"/>
      <c r="M1601" s="36"/>
      <c r="N1601" s="36"/>
      <c r="P1601" s="59"/>
      <c r="Q1601" s="36"/>
      <c r="S1601" s="36"/>
      <c r="U1601" s="36"/>
      <c r="AM1601" s="40"/>
    </row>
    <row r="1602" spans="8:39" x14ac:dyDescent="0.3">
      <c r="H1602" s="40"/>
      <c r="J1602" s="36"/>
      <c r="K1602" s="36"/>
      <c r="L1602" s="36"/>
      <c r="M1602" s="36"/>
      <c r="N1602" s="36"/>
      <c r="P1602" s="59"/>
      <c r="Q1602" s="36"/>
      <c r="S1602" s="36"/>
      <c r="U1602" s="36"/>
      <c r="AM1602" s="40"/>
    </row>
    <row r="1603" spans="8:39" x14ac:dyDescent="0.3">
      <c r="H1603" s="40"/>
      <c r="J1603" s="36"/>
      <c r="K1603" s="36"/>
      <c r="L1603" s="36"/>
      <c r="M1603" s="36"/>
      <c r="N1603" s="36"/>
      <c r="P1603" s="59"/>
      <c r="Q1603" s="36"/>
      <c r="S1603" s="36"/>
      <c r="U1603" s="36"/>
      <c r="AM1603" s="40"/>
    </row>
    <row r="1604" spans="8:39" x14ac:dyDescent="0.3">
      <c r="H1604" s="40"/>
      <c r="J1604" s="36"/>
      <c r="K1604" s="36"/>
      <c r="L1604" s="36"/>
      <c r="M1604" s="36"/>
      <c r="N1604" s="36"/>
      <c r="P1604" s="59"/>
      <c r="Q1604" s="36"/>
      <c r="S1604" s="36"/>
      <c r="U1604" s="36"/>
      <c r="AM1604" s="40"/>
    </row>
    <row r="1605" spans="8:39" x14ac:dyDescent="0.3">
      <c r="H1605" s="40"/>
      <c r="J1605" s="36"/>
      <c r="K1605" s="36"/>
      <c r="L1605" s="36"/>
      <c r="M1605" s="36"/>
      <c r="N1605" s="36"/>
      <c r="P1605" s="59"/>
      <c r="Q1605" s="36"/>
      <c r="S1605" s="36"/>
      <c r="U1605" s="36"/>
      <c r="AM1605" s="40"/>
    </row>
    <row r="1606" spans="8:39" x14ac:dyDescent="0.3">
      <c r="H1606" s="40"/>
      <c r="J1606" s="36"/>
      <c r="K1606" s="36"/>
      <c r="L1606" s="36"/>
      <c r="M1606" s="36"/>
      <c r="N1606" s="36"/>
      <c r="P1606" s="59"/>
      <c r="Q1606" s="36"/>
      <c r="S1606" s="36"/>
      <c r="U1606" s="36"/>
      <c r="AM1606" s="40"/>
    </row>
    <row r="1607" spans="8:39" x14ac:dyDescent="0.3">
      <c r="H1607" s="40"/>
      <c r="J1607" s="36"/>
      <c r="K1607" s="36"/>
      <c r="L1607" s="36"/>
      <c r="M1607" s="36"/>
      <c r="N1607" s="36"/>
      <c r="P1607" s="59"/>
      <c r="Q1607" s="36"/>
      <c r="S1607" s="36"/>
      <c r="U1607" s="36"/>
      <c r="AM1607" s="40"/>
    </row>
    <row r="1608" spans="8:39" x14ac:dyDescent="0.3">
      <c r="H1608" s="40"/>
      <c r="J1608" s="36"/>
      <c r="K1608" s="36"/>
      <c r="L1608" s="36"/>
      <c r="M1608" s="36"/>
      <c r="N1608" s="36"/>
      <c r="P1608" s="59"/>
      <c r="Q1608" s="36"/>
      <c r="S1608" s="36"/>
      <c r="U1608" s="36"/>
      <c r="AM1608" s="40"/>
    </row>
    <row r="1609" spans="8:39" x14ac:dyDescent="0.3">
      <c r="H1609" s="40"/>
      <c r="J1609" s="36"/>
      <c r="K1609" s="36"/>
      <c r="L1609" s="36"/>
      <c r="M1609" s="36"/>
      <c r="N1609" s="36"/>
      <c r="P1609" s="59"/>
      <c r="Q1609" s="36"/>
      <c r="S1609" s="36"/>
      <c r="U1609" s="36"/>
      <c r="AM1609" s="40"/>
    </row>
    <row r="1610" spans="8:39" x14ac:dyDescent="0.3">
      <c r="H1610" s="40"/>
      <c r="J1610" s="36"/>
      <c r="K1610" s="36"/>
      <c r="L1610" s="36"/>
      <c r="M1610" s="36"/>
      <c r="N1610" s="36"/>
      <c r="P1610" s="59"/>
      <c r="Q1610" s="36"/>
      <c r="S1610" s="36"/>
      <c r="U1610" s="36"/>
      <c r="AM1610" s="40"/>
    </row>
    <row r="1611" spans="8:39" x14ac:dyDescent="0.3">
      <c r="H1611" s="40"/>
      <c r="J1611" s="36"/>
      <c r="K1611" s="36"/>
      <c r="L1611" s="36"/>
      <c r="M1611" s="36"/>
      <c r="N1611" s="36"/>
      <c r="P1611" s="59"/>
      <c r="Q1611" s="36"/>
      <c r="S1611" s="36"/>
      <c r="U1611" s="36"/>
      <c r="AM1611" s="40"/>
    </row>
    <row r="1612" spans="8:39" x14ac:dyDescent="0.3">
      <c r="H1612" s="40"/>
      <c r="J1612" s="36"/>
      <c r="K1612" s="36"/>
      <c r="L1612" s="36"/>
      <c r="M1612" s="36"/>
      <c r="N1612" s="36"/>
      <c r="P1612" s="59"/>
      <c r="Q1612" s="36"/>
      <c r="S1612" s="36"/>
      <c r="U1612" s="36"/>
      <c r="AM1612" s="40"/>
    </row>
    <row r="1613" spans="8:39" x14ac:dyDescent="0.3">
      <c r="H1613" s="40"/>
      <c r="J1613" s="36"/>
      <c r="K1613" s="36"/>
      <c r="L1613" s="36"/>
      <c r="M1613" s="36"/>
      <c r="N1613" s="36"/>
      <c r="P1613" s="59"/>
      <c r="Q1613" s="36"/>
      <c r="S1613" s="36"/>
      <c r="U1613" s="36"/>
      <c r="AM1613" s="40"/>
    </row>
    <row r="1614" spans="8:39" x14ac:dyDescent="0.3">
      <c r="H1614" s="40"/>
      <c r="J1614" s="36"/>
      <c r="K1614" s="36"/>
      <c r="L1614" s="36"/>
      <c r="M1614" s="36"/>
      <c r="N1614" s="36"/>
      <c r="P1614" s="59"/>
      <c r="Q1614" s="36"/>
      <c r="S1614" s="36"/>
      <c r="U1614" s="36"/>
      <c r="AM1614" s="40"/>
    </row>
    <row r="1615" spans="8:39" x14ac:dyDescent="0.3">
      <c r="H1615" s="40"/>
      <c r="J1615" s="36"/>
      <c r="K1615" s="36"/>
      <c r="L1615" s="36"/>
      <c r="M1615" s="36"/>
      <c r="N1615" s="36"/>
      <c r="P1615" s="59"/>
      <c r="Q1615" s="36"/>
      <c r="S1615" s="36"/>
      <c r="U1615" s="36"/>
      <c r="AM1615" s="40"/>
    </row>
    <row r="1616" spans="8:39" x14ac:dyDescent="0.3">
      <c r="H1616" s="40"/>
      <c r="J1616" s="36"/>
      <c r="K1616" s="36"/>
      <c r="L1616" s="36"/>
      <c r="M1616" s="36"/>
      <c r="N1616" s="36"/>
      <c r="P1616" s="59"/>
      <c r="Q1616" s="36"/>
      <c r="S1616" s="36"/>
      <c r="U1616" s="36"/>
      <c r="AM1616" s="40"/>
    </row>
    <row r="1617" spans="8:39" x14ac:dyDescent="0.3">
      <c r="H1617" s="40"/>
      <c r="J1617" s="36"/>
      <c r="K1617" s="36"/>
      <c r="L1617" s="36"/>
      <c r="M1617" s="36"/>
      <c r="N1617" s="36"/>
      <c r="P1617" s="59"/>
      <c r="Q1617" s="36"/>
      <c r="S1617" s="36"/>
      <c r="U1617" s="36"/>
      <c r="AM1617" s="40"/>
    </row>
    <row r="1618" spans="8:39" x14ac:dyDescent="0.3">
      <c r="H1618" s="40"/>
      <c r="J1618" s="36"/>
      <c r="K1618" s="36"/>
      <c r="L1618" s="36"/>
      <c r="M1618" s="36"/>
      <c r="N1618" s="36"/>
      <c r="P1618" s="59"/>
      <c r="Q1618" s="36"/>
      <c r="S1618" s="36"/>
      <c r="U1618" s="36"/>
      <c r="AM1618" s="40"/>
    </row>
    <row r="1619" spans="8:39" x14ac:dyDescent="0.3">
      <c r="H1619" s="40"/>
      <c r="J1619" s="36"/>
      <c r="K1619" s="36"/>
      <c r="L1619" s="36"/>
      <c r="M1619" s="36"/>
      <c r="N1619" s="36"/>
      <c r="P1619" s="59"/>
      <c r="Q1619" s="36"/>
      <c r="S1619" s="36"/>
      <c r="U1619" s="36"/>
      <c r="AM1619" s="40"/>
    </row>
    <row r="1620" spans="8:39" x14ac:dyDescent="0.3">
      <c r="H1620" s="40"/>
      <c r="J1620" s="36"/>
      <c r="K1620" s="36"/>
      <c r="L1620" s="36"/>
      <c r="M1620" s="36"/>
      <c r="N1620" s="36"/>
      <c r="P1620" s="59"/>
      <c r="Q1620" s="36"/>
      <c r="S1620" s="36"/>
      <c r="U1620" s="36"/>
      <c r="AM1620" s="40"/>
    </row>
    <row r="1621" spans="8:39" x14ac:dyDescent="0.3">
      <c r="H1621" s="40"/>
      <c r="J1621" s="36"/>
      <c r="K1621" s="36"/>
      <c r="L1621" s="36"/>
      <c r="M1621" s="36"/>
      <c r="N1621" s="36"/>
      <c r="P1621" s="59"/>
      <c r="Q1621" s="36"/>
      <c r="S1621" s="36"/>
      <c r="U1621" s="36"/>
      <c r="AM1621" s="40"/>
    </row>
    <row r="1622" spans="8:39" x14ac:dyDescent="0.3">
      <c r="H1622" s="40"/>
      <c r="J1622" s="36"/>
      <c r="K1622" s="36"/>
      <c r="L1622" s="36"/>
      <c r="M1622" s="36"/>
      <c r="N1622" s="36"/>
      <c r="P1622" s="59"/>
      <c r="Q1622" s="36"/>
      <c r="S1622" s="36"/>
      <c r="U1622" s="36"/>
      <c r="AM1622" s="40"/>
    </row>
    <row r="1623" spans="8:39" x14ac:dyDescent="0.3">
      <c r="H1623" s="40"/>
      <c r="J1623" s="36"/>
      <c r="K1623" s="36"/>
      <c r="L1623" s="36"/>
      <c r="M1623" s="36"/>
      <c r="N1623" s="36"/>
      <c r="P1623" s="59"/>
      <c r="Q1623" s="36"/>
      <c r="S1623" s="36"/>
      <c r="U1623" s="36"/>
      <c r="AM1623" s="40"/>
    </row>
    <row r="1624" spans="8:39" x14ac:dyDescent="0.3">
      <c r="H1624" s="40"/>
      <c r="J1624" s="36"/>
      <c r="K1624" s="36"/>
      <c r="L1624" s="36"/>
      <c r="M1624" s="36"/>
      <c r="N1624" s="36"/>
      <c r="P1624" s="59"/>
      <c r="Q1624" s="36"/>
      <c r="S1624" s="36"/>
      <c r="U1624" s="36"/>
      <c r="AM1624" s="40"/>
    </row>
    <row r="1625" spans="8:39" x14ac:dyDescent="0.3">
      <c r="H1625" s="40"/>
      <c r="J1625" s="36"/>
      <c r="K1625" s="36"/>
      <c r="L1625" s="36"/>
      <c r="M1625" s="36"/>
      <c r="N1625" s="36"/>
      <c r="P1625" s="59"/>
      <c r="Q1625" s="36"/>
      <c r="S1625" s="36"/>
      <c r="U1625" s="36"/>
      <c r="AM1625" s="40"/>
    </row>
    <row r="1626" spans="8:39" x14ac:dyDescent="0.3">
      <c r="H1626" s="40"/>
      <c r="J1626" s="36"/>
      <c r="K1626" s="36"/>
      <c r="L1626" s="36"/>
      <c r="M1626" s="36"/>
      <c r="N1626" s="36"/>
      <c r="P1626" s="59"/>
      <c r="Q1626" s="36"/>
      <c r="S1626" s="36"/>
      <c r="U1626" s="36"/>
      <c r="AM1626" s="40"/>
    </row>
    <row r="1627" spans="8:39" x14ac:dyDescent="0.3">
      <c r="H1627" s="40"/>
      <c r="J1627" s="36"/>
      <c r="K1627" s="36"/>
      <c r="L1627" s="36"/>
      <c r="M1627" s="36"/>
      <c r="N1627" s="36"/>
      <c r="P1627" s="59"/>
      <c r="Q1627" s="36"/>
      <c r="S1627" s="36"/>
      <c r="U1627" s="36"/>
      <c r="AM1627" s="40"/>
    </row>
    <row r="1628" spans="8:39" x14ac:dyDescent="0.3">
      <c r="H1628" s="40"/>
      <c r="J1628" s="36"/>
      <c r="K1628" s="36"/>
      <c r="L1628" s="36"/>
      <c r="M1628" s="36"/>
      <c r="N1628" s="36"/>
      <c r="P1628" s="59"/>
      <c r="Q1628" s="36"/>
      <c r="S1628" s="36"/>
      <c r="U1628" s="36"/>
      <c r="AM1628" s="40"/>
    </row>
    <row r="1629" spans="8:39" x14ac:dyDescent="0.3">
      <c r="H1629" s="40"/>
      <c r="J1629" s="36"/>
      <c r="K1629" s="36"/>
      <c r="L1629" s="36"/>
      <c r="M1629" s="36"/>
      <c r="N1629" s="36"/>
      <c r="P1629" s="59"/>
      <c r="Q1629" s="36"/>
      <c r="S1629" s="36"/>
      <c r="U1629" s="36"/>
      <c r="AM1629" s="40"/>
    </row>
    <row r="1630" spans="8:39" x14ac:dyDescent="0.3">
      <c r="H1630" s="40"/>
      <c r="J1630" s="36"/>
      <c r="K1630" s="36"/>
      <c r="L1630" s="36"/>
      <c r="M1630" s="36"/>
      <c r="N1630" s="36"/>
      <c r="P1630" s="59"/>
      <c r="Q1630" s="36"/>
      <c r="S1630" s="36"/>
      <c r="U1630" s="36"/>
      <c r="AM1630" s="40"/>
    </row>
    <row r="1631" spans="8:39" x14ac:dyDescent="0.3">
      <c r="H1631" s="40"/>
      <c r="J1631" s="36"/>
      <c r="K1631" s="36"/>
      <c r="L1631" s="36"/>
      <c r="M1631" s="36"/>
      <c r="N1631" s="36"/>
      <c r="P1631" s="59"/>
      <c r="Q1631" s="36"/>
      <c r="S1631" s="36"/>
      <c r="U1631" s="36"/>
      <c r="AM1631" s="40"/>
    </row>
    <row r="1632" spans="8:39" x14ac:dyDescent="0.3">
      <c r="H1632" s="40"/>
      <c r="J1632" s="36"/>
      <c r="K1632" s="36"/>
      <c r="L1632" s="36"/>
      <c r="M1632" s="36"/>
      <c r="N1632" s="36"/>
      <c r="P1632" s="59"/>
      <c r="Q1632" s="36"/>
      <c r="S1632" s="36"/>
      <c r="U1632" s="36"/>
      <c r="AM1632" s="40"/>
    </row>
    <row r="1633" spans="8:39" x14ac:dyDescent="0.3">
      <c r="H1633" s="40"/>
      <c r="J1633" s="36"/>
      <c r="K1633" s="36"/>
      <c r="L1633" s="36"/>
      <c r="M1633" s="36"/>
      <c r="N1633" s="36"/>
      <c r="P1633" s="59"/>
      <c r="Q1633" s="36"/>
      <c r="S1633" s="36"/>
      <c r="U1633" s="36"/>
      <c r="AM1633" s="40"/>
    </row>
    <row r="1634" spans="8:39" x14ac:dyDescent="0.3">
      <c r="H1634" s="40"/>
      <c r="J1634" s="36"/>
      <c r="K1634" s="36"/>
      <c r="L1634" s="36"/>
      <c r="M1634" s="36"/>
      <c r="N1634" s="36"/>
      <c r="P1634" s="59"/>
      <c r="Q1634" s="36"/>
      <c r="S1634" s="36"/>
      <c r="U1634" s="36"/>
      <c r="AM1634" s="40"/>
    </row>
    <row r="1635" spans="8:39" x14ac:dyDescent="0.3">
      <c r="H1635" s="40"/>
      <c r="J1635" s="36"/>
      <c r="K1635" s="36"/>
      <c r="L1635" s="36"/>
      <c r="M1635" s="36"/>
      <c r="N1635" s="36"/>
      <c r="P1635" s="59"/>
      <c r="Q1635" s="36"/>
      <c r="S1635" s="36"/>
      <c r="U1635" s="36"/>
      <c r="AM1635" s="40"/>
    </row>
    <row r="1636" spans="8:39" x14ac:dyDescent="0.3">
      <c r="H1636" s="40"/>
      <c r="J1636" s="36"/>
      <c r="K1636" s="36"/>
      <c r="L1636" s="36"/>
      <c r="M1636" s="36"/>
      <c r="N1636" s="36"/>
      <c r="P1636" s="59"/>
      <c r="Q1636" s="36"/>
      <c r="S1636" s="36"/>
      <c r="U1636" s="36"/>
      <c r="AM1636" s="40"/>
    </row>
    <row r="1637" spans="8:39" x14ac:dyDescent="0.3">
      <c r="H1637" s="40"/>
      <c r="J1637" s="36"/>
      <c r="K1637" s="36"/>
      <c r="L1637" s="36"/>
      <c r="M1637" s="36"/>
      <c r="N1637" s="36"/>
      <c r="P1637" s="59"/>
      <c r="Q1637" s="36"/>
      <c r="S1637" s="36"/>
      <c r="U1637" s="36"/>
      <c r="AM1637" s="40"/>
    </row>
    <row r="1638" spans="8:39" x14ac:dyDescent="0.3">
      <c r="H1638" s="40"/>
      <c r="J1638" s="36"/>
      <c r="K1638" s="36"/>
      <c r="L1638" s="36"/>
      <c r="M1638" s="36"/>
      <c r="N1638" s="36"/>
      <c r="P1638" s="59"/>
      <c r="Q1638" s="36"/>
      <c r="S1638" s="36"/>
      <c r="U1638" s="36"/>
      <c r="AM1638" s="40"/>
    </row>
    <row r="1639" spans="8:39" x14ac:dyDescent="0.3">
      <c r="H1639" s="40"/>
      <c r="J1639" s="36"/>
      <c r="K1639" s="36"/>
      <c r="L1639" s="36"/>
      <c r="M1639" s="36"/>
      <c r="N1639" s="36"/>
      <c r="P1639" s="59"/>
      <c r="Q1639" s="36"/>
      <c r="S1639" s="36"/>
      <c r="U1639" s="36"/>
      <c r="AM1639" s="40"/>
    </row>
    <row r="1640" spans="8:39" x14ac:dyDescent="0.3">
      <c r="H1640" s="40"/>
      <c r="J1640" s="36"/>
      <c r="K1640" s="36"/>
      <c r="L1640" s="36"/>
      <c r="M1640" s="36"/>
      <c r="N1640" s="36"/>
      <c r="P1640" s="59"/>
      <c r="Q1640" s="36"/>
      <c r="S1640" s="36"/>
      <c r="U1640" s="36"/>
      <c r="AM1640" s="40"/>
    </row>
    <row r="1641" spans="8:39" x14ac:dyDescent="0.3">
      <c r="H1641" s="40"/>
      <c r="J1641" s="36"/>
      <c r="K1641" s="36"/>
      <c r="L1641" s="36"/>
      <c r="M1641" s="36"/>
      <c r="N1641" s="36"/>
      <c r="P1641" s="59"/>
      <c r="Q1641" s="36"/>
      <c r="S1641" s="36"/>
      <c r="U1641" s="36"/>
      <c r="AM1641" s="40"/>
    </row>
    <row r="1642" spans="8:39" x14ac:dyDescent="0.3">
      <c r="H1642" s="40"/>
      <c r="J1642" s="36"/>
      <c r="K1642" s="36"/>
      <c r="L1642" s="36"/>
      <c r="M1642" s="36"/>
      <c r="N1642" s="36"/>
      <c r="P1642" s="59"/>
      <c r="Q1642" s="36"/>
      <c r="S1642" s="36"/>
      <c r="U1642" s="36"/>
      <c r="AM1642" s="40"/>
    </row>
    <row r="1643" spans="8:39" x14ac:dyDescent="0.3">
      <c r="H1643" s="40"/>
      <c r="J1643" s="36"/>
      <c r="K1643" s="36"/>
      <c r="L1643" s="36"/>
      <c r="M1643" s="36"/>
      <c r="N1643" s="36"/>
      <c r="P1643" s="59"/>
      <c r="Q1643" s="36"/>
      <c r="S1643" s="36"/>
      <c r="U1643" s="36"/>
      <c r="AM1643" s="40"/>
    </row>
    <row r="1644" spans="8:39" x14ac:dyDescent="0.3">
      <c r="H1644" s="40"/>
      <c r="J1644" s="36"/>
      <c r="K1644" s="36"/>
      <c r="L1644" s="36"/>
      <c r="M1644" s="36"/>
      <c r="N1644" s="36"/>
      <c r="P1644" s="59"/>
      <c r="Q1644" s="36"/>
      <c r="S1644" s="36"/>
      <c r="U1644" s="36"/>
      <c r="AM1644" s="40"/>
    </row>
    <row r="1645" spans="8:39" x14ac:dyDescent="0.3">
      <c r="H1645" s="40"/>
      <c r="J1645" s="36"/>
      <c r="K1645" s="36"/>
      <c r="L1645" s="36"/>
      <c r="M1645" s="36"/>
      <c r="N1645" s="36"/>
      <c r="P1645" s="59"/>
      <c r="Q1645" s="36"/>
      <c r="S1645" s="36"/>
      <c r="U1645" s="36"/>
      <c r="AM1645" s="40"/>
    </row>
    <row r="1646" spans="8:39" x14ac:dyDescent="0.3">
      <c r="H1646" s="40"/>
      <c r="J1646" s="36"/>
      <c r="K1646" s="36"/>
      <c r="L1646" s="36"/>
      <c r="M1646" s="36"/>
      <c r="N1646" s="36"/>
      <c r="P1646" s="59"/>
      <c r="Q1646" s="36"/>
      <c r="S1646" s="36"/>
      <c r="U1646" s="36"/>
      <c r="AM1646" s="40"/>
    </row>
    <row r="1647" spans="8:39" x14ac:dyDescent="0.3">
      <c r="H1647" s="40"/>
      <c r="J1647" s="36"/>
      <c r="K1647" s="36"/>
      <c r="L1647" s="36"/>
      <c r="M1647" s="36"/>
      <c r="N1647" s="36"/>
      <c r="P1647" s="59"/>
      <c r="Q1647" s="36"/>
      <c r="S1647" s="36"/>
      <c r="U1647" s="36"/>
      <c r="AM1647" s="40"/>
    </row>
    <row r="1648" spans="8:39" x14ac:dyDescent="0.3">
      <c r="H1648" s="40"/>
      <c r="J1648" s="36"/>
      <c r="K1648" s="36"/>
      <c r="L1648" s="36"/>
      <c r="M1648" s="36"/>
      <c r="N1648" s="36"/>
      <c r="P1648" s="59"/>
      <c r="Q1648" s="36"/>
      <c r="S1648" s="36"/>
      <c r="U1648" s="36"/>
      <c r="AM1648" s="40"/>
    </row>
    <row r="1649" spans="8:39" x14ac:dyDescent="0.3">
      <c r="H1649" s="40"/>
      <c r="J1649" s="36"/>
      <c r="K1649" s="36"/>
      <c r="L1649" s="36"/>
      <c r="M1649" s="36"/>
      <c r="N1649" s="36"/>
      <c r="P1649" s="59"/>
      <c r="Q1649" s="36"/>
      <c r="S1649" s="36"/>
      <c r="U1649" s="36"/>
      <c r="AM1649" s="40"/>
    </row>
    <row r="1650" spans="8:39" x14ac:dyDescent="0.3">
      <c r="H1650" s="40"/>
      <c r="J1650" s="36"/>
      <c r="K1650" s="36"/>
      <c r="L1650" s="36"/>
      <c r="M1650" s="36"/>
      <c r="N1650" s="36"/>
      <c r="P1650" s="59"/>
      <c r="Q1650" s="36"/>
      <c r="S1650" s="36"/>
      <c r="U1650" s="36"/>
      <c r="AM1650" s="40"/>
    </row>
    <row r="1651" spans="8:39" x14ac:dyDescent="0.3">
      <c r="H1651" s="40"/>
      <c r="J1651" s="36"/>
      <c r="K1651" s="36"/>
      <c r="L1651" s="36"/>
      <c r="M1651" s="36"/>
      <c r="N1651" s="36"/>
      <c r="P1651" s="59"/>
      <c r="Q1651" s="36"/>
      <c r="S1651" s="36"/>
      <c r="U1651" s="36"/>
      <c r="AM1651" s="40"/>
    </row>
    <row r="1652" spans="8:39" x14ac:dyDescent="0.3">
      <c r="H1652" s="40"/>
      <c r="J1652" s="36"/>
      <c r="K1652" s="36"/>
      <c r="L1652" s="36"/>
      <c r="M1652" s="36"/>
      <c r="N1652" s="36"/>
      <c r="P1652" s="59"/>
      <c r="Q1652" s="36"/>
      <c r="S1652" s="36"/>
      <c r="U1652" s="36"/>
      <c r="AM1652" s="40"/>
    </row>
    <row r="1653" spans="8:39" x14ac:dyDescent="0.3">
      <c r="H1653" s="40"/>
      <c r="J1653" s="36"/>
      <c r="K1653" s="36"/>
      <c r="L1653" s="36"/>
      <c r="M1653" s="36"/>
      <c r="N1653" s="36"/>
      <c r="P1653" s="59"/>
      <c r="Q1653" s="36"/>
      <c r="S1653" s="36"/>
      <c r="U1653" s="36"/>
      <c r="AM1653" s="40"/>
    </row>
    <row r="1654" spans="8:39" x14ac:dyDescent="0.3">
      <c r="H1654" s="40"/>
      <c r="J1654" s="36"/>
      <c r="K1654" s="36"/>
      <c r="L1654" s="36"/>
      <c r="M1654" s="36"/>
      <c r="N1654" s="36"/>
      <c r="P1654" s="59"/>
      <c r="Q1654" s="36"/>
      <c r="S1654" s="36"/>
      <c r="U1654" s="36"/>
      <c r="AM1654" s="40"/>
    </row>
    <row r="1655" spans="8:39" x14ac:dyDescent="0.3">
      <c r="H1655" s="40"/>
      <c r="J1655" s="36"/>
      <c r="K1655" s="36"/>
      <c r="L1655" s="36"/>
      <c r="M1655" s="36"/>
      <c r="N1655" s="36"/>
      <c r="P1655" s="59"/>
      <c r="Q1655" s="36"/>
      <c r="S1655" s="36"/>
      <c r="U1655" s="36"/>
      <c r="AM1655" s="40"/>
    </row>
    <row r="1656" spans="8:39" x14ac:dyDescent="0.3">
      <c r="H1656" s="40"/>
      <c r="J1656" s="36"/>
      <c r="K1656" s="36"/>
      <c r="L1656" s="36"/>
      <c r="M1656" s="36"/>
      <c r="N1656" s="36"/>
      <c r="P1656" s="59"/>
      <c r="Q1656" s="36"/>
      <c r="S1656" s="36"/>
      <c r="U1656" s="36"/>
      <c r="AM1656" s="40"/>
    </row>
    <row r="1657" spans="8:39" x14ac:dyDescent="0.3">
      <c r="H1657" s="40"/>
      <c r="J1657" s="36"/>
      <c r="K1657" s="36"/>
      <c r="L1657" s="36"/>
      <c r="M1657" s="36"/>
      <c r="N1657" s="36"/>
      <c r="P1657" s="59"/>
      <c r="Q1657" s="36"/>
      <c r="S1657" s="36"/>
      <c r="U1657" s="36"/>
      <c r="AM1657" s="40"/>
    </row>
    <row r="1658" spans="8:39" x14ac:dyDescent="0.3">
      <c r="H1658" s="40"/>
      <c r="J1658" s="36"/>
      <c r="K1658" s="36"/>
      <c r="L1658" s="36"/>
      <c r="M1658" s="36"/>
      <c r="N1658" s="36"/>
      <c r="P1658" s="59"/>
      <c r="Q1658" s="36"/>
      <c r="S1658" s="36"/>
      <c r="U1658" s="36"/>
      <c r="AM1658" s="40"/>
    </row>
    <row r="1659" spans="8:39" x14ac:dyDescent="0.3">
      <c r="H1659" s="40"/>
      <c r="J1659" s="36"/>
      <c r="K1659" s="36"/>
      <c r="L1659" s="36"/>
      <c r="M1659" s="36"/>
      <c r="N1659" s="36"/>
      <c r="P1659" s="59"/>
      <c r="Q1659" s="36"/>
      <c r="S1659" s="36"/>
      <c r="U1659" s="36"/>
      <c r="AM1659" s="40"/>
    </row>
    <row r="1660" spans="8:39" x14ac:dyDescent="0.3">
      <c r="H1660" s="40"/>
      <c r="J1660" s="36"/>
      <c r="K1660" s="36"/>
      <c r="L1660" s="36"/>
      <c r="M1660" s="36"/>
      <c r="N1660" s="36"/>
      <c r="P1660" s="59"/>
      <c r="Q1660" s="36"/>
      <c r="S1660" s="36"/>
      <c r="U1660" s="36"/>
      <c r="AM1660" s="40"/>
    </row>
    <row r="1661" spans="8:39" x14ac:dyDescent="0.3">
      <c r="H1661" s="40"/>
      <c r="J1661" s="36"/>
      <c r="K1661" s="36"/>
      <c r="L1661" s="36"/>
      <c r="M1661" s="36"/>
      <c r="N1661" s="36"/>
      <c r="P1661" s="59"/>
      <c r="Q1661" s="36"/>
      <c r="S1661" s="36"/>
      <c r="U1661" s="36"/>
      <c r="AM1661" s="40"/>
    </row>
    <row r="1662" spans="8:39" x14ac:dyDescent="0.3">
      <c r="H1662" s="40"/>
      <c r="J1662" s="36"/>
      <c r="K1662" s="36"/>
      <c r="L1662" s="36"/>
      <c r="M1662" s="36"/>
      <c r="N1662" s="36"/>
      <c r="P1662" s="59"/>
      <c r="Q1662" s="36"/>
      <c r="S1662" s="36"/>
      <c r="U1662" s="36"/>
      <c r="AM1662" s="40"/>
    </row>
    <row r="1663" spans="8:39" x14ac:dyDescent="0.3">
      <c r="H1663" s="40"/>
      <c r="J1663" s="36"/>
      <c r="K1663" s="36"/>
      <c r="L1663" s="36"/>
      <c r="M1663" s="36"/>
      <c r="N1663" s="36"/>
      <c r="P1663" s="59"/>
      <c r="Q1663" s="36"/>
      <c r="S1663" s="36"/>
      <c r="U1663" s="36"/>
      <c r="AM1663" s="40"/>
    </row>
    <row r="1664" spans="8:39" x14ac:dyDescent="0.3">
      <c r="H1664" s="40"/>
      <c r="J1664" s="36"/>
      <c r="K1664" s="36"/>
      <c r="L1664" s="36"/>
      <c r="M1664" s="36"/>
      <c r="N1664" s="36"/>
      <c r="P1664" s="59"/>
      <c r="Q1664" s="36"/>
      <c r="S1664" s="36"/>
      <c r="U1664" s="36"/>
      <c r="AM1664" s="40"/>
    </row>
    <row r="1665" spans="8:39" x14ac:dyDescent="0.3">
      <c r="H1665" s="40"/>
      <c r="J1665" s="36"/>
      <c r="K1665" s="36"/>
      <c r="L1665" s="36"/>
      <c r="M1665" s="36"/>
      <c r="N1665" s="36"/>
      <c r="P1665" s="59"/>
      <c r="Q1665" s="36"/>
      <c r="S1665" s="36"/>
      <c r="U1665" s="36"/>
      <c r="AM1665" s="40"/>
    </row>
    <row r="1666" spans="8:39" x14ac:dyDescent="0.3">
      <c r="H1666" s="40"/>
      <c r="J1666" s="36"/>
      <c r="K1666" s="36"/>
      <c r="L1666" s="36"/>
      <c r="M1666" s="36"/>
      <c r="N1666" s="36"/>
      <c r="P1666" s="59"/>
      <c r="Q1666" s="36"/>
      <c r="S1666" s="36"/>
      <c r="U1666" s="36"/>
      <c r="AM1666" s="40"/>
    </row>
    <row r="1667" spans="8:39" x14ac:dyDescent="0.3">
      <c r="H1667" s="40"/>
      <c r="J1667" s="36"/>
      <c r="K1667" s="36"/>
      <c r="L1667" s="36"/>
      <c r="M1667" s="36"/>
      <c r="N1667" s="36"/>
      <c r="P1667" s="59"/>
      <c r="Q1667" s="36"/>
      <c r="S1667" s="36"/>
      <c r="U1667" s="36"/>
      <c r="AM1667" s="40"/>
    </row>
    <row r="1668" spans="8:39" x14ac:dyDescent="0.3">
      <c r="H1668" s="40"/>
      <c r="J1668" s="36"/>
      <c r="K1668" s="36"/>
      <c r="L1668" s="36"/>
      <c r="M1668" s="36"/>
      <c r="N1668" s="36"/>
      <c r="P1668" s="59"/>
      <c r="Q1668" s="36"/>
      <c r="S1668" s="36"/>
      <c r="U1668" s="36"/>
      <c r="AM1668" s="40"/>
    </row>
    <row r="1669" spans="8:39" x14ac:dyDescent="0.3">
      <c r="H1669" s="40"/>
      <c r="J1669" s="36"/>
      <c r="K1669" s="36"/>
      <c r="L1669" s="36"/>
      <c r="M1669" s="36"/>
      <c r="N1669" s="36"/>
      <c r="P1669" s="59"/>
      <c r="Q1669" s="36"/>
      <c r="S1669" s="36"/>
      <c r="U1669" s="36"/>
      <c r="AM1669" s="40"/>
    </row>
    <row r="1670" spans="8:39" x14ac:dyDescent="0.3">
      <c r="H1670" s="40"/>
      <c r="J1670" s="36"/>
      <c r="K1670" s="36"/>
      <c r="L1670" s="36"/>
      <c r="M1670" s="36"/>
      <c r="N1670" s="36"/>
      <c r="P1670" s="59"/>
      <c r="Q1670" s="36"/>
      <c r="S1670" s="36"/>
      <c r="U1670" s="36"/>
      <c r="AM1670" s="40"/>
    </row>
    <row r="1671" spans="8:39" x14ac:dyDescent="0.3">
      <c r="H1671" s="40"/>
      <c r="J1671" s="36"/>
      <c r="K1671" s="36"/>
      <c r="L1671" s="36"/>
      <c r="M1671" s="36"/>
      <c r="N1671" s="36"/>
      <c r="P1671" s="59"/>
      <c r="Q1671" s="36"/>
      <c r="S1671" s="36"/>
      <c r="U1671" s="36"/>
      <c r="AM1671" s="40"/>
    </row>
    <row r="1672" spans="8:39" x14ac:dyDescent="0.3">
      <c r="H1672" s="40"/>
      <c r="J1672" s="36"/>
      <c r="K1672" s="36"/>
      <c r="L1672" s="36"/>
      <c r="M1672" s="36"/>
      <c r="N1672" s="36"/>
      <c r="P1672" s="59"/>
      <c r="Q1672" s="36"/>
      <c r="S1672" s="36"/>
      <c r="U1672" s="36"/>
      <c r="AM1672" s="40"/>
    </row>
    <row r="1673" spans="8:39" x14ac:dyDescent="0.3">
      <c r="H1673" s="40"/>
      <c r="J1673" s="36"/>
      <c r="K1673" s="36"/>
      <c r="L1673" s="36"/>
      <c r="M1673" s="36"/>
      <c r="N1673" s="36"/>
      <c r="P1673" s="59"/>
      <c r="Q1673" s="36"/>
      <c r="S1673" s="36"/>
      <c r="U1673" s="36"/>
      <c r="AM1673" s="40"/>
    </row>
    <row r="1674" spans="8:39" x14ac:dyDescent="0.3">
      <c r="H1674" s="40"/>
      <c r="J1674" s="36"/>
      <c r="K1674" s="36"/>
      <c r="L1674" s="36"/>
      <c r="M1674" s="36"/>
      <c r="N1674" s="36"/>
      <c r="P1674" s="59"/>
      <c r="Q1674" s="36"/>
      <c r="S1674" s="36"/>
      <c r="U1674" s="36"/>
      <c r="AM1674" s="40"/>
    </row>
    <row r="1675" spans="8:39" x14ac:dyDescent="0.3">
      <c r="H1675" s="40"/>
      <c r="J1675" s="36"/>
      <c r="K1675" s="36"/>
      <c r="L1675" s="36"/>
      <c r="M1675" s="36"/>
      <c r="N1675" s="36"/>
      <c r="P1675" s="59"/>
      <c r="Q1675" s="36"/>
      <c r="S1675" s="36"/>
      <c r="U1675" s="36"/>
      <c r="AM1675" s="40"/>
    </row>
    <row r="1676" spans="8:39" x14ac:dyDescent="0.3">
      <c r="H1676" s="40"/>
      <c r="J1676" s="36"/>
      <c r="K1676" s="36"/>
      <c r="L1676" s="36"/>
      <c r="M1676" s="36"/>
      <c r="N1676" s="36"/>
      <c r="P1676" s="59"/>
      <c r="Q1676" s="36"/>
      <c r="S1676" s="36"/>
      <c r="U1676" s="36"/>
      <c r="AM1676" s="40"/>
    </row>
    <row r="1677" spans="8:39" x14ac:dyDescent="0.3">
      <c r="H1677" s="40"/>
      <c r="J1677" s="36"/>
      <c r="K1677" s="36"/>
      <c r="L1677" s="36"/>
      <c r="M1677" s="36"/>
      <c r="N1677" s="36"/>
      <c r="P1677" s="59"/>
      <c r="Q1677" s="36"/>
      <c r="S1677" s="36"/>
      <c r="U1677" s="36"/>
      <c r="AM1677" s="40"/>
    </row>
    <row r="1678" spans="8:39" x14ac:dyDescent="0.3">
      <c r="H1678" s="40"/>
      <c r="J1678" s="36"/>
      <c r="K1678" s="36"/>
      <c r="L1678" s="36"/>
      <c r="M1678" s="36"/>
      <c r="N1678" s="36"/>
      <c r="P1678" s="59"/>
      <c r="Q1678" s="36"/>
      <c r="S1678" s="36"/>
      <c r="U1678" s="36"/>
      <c r="AM1678" s="40"/>
    </row>
    <row r="1679" spans="8:39" x14ac:dyDescent="0.3">
      <c r="H1679" s="40"/>
      <c r="J1679" s="36"/>
      <c r="K1679" s="36"/>
      <c r="L1679" s="36"/>
      <c r="M1679" s="36"/>
      <c r="N1679" s="36"/>
      <c r="P1679" s="59"/>
      <c r="Q1679" s="36"/>
      <c r="S1679" s="36"/>
      <c r="U1679" s="36"/>
    </row>
    <row r="1680" spans="8:39" x14ac:dyDescent="0.3">
      <c r="H1680" s="40"/>
      <c r="J1680" s="36"/>
      <c r="K1680" s="36"/>
      <c r="L1680" s="36"/>
      <c r="M1680" s="36"/>
      <c r="N1680" s="36"/>
      <c r="P1680" s="59"/>
      <c r="Q1680" s="36"/>
      <c r="S1680" s="36"/>
      <c r="U1680" s="36"/>
    </row>
    <row r="1681" spans="8:21" x14ac:dyDescent="0.3">
      <c r="H1681" s="40"/>
      <c r="J1681" s="36"/>
      <c r="K1681" s="36"/>
      <c r="L1681" s="36"/>
      <c r="M1681" s="36"/>
      <c r="N1681" s="36"/>
      <c r="P1681" s="59"/>
      <c r="Q1681" s="36"/>
      <c r="S1681" s="36"/>
      <c r="U1681" s="36"/>
    </row>
    <row r="1682" spans="8:21" x14ac:dyDescent="0.3">
      <c r="H1682" s="40"/>
      <c r="J1682" s="36"/>
      <c r="K1682" s="36"/>
      <c r="L1682" s="36"/>
      <c r="M1682" s="36"/>
      <c r="N1682" s="36"/>
      <c r="P1682" s="59"/>
      <c r="Q1682" s="36"/>
      <c r="S1682" s="36"/>
      <c r="U1682" s="36"/>
    </row>
    <row r="1683" spans="8:21" x14ac:dyDescent="0.3">
      <c r="H1683" s="40"/>
      <c r="J1683" s="36"/>
      <c r="K1683" s="36"/>
      <c r="L1683" s="36"/>
      <c r="M1683" s="36"/>
      <c r="N1683" s="36"/>
      <c r="P1683" s="59"/>
      <c r="Q1683" s="36"/>
      <c r="S1683" s="36"/>
      <c r="U1683" s="36"/>
    </row>
    <row r="1684" spans="8:21" x14ac:dyDescent="0.3">
      <c r="H1684" s="40"/>
      <c r="J1684" s="36"/>
      <c r="K1684" s="36"/>
      <c r="L1684" s="36"/>
      <c r="M1684" s="36"/>
      <c r="N1684" s="36"/>
      <c r="P1684" s="59"/>
      <c r="Q1684" s="36"/>
      <c r="S1684" s="36"/>
      <c r="U1684" s="36"/>
    </row>
    <row r="1685" spans="8:21" x14ac:dyDescent="0.3">
      <c r="H1685" s="40"/>
      <c r="J1685" s="36"/>
      <c r="K1685" s="36"/>
      <c r="L1685" s="36"/>
      <c r="M1685" s="36"/>
      <c r="N1685" s="36"/>
      <c r="P1685" s="59"/>
      <c r="Q1685" s="36"/>
      <c r="S1685" s="36"/>
      <c r="U1685" s="36"/>
    </row>
    <row r="1686" spans="8:21" x14ac:dyDescent="0.3">
      <c r="H1686" s="40"/>
      <c r="J1686" s="36"/>
      <c r="K1686" s="36"/>
      <c r="L1686" s="36"/>
      <c r="M1686" s="36"/>
      <c r="N1686" s="36"/>
      <c r="P1686" s="59"/>
      <c r="Q1686" s="36"/>
      <c r="S1686" s="36"/>
      <c r="U1686" s="36"/>
    </row>
    <row r="1687" spans="8:21" x14ac:dyDescent="0.3">
      <c r="H1687" s="40"/>
      <c r="J1687" s="36"/>
      <c r="K1687" s="36"/>
      <c r="L1687" s="36"/>
      <c r="M1687" s="36"/>
      <c r="N1687" s="36"/>
      <c r="P1687" s="59"/>
      <c r="Q1687" s="36"/>
      <c r="S1687" s="36"/>
      <c r="U1687" s="36"/>
    </row>
    <row r="1688" spans="8:21" x14ac:dyDescent="0.3">
      <c r="H1688" s="40"/>
      <c r="J1688" s="36"/>
      <c r="K1688" s="36"/>
      <c r="L1688" s="36"/>
      <c r="M1688" s="36"/>
      <c r="N1688" s="36"/>
      <c r="P1688" s="59"/>
      <c r="Q1688" s="36"/>
      <c r="S1688" s="36"/>
      <c r="U1688" s="36"/>
    </row>
    <row r="1689" spans="8:21" x14ac:dyDescent="0.3">
      <c r="H1689" s="40"/>
      <c r="J1689" s="36"/>
      <c r="K1689" s="36"/>
      <c r="L1689" s="36"/>
      <c r="M1689" s="36"/>
      <c r="N1689" s="36"/>
      <c r="P1689" s="59"/>
      <c r="Q1689" s="36"/>
      <c r="S1689" s="36"/>
      <c r="U1689" s="36"/>
    </row>
    <row r="1690" spans="8:21" x14ac:dyDescent="0.3">
      <c r="H1690" s="40"/>
      <c r="J1690" s="36"/>
      <c r="K1690" s="36"/>
      <c r="L1690" s="36"/>
      <c r="M1690" s="36"/>
      <c r="N1690" s="36"/>
      <c r="P1690" s="59"/>
      <c r="Q1690" s="36"/>
      <c r="S1690" s="36"/>
      <c r="U1690" s="36"/>
    </row>
    <row r="1691" spans="8:21" x14ac:dyDescent="0.3">
      <c r="H1691" s="40"/>
      <c r="J1691" s="36"/>
      <c r="K1691" s="36"/>
      <c r="L1691" s="36"/>
      <c r="M1691" s="36"/>
      <c r="N1691" s="36"/>
      <c r="P1691" s="59"/>
      <c r="Q1691" s="36"/>
      <c r="S1691" s="36"/>
      <c r="U1691" s="36"/>
    </row>
    <row r="1692" spans="8:21" x14ac:dyDescent="0.3">
      <c r="H1692" s="40"/>
      <c r="J1692" s="36"/>
      <c r="K1692" s="36"/>
      <c r="L1692" s="36"/>
      <c r="M1692" s="36"/>
      <c r="N1692" s="36"/>
      <c r="P1692" s="59"/>
      <c r="Q1692" s="36"/>
      <c r="S1692" s="36"/>
      <c r="U1692" s="36"/>
    </row>
    <row r="1693" spans="8:21" x14ac:dyDescent="0.3">
      <c r="H1693" s="40"/>
      <c r="J1693" s="36"/>
      <c r="K1693" s="36"/>
      <c r="L1693" s="36"/>
      <c r="M1693" s="36"/>
      <c r="N1693" s="36"/>
      <c r="P1693" s="59"/>
      <c r="Q1693" s="36"/>
      <c r="S1693" s="36"/>
      <c r="U1693" s="36"/>
    </row>
    <row r="1694" spans="8:21" x14ac:dyDescent="0.3">
      <c r="H1694" s="40"/>
      <c r="J1694" s="36"/>
      <c r="K1694" s="36"/>
      <c r="L1694" s="36"/>
      <c r="M1694" s="36"/>
      <c r="N1694" s="36"/>
      <c r="P1694" s="59"/>
      <c r="Q1694" s="36"/>
      <c r="S1694" s="36"/>
      <c r="U1694" s="36"/>
    </row>
    <row r="1695" spans="8:21" x14ac:dyDescent="0.3">
      <c r="H1695" s="40"/>
      <c r="J1695" s="36"/>
      <c r="K1695" s="36"/>
      <c r="L1695" s="36"/>
      <c r="M1695" s="36"/>
      <c r="N1695" s="36"/>
      <c r="P1695" s="59"/>
      <c r="Q1695" s="36"/>
      <c r="S1695" s="36"/>
      <c r="U1695" s="36"/>
    </row>
    <row r="1696" spans="8:21" x14ac:dyDescent="0.3">
      <c r="H1696" s="40"/>
      <c r="J1696" s="36"/>
      <c r="K1696" s="36"/>
      <c r="L1696" s="36"/>
      <c r="M1696" s="36"/>
      <c r="N1696" s="36"/>
      <c r="P1696" s="59"/>
      <c r="Q1696" s="36"/>
      <c r="S1696" s="36"/>
      <c r="U1696" s="36"/>
    </row>
    <row r="1697" spans="8:21" x14ac:dyDescent="0.3">
      <c r="H1697" s="40"/>
      <c r="J1697" s="36"/>
      <c r="K1697" s="36"/>
      <c r="L1697" s="36"/>
      <c r="M1697" s="36"/>
      <c r="N1697" s="36"/>
      <c r="P1697" s="59"/>
      <c r="Q1697" s="36"/>
      <c r="S1697" s="36"/>
      <c r="U1697" s="36"/>
    </row>
    <row r="1698" spans="8:21" x14ac:dyDescent="0.3">
      <c r="H1698" s="40"/>
      <c r="J1698" s="36"/>
      <c r="K1698" s="36"/>
      <c r="L1698" s="36"/>
      <c r="M1698" s="36"/>
      <c r="N1698" s="36"/>
      <c r="P1698" s="59"/>
      <c r="Q1698" s="36"/>
      <c r="S1698" s="36"/>
      <c r="U1698" s="36"/>
    </row>
    <row r="1699" spans="8:21" x14ac:dyDescent="0.3">
      <c r="H1699" s="40"/>
      <c r="J1699" s="36"/>
      <c r="K1699" s="36"/>
      <c r="L1699" s="36"/>
      <c r="M1699" s="36"/>
      <c r="N1699" s="36"/>
      <c r="P1699" s="59"/>
      <c r="Q1699" s="36"/>
      <c r="S1699" s="36"/>
      <c r="U1699" s="36"/>
    </row>
    <row r="1700" spans="8:21" x14ac:dyDescent="0.3">
      <c r="H1700" s="40"/>
      <c r="J1700" s="36"/>
      <c r="K1700" s="36"/>
      <c r="L1700" s="36"/>
      <c r="M1700" s="36"/>
      <c r="N1700" s="36"/>
      <c r="P1700" s="59"/>
      <c r="Q1700" s="36"/>
      <c r="S1700" s="36"/>
      <c r="U1700" s="36"/>
    </row>
    <row r="1701" spans="8:21" x14ac:dyDescent="0.3">
      <c r="H1701" s="40"/>
      <c r="J1701" s="36"/>
      <c r="K1701" s="36"/>
      <c r="L1701" s="36"/>
      <c r="M1701" s="36"/>
      <c r="N1701" s="36"/>
      <c r="P1701" s="59"/>
      <c r="Q1701" s="36"/>
      <c r="S1701" s="36"/>
      <c r="U1701" s="36"/>
    </row>
    <row r="1702" spans="8:21" x14ac:dyDescent="0.3">
      <c r="H1702" s="40"/>
      <c r="J1702" s="36"/>
      <c r="K1702" s="36"/>
      <c r="L1702" s="36"/>
      <c r="M1702" s="36"/>
      <c r="N1702" s="36"/>
      <c r="P1702" s="59"/>
      <c r="Q1702" s="36"/>
      <c r="S1702" s="36"/>
      <c r="U1702" s="36"/>
    </row>
    <row r="1703" spans="8:21" x14ac:dyDescent="0.3">
      <c r="H1703" s="40"/>
      <c r="J1703" s="36"/>
      <c r="K1703" s="36"/>
      <c r="L1703" s="36"/>
      <c r="M1703" s="36"/>
      <c r="N1703" s="36"/>
      <c r="P1703" s="59"/>
      <c r="Q1703" s="36"/>
      <c r="S1703" s="36"/>
      <c r="U1703" s="36"/>
    </row>
    <row r="1704" spans="8:21" x14ac:dyDescent="0.3">
      <c r="H1704" s="40"/>
      <c r="J1704" s="36"/>
      <c r="K1704" s="36"/>
      <c r="L1704" s="36"/>
      <c r="M1704" s="36"/>
      <c r="N1704" s="36"/>
      <c r="P1704" s="59"/>
      <c r="Q1704" s="36"/>
      <c r="S1704" s="36"/>
      <c r="U1704" s="36"/>
    </row>
    <row r="1705" spans="8:21" x14ac:dyDescent="0.3">
      <c r="H1705" s="40"/>
      <c r="J1705" s="36"/>
      <c r="K1705" s="36"/>
      <c r="L1705" s="36"/>
      <c r="M1705" s="36"/>
      <c r="N1705" s="36"/>
      <c r="P1705" s="59"/>
      <c r="Q1705" s="36"/>
      <c r="S1705" s="36"/>
      <c r="U1705" s="36"/>
    </row>
    <row r="1706" spans="8:21" x14ac:dyDescent="0.3">
      <c r="H1706" s="40"/>
      <c r="J1706" s="36"/>
      <c r="K1706" s="36"/>
      <c r="L1706" s="36"/>
      <c r="M1706" s="36"/>
      <c r="N1706" s="36"/>
      <c r="P1706" s="59"/>
      <c r="Q1706" s="36"/>
      <c r="S1706" s="36"/>
      <c r="U1706" s="36"/>
    </row>
    <row r="1707" spans="8:21" x14ac:dyDescent="0.3">
      <c r="H1707" s="40"/>
      <c r="J1707" s="36"/>
      <c r="K1707" s="36"/>
      <c r="L1707" s="36"/>
      <c r="M1707" s="36"/>
      <c r="N1707" s="36"/>
      <c r="P1707" s="59"/>
      <c r="Q1707" s="36"/>
      <c r="S1707" s="36"/>
      <c r="U1707" s="36"/>
    </row>
    <row r="1708" spans="8:21" x14ac:dyDescent="0.3">
      <c r="H1708" s="40"/>
      <c r="J1708" s="36"/>
      <c r="K1708" s="36"/>
      <c r="L1708" s="36"/>
      <c r="M1708" s="36"/>
      <c r="N1708" s="36"/>
      <c r="P1708" s="59"/>
      <c r="Q1708" s="36"/>
      <c r="S1708" s="36"/>
      <c r="U1708" s="36"/>
    </row>
    <row r="1709" spans="8:21" x14ac:dyDescent="0.3">
      <c r="H1709" s="40"/>
      <c r="J1709" s="36"/>
      <c r="K1709" s="36"/>
      <c r="L1709" s="36"/>
      <c r="M1709" s="36"/>
      <c r="N1709" s="36"/>
      <c r="P1709" s="59"/>
      <c r="Q1709" s="36"/>
      <c r="S1709" s="36"/>
      <c r="U1709" s="36"/>
    </row>
    <row r="1710" spans="8:21" x14ac:dyDescent="0.3">
      <c r="H1710" s="40"/>
      <c r="J1710" s="36"/>
      <c r="K1710" s="36"/>
      <c r="L1710" s="36"/>
      <c r="M1710" s="36"/>
      <c r="N1710" s="36"/>
      <c r="P1710" s="59"/>
      <c r="Q1710" s="36"/>
      <c r="S1710" s="36"/>
      <c r="U1710" s="36"/>
    </row>
    <row r="1711" spans="8:21" x14ac:dyDescent="0.3">
      <c r="H1711" s="40"/>
      <c r="J1711" s="36"/>
      <c r="K1711" s="36"/>
      <c r="L1711" s="36"/>
      <c r="M1711" s="36"/>
      <c r="N1711" s="36"/>
      <c r="P1711" s="59"/>
      <c r="Q1711" s="36"/>
      <c r="S1711" s="36"/>
      <c r="U1711" s="36"/>
    </row>
    <row r="1712" spans="8:21" x14ac:dyDescent="0.3">
      <c r="H1712" s="40"/>
      <c r="J1712" s="36"/>
      <c r="K1712" s="36"/>
      <c r="L1712" s="36"/>
      <c r="M1712" s="36"/>
      <c r="N1712" s="36"/>
      <c r="P1712" s="59"/>
      <c r="Q1712" s="36"/>
      <c r="S1712" s="36"/>
      <c r="U1712" s="36"/>
    </row>
    <row r="1713" spans="8:21" x14ac:dyDescent="0.3">
      <c r="H1713" s="40"/>
      <c r="J1713" s="36"/>
      <c r="K1713" s="36"/>
      <c r="L1713" s="36"/>
      <c r="M1713" s="36"/>
      <c r="N1713" s="36"/>
      <c r="P1713" s="59"/>
      <c r="Q1713" s="36"/>
      <c r="S1713" s="36"/>
      <c r="U1713" s="36"/>
    </row>
    <row r="1714" spans="8:21" x14ac:dyDescent="0.3">
      <c r="H1714" s="40"/>
      <c r="J1714" s="36"/>
      <c r="K1714" s="36"/>
      <c r="L1714" s="36"/>
      <c r="M1714" s="36"/>
      <c r="N1714" s="36"/>
      <c r="P1714" s="59"/>
      <c r="Q1714" s="36"/>
      <c r="S1714" s="36"/>
      <c r="U1714" s="36"/>
    </row>
    <row r="1715" spans="8:21" x14ac:dyDescent="0.3">
      <c r="H1715" s="40"/>
      <c r="J1715" s="36"/>
      <c r="K1715" s="36"/>
      <c r="L1715" s="36"/>
      <c r="M1715" s="36"/>
      <c r="N1715" s="36"/>
      <c r="P1715" s="59"/>
      <c r="Q1715" s="36"/>
      <c r="S1715" s="36"/>
      <c r="U1715" s="36"/>
    </row>
    <row r="1716" spans="8:21" x14ac:dyDescent="0.3">
      <c r="H1716" s="40"/>
      <c r="J1716" s="36"/>
      <c r="K1716" s="36"/>
      <c r="L1716" s="36"/>
      <c r="M1716" s="36"/>
      <c r="N1716" s="36"/>
      <c r="P1716" s="59"/>
      <c r="Q1716" s="36"/>
      <c r="S1716" s="36"/>
      <c r="U1716" s="36"/>
    </row>
    <row r="1717" spans="8:21" x14ac:dyDescent="0.3">
      <c r="H1717" s="40"/>
      <c r="J1717" s="36"/>
      <c r="K1717" s="36"/>
      <c r="L1717" s="36"/>
      <c r="M1717" s="36"/>
      <c r="N1717" s="36"/>
      <c r="P1717" s="59"/>
      <c r="Q1717" s="36"/>
      <c r="S1717" s="36"/>
      <c r="U1717" s="36"/>
    </row>
    <row r="1718" spans="8:21" x14ac:dyDescent="0.3">
      <c r="H1718" s="40"/>
      <c r="J1718" s="36"/>
      <c r="K1718" s="36"/>
      <c r="L1718" s="36"/>
      <c r="M1718" s="36"/>
      <c r="N1718" s="36"/>
      <c r="P1718" s="59"/>
      <c r="Q1718" s="36"/>
      <c r="S1718" s="36"/>
      <c r="U1718" s="36"/>
    </row>
    <row r="1719" spans="8:21" x14ac:dyDescent="0.3">
      <c r="H1719" s="40"/>
      <c r="J1719" s="36"/>
      <c r="K1719" s="36"/>
      <c r="L1719" s="36"/>
      <c r="M1719" s="36"/>
      <c r="N1719" s="36"/>
      <c r="P1719" s="59"/>
      <c r="Q1719" s="36"/>
      <c r="S1719" s="36"/>
      <c r="U1719" s="36"/>
    </row>
    <row r="1720" spans="8:21" x14ac:dyDescent="0.3">
      <c r="H1720" s="40"/>
      <c r="J1720" s="36"/>
      <c r="K1720" s="36"/>
      <c r="L1720" s="36"/>
      <c r="M1720" s="36"/>
      <c r="N1720" s="36"/>
      <c r="P1720" s="59"/>
      <c r="Q1720" s="36"/>
      <c r="S1720" s="36"/>
      <c r="U1720" s="36"/>
    </row>
    <row r="1721" spans="8:21" x14ac:dyDescent="0.3">
      <c r="H1721" s="40"/>
      <c r="J1721" s="36"/>
      <c r="K1721" s="36"/>
      <c r="L1721" s="36"/>
      <c r="M1721" s="36"/>
      <c r="N1721" s="36"/>
      <c r="P1721" s="59"/>
      <c r="Q1721" s="36"/>
      <c r="S1721" s="36"/>
      <c r="U1721" s="36"/>
    </row>
    <row r="1722" spans="8:21" x14ac:dyDescent="0.3">
      <c r="H1722" s="40"/>
      <c r="J1722" s="36"/>
      <c r="K1722" s="36"/>
      <c r="L1722" s="36"/>
      <c r="M1722" s="36"/>
      <c r="N1722" s="36"/>
      <c r="P1722" s="59"/>
      <c r="Q1722" s="36"/>
      <c r="S1722" s="36"/>
      <c r="U1722" s="36"/>
    </row>
    <row r="1723" spans="8:21" x14ac:dyDescent="0.3">
      <c r="H1723" s="40"/>
      <c r="J1723" s="36"/>
      <c r="K1723" s="36"/>
      <c r="L1723" s="36"/>
      <c r="M1723" s="36"/>
      <c r="N1723" s="36"/>
      <c r="P1723" s="59"/>
      <c r="Q1723" s="36"/>
      <c r="S1723" s="36"/>
      <c r="U1723" s="36"/>
    </row>
    <row r="1724" spans="8:21" x14ac:dyDescent="0.3">
      <c r="H1724" s="40"/>
      <c r="J1724" s="36"/>
      <c r="K1724" s="36"/>
      <c r="L1724" s="36"/>
      <c r="M1724" s="36"/>
      <c r="N1724" s="36"/>
      <c r="P1724" s="59"/>
      <c r="Q1724" s="36"/>
      <c r="S1724" s="36"/>
      <c r="U1724" s="36"/>
    </row>
    <row r="1725" spans="8:21" x14ac:dyDescent="0.3">
      <c r="H1725" s="40"/>
      <c r="J1725" s="36"/>
      <c r="K1725" s="36"/>
      <c r="L1725" s="36"/>
      <c r="M1725" s="36"/>
      <c r="N1725" s="36"/>
      <c r="P1725" s="59"/>
      <c r="Q1725" s="36"/>
      <c r="S1725" s="36"/>
      <c r="U1725" s="36"/>
    </row>
    <row r="1726" spans="8:21" x14ac:dyDescent="0.3">
      <c r="H1726" s="40"/>
      <c r="J1726" s="36"/>
      <c r="K1726" s="36"/>
      <c r="L1726" s="36"/>
      <c r="M1726" s="36"/>
      <c r="N1726" s="36"/>
      <c r="P1726" s="59"/>
      <c r="Q1726" s="36"/>
      <c r="S1726" s="36"/>
      <c r="U1726" s="36"/>
    </row>
    <row r="1727" spans="8:21" x14ac:dyDescent="0.3">
      <c r="H1727" s="40"/>
      <c r="J1727" s="36"/>
      <c r="K1727" s="36"/>
      <c r="L1727" s="36"/>
      <c r="M1727" s="36"/>
      <c r="N1727" s="36"/>
      <c r="P1727" s="59"/>
      <c r="Q1727" s="36"/>
      <c r="S1727" s="36"/>
      <c r="U1727" s="36"/>
    </row>
    <row r="1728" spans="8:21" x14ac:dyDescent="0.3">
      <c r="H1728" s="40"/>
      <c r="J1728" s="36"/>
      <c r="K1728" s="36"/>
      <c r="L1728" s="36"/>
      <c r="M1728" s="36"/>
      <c r="N1728" s="36"/>
      <c r="P1728" s="59"/>
      <c r="Q1728" s="36"/>
      <c r="S1728" s="36"/>
      <c r="U1728" s="36"/>
    </row>
    <row r="1729" spans="8:21" x14ac:dyDescent="0.3">
      <c r="H1729" s="40"/>
      <c r="J1729" s="36"/>
      <c r="K1729" s="36"/>
      <c r="L1729" s="36"/>
      <c r="M1729" s="36"/>
      <c r="N1729" s="36"/>
      <c r="P1729" s="59"/>
      <c r="Q1729" s="36"/>
      <c r="S1729" s="36"/>
      <c r="U1729" s="36"/>
    </row>
    <row r="1730" spans="8:21" x14ac:dyDescent="0.3">
      <c r="H1730" s="40"/>
      <c r="J1730" s="36"/>
      <c r="K1730" s="36"/>
      <c r="L1730" s="36"/>
      <c r="M1730" s="36"/>
      <c r="N1730" s="36"/>
      <c r="P1730" s="59"/>
      <c r="Q1730" s="36"/>
      <c r="S1730" s="36"/>
      <c r="U1730" s="36"/>
    </row>
    <row r="1731" spans="8:21" x14ac:dyDescent="0.3">
      <c r="H1731" s="40"/>
      <c r="J1731" s="36"/>
      <c r="K1731" s="36"/>
      <c r="L1731" s="36"/>
      <c r="M1731" s="36"/>
      <c r="N1731" s="36"/>
      <c r="P1731" s="59"/>
      <c r="Q1731" s="36"/>
      <c r="S1731" s="36"/>
      <c r="U1731" s="36"/>
    </row>
    <row r="1732" spans="8:21" x14ac:dyDescent="0.3">
      <c r="H1732" s="40"/>
      <c r="J1732" s="36"/>
      <c r="K1732" s="36"/>
      <c r="L1732" s="36"/>
      <c r="M1732" s="36"/>
      <c r="N1732" s="36"/>
      <c r="P1732" s="59"/>
      <c r="Q1732" s="36"/>
      <c r="S1732" s="36"/>
      <c r="U1732" s="36"/>
    </row>
    <row r="1733" spans="8:21" x14ac:dyDescent="0.3">
      <c r="H1733" s="40"/>
      <c r="J1733" s="36"/>
      <c r="K1733" s="36"/>
      <c r="L1733" s="36"/>
      <c r="M1733" s="36"/>
      <c r="N1733" s="36"/>
      <c r="P1733" s="59"/>
      <c r="Q1733" s="36"/>
      <c r="S1733" s="36"/>
      <c r="U1733" s="36"/>
    </row>
    <row r="1734" spans="8:21" x14ac:dyDescent="0.3">
      <c r="H1734" s="40"/>
      <c r="J1734" s="36"/>
      <c r="K1734" s="36"/>
      <c r="L1734" s="36"/>
      <c r="M1734" s="36"/>
      <c r="N1734" s="36"/>
      <c r="P1734" s="59"/>
      <c r="Q1734" s="36"/>
      <c r="S1734" s="36"/>
      <c r="U1734" s="36"/>
    </row>
    <row r="1735" spans="8:21" x14ac:dyDescent="0.3">
      <c r="H1735" s="40"/>
      <c r="J1735" s="36"/>
      <c r="K1735" s="36"/>
      <c r="L1735" s="36"/>
      <c r="M1735" s="36"/>
      <c r="P1735" s="59"/>
      <c r="Q1735" s="36"/>
      <c r="S1735" s="36"/>
      <c r="U1735" s="36"/>
    </row>
    <row r="1736" spans="8:21" x14ac:dyDescent="0.3">
      <c r="H1736" s="40"/>
      <c r="J1736" s="36"/>
      <c r="K1736" s="36"/>
      <c r="L1736" s="36"/>
      <c r="M1736" s="36"/>
      <c r="P1736" s="59"/>
      <c r="Q1736" s="36"/>
      <c r="S1736" s="36"/>
      <c r="U1736" s="36"/>
    </row>
    <row r="1737" spans="8:21" x14ac:dyDescent="0.3">
      <c r="H1737" s="40"/>
      <c r="J1737" s="36"/>
      <c r="K1737" s="36"/>
      <c r="L1737" s="36"/>
      <c r="M1737" s="36"/>
      <c r="P1737" s="59"/>
      <c r="Q1737" s="36"/>
      <c r="S1737" s="36"/>
      <c r="U1737" s="36"/>
    </row>
    <row r="1738" spans="8:21" x14ac:dyDescent="0.3">
      <c r="H1738" s="40"/>
      <c r="J1738" s="36"/>
      <c r="K1738" s="36"/>
      <c r="L1738" s="36"/>
      <c r="M1738" s="36"/>
      <c r="P1738" s="59"/>
      <c r="Q1738" s="36"/>
      <c r="S1738" s="36"/>
      <c r="U1738" s="36"/>
    </row>
    <row r="1739" spans="8:21" x14ac:dyDescent="0.3">
      <c r="H1739" s="40"/>
      <c r="J1739" s="36"/>
      <c r="K1739" s="36"/>
      <c r="L1739" s="36"/>
      <c r="M1739" s="36"/>
      <c r="P1739" s="59"/>
      <c r="Q1739" s="36"/>
      <c r="S1739" s="36"/>
      <c r="U1739" s="36"/>
    </row>
    <row r="1740" spans="8:21" x14ac:dyDescent="0.3">
      <c r="H1740" s="40"/>
      <c r="J1740" s="36"/>
      <c r="K1740" s="36"/>
      <c r="L1740" s="36"/>
      <c r="M1740" s="36"/>
      <c r="P1740" s="59"/>
      <c r="Q1740" s="36"/>
      <c r="S1740" s="36"/>
      <c r="U1740" s="36"/>
    </row>
    <row r="1741" spans="8:21" x14ac:dyDescent="0.3">
      <c r="H1741" s="40"/>
      <c r="J1741" s="36"/>
      <c r="K1741" s="36"/>
      <c r="L1741" s="36"/>
      <c r="M1741" s="36"/>
      <c r="Q1741" s="36"/>
      <c r="S1741" s="36"/>
      <c r="U1741" s="36"/>
    </row>
    <row r="1742" spans="8:21" x14ac:dyDescent="0.3">
      <c r="H1742" s="40"/>
      <c r="J1742" s="36"/>
      <c r="K1742" s="36"/>
      <c r="L1742" s="36"/>
      <c r="M1742" s="36"/>
      <c r="Q1742" s="36"/>
      <c r="S1742" s="36"/>
      <c r="U1742" s="36"/>
    </row>
    <row r="1743" spans="8:21" x14ac:dyDescent="0.3">
      <c r="H1743" s="40"/>
      <c r="J1743" s="36"/>
      <c r="K1743" s="36"/>
      <c r="L1743" s="36"/>
      <c r="M1743" s="36"/>
      <c r="Q1743" s="36"/>
      <c r="S1743" s="36"/>
      <c r="U1743" s="36"/>
    </row>
    <row r="1744" spans="8:21" x14ac:dyDescent="0.3">
      <c r="H1744" s="40"/>
      <c r="J1744" s="36"/>
      <c r="K1744" s="36"/>
      <c r="L1744" s="36"/>
      <c r="M1744" s="36"/>
      <c r="Q1744" s="36"/>
      <c r="S1744" s="36"/>
      <c r="U1744" s="36"/>
    </row>
    <row r="1745" spans="8:21" x14ac:dyDescent="0.3">
      <c r="H1745" s="40"/>
      <c r="J1745" s="36"/>
      <c r="K1745" s="36"/>
      <c r="L1745" s="36"/>
      <c r="M1745" s="36"/>
      <c r="Q1745" s="36"/>
      <c r="S1745" s="36"/>
      <c r="U1745" s="36"/>
    </row>
    <row r="1746" spans="8:21" x14ac:dyDescent="0.3">
      <c r="H1746" s="40"/>
      <c r="J1746" s="36"/>
      <c r="K1746" s="36"/>
      <c r="L1746" s="36"/>
      <c r="M1746" s="36"/>
      <c r="Q1746" s="36"/>
      <c r="S1746" s="36"/>
      <c r="U1746" s="36"/>
    </row>
    <row r="1747" spans="8:21" x14ac:dyDescent="0.3">
      <c r="H1747" s="40"/>
      <c r="J1747" s="36"/>
      <c r="K1747" s="36"/>
      <c r="L1747" s="36"/>
      <c r="M1747" s="36"/>
      <c r="Q1747" s="36"/>
      <c r="S1747" s="36"/>
      <c r="U1747" s="36"/>
    </row>
    <row r="1748" spans="8:21" x14ac:dyDescent="0.3">
      <c r="H1748" s="40"/>
      <c r="J1748" s="36"/>
      <c r="K1748" s="36"/>
      <c r="L1748" s="36"/>
      <c r="M1748" s="36"/>
      <c r="Q1748" s="36"/>
      <c r="S1748" s="36"/>
      <c r="U1748" s="36"/>
    </row>
    <row r="1749" spans="8:21" x14ac:dyDescent="0.3">
      <c r="H1749" s="40"/>
      <c r="J1749" s="36"/>
      <c r="K1749" s="36"/>
      <c r="L1749" s="36"/>
      <c r="M1749" s="36"/>
      <c r="Q1749" s="36"/>
      <c r="S1749" s="36"/>
      <c r="U1749" s="36"/>
    </row>
    <row r="1750" spans="8:21" x14ac:dyDescent="0.3">
      <c r="H1750" s="40"/>
      <c r="J1750" s="36"/>
      <c r="K1750" s="36"/>
      <c r="L1750" s="36"/>
      <c r="M1750" s="36"/>
      <c r="Q1750" s="36"/>
      <c r="S1750" s="36"/>
      <c r="U1750" s="36"/>
    </row>
    <row r="1751" spans="8:21" x14ac:dyDescent="0.3">
      <c r="H1751" s="40"/>
      <c r="J1751" s="36"/>
      <c r="K1751" s="36"/>
      <c r="L1751" s="36"/>
      <c r="M1751" s="36"/>
      <c r="Q1751" s="36"/>
      <c r="S1751" s="36"/>
      <c r="U1751" s="36"/>
    </row>
    <row r="1752" spans="8:21" x14ac:dyDescent="0.3">
      <c r="H1752" s="40"/>
      <c r="J1752" s="36"/>
      <c r="K1752" s="36"/>
      <c r="L1752" s="36"/>
      <c r="M1752" s="36"/>
      <c r="Q1752" s="36"/>
      <c r="S1752" s="36"/>
      <c r="U1752" s="36"/>
    </row>
    <row r="1753" spans="8:21" x14ac:dyDescent="0.3">
      <c r="H1753" s="40"/>
      <c r="J1753" s="36"/>
      <c r="K1753" s="36"/>
      <c r="L1753" s="36"/>
      <c r="M1753" s="36"/>
      <c r="Q1753" s="36"/>
      <c r="S1753" s="36"/>
      <c r="U1753" s="36"/>
    </row>
    <row r="1754" spans="8:21" x14ac:dyDescent="0.3">
      <c r="H1754" s="40"/>
      <c r="J1754" s="36"/>
      <c r="K1754" s="36"/>
      <c r="L1754" s="36"/>
      <c r="M1754" s="36"/>
      <c r="Q1754" s="36"/>
      <c r="S1754" s="36"/>
      <c r="U1754" s="36"/>
    </row>
    <row r="1755" spans="8:21" x14ac:dyDescent="0.3">
      <c r="H1755" s="40"/>
      <c r="J1755" s="36"/>
      <c r="K1755" s="36"/>
      <c r="L1755" s="36"/>
      <c r="M1755" s="36"/>
      <c r="Q1755" s="36"/>
      <c r="S1755" s="36"/>
      <c r="U1755" s="36"/>
    </row>
    <row r="1756" spans="8:21" x14ac:dyDescent="0.3">
      <c r="H1756" s="40"/>
      <c r="J1756" s="36"/>
      <c r="K1756" s="36"/>
      <c r="L1756" s="36"/>
      <c r="M1756" s="36"/>
      <c r="Q1756" s="36"/>
      <c r="S1756" s="36"/>
      <c r="U1756" s="36"/>
    </row>
    <row r="1757" spans="8:21" x14ac:dyDescent="0.3">
      <c r="H1757" s="40"/>
      <c r="J1757" s="36"/>
      <c r="K1757" s="36"/>
      <c r="L1757" s="36"/>
      <c r="M1757" s="36"/>
      <c r="Q1757" s="36"/>
      <c r="S1757" s="36"/>
      <c r="U1757" s="36"/>
    </row>
    <row r="1758" spans="8:21" x14ac:dyDescent="0.3">
      <c r="H1758" s="40"/>
      <c r="J1758" s="36"/>
      <c r="K1758" s="36"/>
      <c r="L1758" s="36"/>
      <c r="M1758" s="36"/>
      <c r="Q1758" s="36"/>
      <c r="S1758" s="36"/>
      <c r="U1758" s="36"/>
    </row>
    <row r="1759" spans="8:21" x14ac:dyDescent="0.3">
      <c r="H1759" s="40"/>
      <c r="J1759" s="36"/>
      <c r="K1759" s="36"/>
      <c r="L1759" s="36"/>
      <c r="M1759" s="36"/>
      <c r="Q1759" s="36"/>
      <c r="S1759" s="36"/>
      <c r="U1759" s="36"/>
    </row>
    <row r="1760" spans="8:21" x14ac:dyDescent="0.3">
      <c r="H1760" s="40"/>
      <c r="J1760" s="36"/>
      <c r="K1760" s="36"/>
      <c r="L1760" s="36"/>
      <c r="M1760" s="36"/>
      <c r="Q1760" s="36"/>
      <c r="S1760" s="36"/>
      <c r="U1760" s="36"/>
    </row>
    <row r="1761" spans="8:21" x14ac:dyDescent="0.3">
      <c r="H1761" s="40"/>
      <c r="J1761" s="36"/>
      <c r="K1761" s="36"/>
      <c r="L1761" s="36"/>
      <c r="M1761" s="36"/>
      <c r="Q1761" s="36"/>
      <c r="S1761" s="36"/>
      <c r="U1761" s="36"/>
    </row>
    <row r="1762" spans="8:21" x14ac:dyDescent="0.3">
      <c r="H1762" s="40"/>
      <c r="J1762" s="36"/>
      <c r="K1762" s="36"/>
      <c r="L1762" s="36"/>
      <c r="M1762" s="36"/>
      <c r="Q1762" s="36"/>
      <c r="S1762" s="36"/>
      <c r="U1762" s="36"/>
    </row>
    <row r="1763" spans="8:21" x14ac:dyDescent="0.3">
      <c r="H1763" s="40"/>
      <c r="J1763" s="36"/>
      <c r="K1763" s="36"/>
      <c r="L1763" s="36"/>
      <c r="M1763" s="36"/>
      <c r="Q1763" s="36"/>
      <c r="S1763" s="36"/>
      <c r="U1763" s="36"/>
    </row>
    <row r="1764" spans="8:21" x14ac:dyDescent="0.3">
      <c r="H1764" s="40"/>
      <c r="J1764" s="36"/>
      <c r="K1764" s="36"/>
      <c r="L1764" s="36"/>
      <c r="M1764" s="36"/>
      <c r="Q1764" s="36"/>
      <c r="S1764" s="36"/>
      <c r="U1764" s="36"/>
    </row>
    <row r="1765" spans="8:21" x14ac:dyDescent="0.3">
      <c r="H1765" s="40"/>
      <c r="J1765" s="36"/>
      <c r="K1765" s="36"/>
      <c r="L1765" s="36"/>
      <c r="M1765" s="36"/>
      <c r="Q1765" s="36"/>
      <c r="S1765" s="36"/>
      <c r="U1765" s="36"/>
    </row>
    <row r="1766" spans="8:21" x14ac:dyDescent="0.3">
      <c r="H1766" s="40"/>
      <c r="J1766" s="36"/>
      <c r="K1766" s="36"/>
      <c r="L1766" s="36"/>
      <c r="M1766" s="36"/>
      <c r="Q1766" s="36"/>
      <c r="S1766" s="36"/>
      <c r="U1766" s="36"/>
    </row>
    <row r="1767" spans="8:21" x14ac:dyDescent="0.3">
      <c r="H1767" s="40"/>
      <c r="J1767" s="36"/>
      <c r="K1767" s="36"/>
      <c r="L1767" s="36"/>
      <c r="M1767" s="36"/>
      <c r="Q1767" s="36"/>
      <c r="S1767" s="36"/>
      <c r="U1767" s="36"/>
    </row>
    <row r="1768" spans="8:21" x14ac:dyDescent="0.3">
      <c r="H1768" s="40"/>
      <c r="J1768" s="36"/>
      <c r="K1768" s="36"/>
      <c r="L1768" s="36"/>
      <c r="M1768" s="36"/>
      <c r="Q1768" s="36"/>
      <c r="S1768" s="36"/>
      <c r="U1768" s="36"/>
    </row>
    <row r="1769" spans="8:21" x14ac:dyDescent="0.3">
      <c r="H1769" s="40"/>
      <c r="J1769" s="36"/>
      <c r="K1769" s="36"/>
      <c r="L1769" s="36"/>
      <c r="M1769" s="36"/>
      <c r="Q1769" s="36"/>
      <c r="S1769" s="36"/>
      <c r="U1769" s="36"/>
    </row>
    <row r="1770" spans="8:21" x14ac:dyDescent="0.3">
      <c r="H1770" s="40"/>
      <c r="J1770" s="36"/>
      <c r="K1770" s="36"/>
      <c r="L1770" s="36"/>
      <c r="M1770" s="36"/>
      <c r="Q1770" s="36"/>
      <c r="S1770" s="36"/>
      <c r="U1770" s="36"/>
    </row>
    <row r="1771" spans="8:21" x14ac:dyDescent="0.3">
      <c r="H1771" s="40"/>
      <c r="J1771" s="36"/>
      <c r="K1771" s="36"/>
      <c r="L1771" s="36"/>
      <c r="M1771" s="36"/>
      <c r="Q1771" s="36"/>
      <c r="S1771" s="36"/>
      <c r="U1771" s="36"/>
    </row>
    <row r="1772" spans="8:21" x14ac:dyDescent="0.3">
      <c r="H1772" s="40"/>
      <c r="J1772" s="36"/>
      <c r="K1772" s="36"/>
      <c r="L1772" s="36"/>
      <c r="M1772" s="36"/>
      <c r="Q1772" s="36"/>
      <c r="S1772" s="36"/>
      <c r="U1772" s="36"/>
    </row>
    <row r="1773" spans="8:21" x14ac:dyDescent="0.3">
      <c r="H1773" s="40"/>
      <c r="J1773" s="36"/>
      <c r="K1773" s="36"/>
      <c r="L1773" s="36"/>
      <c r="M1773" s="36"/>
      <c r="Q1773" s="36"/>
      <c r="S1773" s="36"/>
      <c r="U1773" s="36"/>
    </row>
    <row r="1774" spans="8:21" x14ac:dyDescent="0.3">
      <c r="H1774" s="40"/>
      <c r="J1774" s="36"/>
      <c r="K1774" s="36"/>
      <c r="L1774" s="36"/>
      <c r="M1774" s="36"/>
      <c r="Q1774" s="36"/>
      <c r="S1774" s="36"/>
      <c r="U1774" s="36"/>
    </row>
    <row r="1775" spans="8:21" x14ac:dyDescent="0.3">
      <c r="H1775" s="40"/>
      <c r="J1775" s="36"/>
      <c r="K1775" s="36"/>
      <c r="L1775" s="36"/>
      <c r="M1775" s="36"/>
      <c r="Q1775" s="36"/>
      <c r="S1775" s="36"/>
      <c r="U1775" s="36"/>
    </row>
    <row r="1776" spans="8:21" x14ac:dyDescent="0.3">
      <c r="H1776" s="40"/>
      <c r="J1776" s="36"/>
      <c r="K1776" s="36"/>
      <c r="L1776" s="36"/>
      <c r="M1776" s="36"/>
      <c r="Q1776" s="36"/>
      <c r="S1776" s="36"/>
      <c r="U1776" s="36"/>
    </row>
    <row r="1777" spans="8:21" x14ac:dyDescent="0.3">
      <c r="H1777" s="40"/>
      <c r="J1777" s="36"/>
      <c r="K1777" s="36"/>
      <c r="L1777" s="36"/>
      <c r="M1777" s="36"/>
      <c r="Q1777" s="36"/>
      <c r="S1777" s="36"/>
      <c r="U1777" s="36"/>
    </row>
    <row r="1778" spans="8:21" x14ac:dyDescent="0.3">
      <c r="H1778" s="40"/>
      <c r="J1778" s="36"/>
      <c r="K1778" s="36"/>
      <c r="L1778" s="36"/>
      <c r="M1778" s="36"/>
      <c r="Q1778" s="36"/>
      <c r="S1778" s="36"/>
      <c r="U1778" s="36"/>
    </row>
    <row r="1779" spans="8:21" x14ac:dyDescent="0.3">
      <c r="H1779" s="40"/>
      <c r="J1779" s="36"/>
      <c r="K1779" s="36"/>
      <c r="L1779" s="36"/>
      <c r="M1779" s="36"/>
      <c r="Q1779" s="36"/>
      <c r="S1779" s="36"/>
      <c r="U1779" s="36"/>
    </row>
    <row r="1780" spans="8:21" x14ac:dyDescent="0.3">
      <c r="H1780" s="40"/>
      <c r="J1780" s="36"/>
      <c r="K1780" s="36"/>
      <c r="L1780" s="36"/>
      <c r="M1780" s="36"/>
      <c r="Q1780" s="36"/>
      <c r="S1780" s="36"/>
      <c r="U1780" s="36"/>
    </row>
    <row r="1781" spans="8:21" x14ac:dyDescent="0.3">
      <c r="H1781" s="40"/>
      <c r="J1781" s="36"/>
      <c r="K1781" s="36"/>
      <c r="L1781" s="36"/>
      <c r="M1781" s="36"/>
      <c r="Q1781" s="36"/>
      <c r="S1781" s="36"/>
      <c r="U1781" s="36"/>
    </row>
    <row r="1782" spans="8:21" x14ac:dyDescent="0.3">
      <c r="H1782" s="40"/>
      <c r="J1782" s="36"/>
      <c r="K1782" s="36"/>
      <c r="L1782" s="36"/>
      <c r="M1782" s="36"/>
      <c r="Q1782" s="36"/>
      <c r="S1782" s="36"/>
      <c r="U1782" s="36"/>
    </row>
    <row r="1783" spans="8:21" x14ac:dyDescent="0.3">
      <c r="H1783" s="40"/>
      <c r="J1783" s="36"/>
      <c r="K1783" s="36"/>
      <c r="L1783" s="36"/>
      <c r="M1783" s="36"/>
      <c r="Q1783" s="36"/>
      <c r="S1783" s="36"/>
      <c r="U1783" s="36"/>
    </row>
    <row r="1784" spans="8:21" x14ac:dyDescent="0.3">
      <c r="H1784" s="40"/>
      <c r="J1784" s="36"/>
      <c r="K1784" s="36"/>
      <c r="L1784" s="36"/>
      <c r="M1784" s="36"/>
      <c r="Q1784" s="36"/>
      <c r="S1784" s="36"/>
      <c r="U1784" s="36"/>
    </row>
    <row r="1785" spans="8:21" x14ac:dyDescent="0.3">
      <c r="H1785" s="40"/>
      <c r="J1785" s="36"/>
      <c r="K1785" s="36"/>
      <c r="L1785" s="36"/>
      <c r="M1785" s="36"/>
      <c r="Q1785" s="36"/>
      <c r="S1785" s="36"/>
      <c r="U1785" s="36"/>
    </row>
    <row r="1786" spans="8:21" x14ac:dyDescent="0.3">
      <c r="H1786" s="40"/>
      <c r="J1786" s="36"/>
      <c r="K1786" s="36"/>
      <c r="L1786" s="36"/>
      <c r="M1786" s="36"/>
      <c r="Q1786" s="36"/>
      <c r="S1786" s="36"/>
      <c r="U1786" s="36"/>
    </row>
    <row r="1787" spans="8:21" x14ac:dyDescent="0.3">
      <c r="H1787" s="40"/>
      <c r="J1787" s="36"/>
      <c r="K1787" s="36"/>
      <c r="L1787" s="36"/>
      <c r="M1787" s="36"/>
      <c r="Q1787" s="36"/>
      <c r="S1787" s="36"/>
      <c r="U1787" s="36"/>
    </row>
    <row r="1788" spans="8:21" x14ac:dyDescent="0.3">
      <c r="H1788" s="40"/>
      <c r="J1788" s="36"/>
      <c r="K1788" s="36"/>
      <c r="L1788" s="36"/>
      <c r="M1788" s="36"/>
      <c r="Q1788" s="36"/>
      <c r="S1788" s="36"/>
      <c r="U1788" s="36"/>
    </row>
    <row r="1789" spans="8:21" x14ac:dyDescent="0.3">
      <c r="H1789" s="40"/>
      <c r="J1789" s="36"/>
      <c r="K1789" s="36"/>
      <c r="L1789" s="36"/>
      <c r="M1789" s="36"/>
      <c r="Q1789" s="36"/>
      <c r="S1789" s="36"/>
      <c r="U1789" s="36"/>
    </row>
    <row r="1790" spans="8:21" x14ac:dyDescent="0.3">
      <c r="H1790" s="40"/>
      <c r="J1790" s="36"/>
      <c r="K1790" s="36"/>
      <c r="L1790" s="36"/>
      <c r="M1790" s="36"/>
      <c r="Q1790" s="36"/>
      <c r="S1790" s="36"/>
      <c r="U1790" s="36"/>
    </row>
    <row r="1791" spans="8:21" x14ac:dyDescent="0.3">
      <c r="H1791" s="40"/>
      <c r="J1791" s="36"/>
      <c r="K1791" s="36"/>
      <c r="L1791" s="36"/>
      <c r="M1791" s="36"/>
      <c r="Q1791" s="36"/>
      <c r="S1791" s="36"/>
      <c r="U1791" s="36"/>
    </row>
    <row r="1792" spans="8:21" x14ac:dyDescent="0.3">
      <c r="H1792" s="40"/>
      <c r="J1792" s="36"/>
      <c r="K1792" s="36"/>
      <c r="L1792" s="36"/>
      <c r="M1792" s="36"/>
      <c r="Q1792" s="36"/>
      <c r="S1792" s="36"/>
      <c r="U1792" s="36"/>
    </row>
    <row r="1793" spans="8:21" x14ac:dyDescent="0.3">
      <c r="H1793" s="40"/>
      <c r="J1793" s="36"/>
      <c r="K1793" s="36"/>
      <c r="L1793" s="36"/>
      <c r="M1793" s="36"/>
      <c r="Q1793" s="36"/>
      <c r="S1793" s="36"/>
      <c r="U1793" s="36"/>
    </row>
    <row r="1794" spans="8:21" x14ac:dyDescent="0.3">
      <c r="H1794" s="40"/>
      <c r="J1794" s="36"/>
      <c r="K1794" s="36"/>
      <c r="L1794" s="36"/>
      <c r="M1794" s="36"/>
      <c r="Q1794" s="36"/>
      <c r="S1794" s="36"/>
      <c r="U1794" s="36"/>
    </row>
    <row r="1795" spans="8:21" x14ac:dyDescent="0.3">
      <c r="H1795" s="40"/>
      <c r="J1795" s="36"/>
      <c r="K1795" s="36"/>
      <c r="L1795" s="36"/>
      <c r="M1795" s="36"/>
      <c r="Q1795" s="36"/>
      <c r="S1795" s="36"/>
      <c r="U1795" s="36"/>
    </row>
    <row r="1796" spans="8:21" x14ac:dyDescent="0.3">
      <c r="H1796" s="40"/>
      <c r="J1796" s="36"/>
      <c r="K1796" s="36"/>
      <c r="L1796" s="36"/>
      <c r="M1796" s="36"/>
      <c r="Q1796" s="36"/>
      <c r="S1796" s="36"/>
      <c r="U1796" s="36"/>
    </row>
    <row r="1797" spans="8:21" x14ac:dyDescent="0.3">
      <c r="H1797" s="40"/>
      <c r="J1797" s="36"/>
      <c r="K1797" s="36"/>
      <c r="L1797" s="36"/>
      <c r="M1797" s="36"/>
      <c r="Q1797" s="36"/>
      <c r="S1797" s="36"/>
      <c r="U1797" s="36"/>
    </row>
    <row r="1798" spans="8:21" x14ac:dyDescent="0.3">
      <c r="H1798" s="40"/>
      <c r="J1798" s="36"/>
      <c r="K1798" s="36"/>
      <c r="L1798" s="36"/>
      <c r="M1798" s="36"/>
      <c r="Q1798" s="36"/>
      <c r="S1798" s="36"/>
      <c r="U1798" s="36"/>
    </row>
    <row r="1799" spans="8:21" x14ac:dyDescent="0.3">
      <c r="H1799" s="40"/>
      <c r="J1799" s="36"/>
      <c r="K1799" s="36"/>
      <c r="L1799" s="36"/>
      <c r="M1799" s="36"/>
      <c r="Q1799" s="36"/>
      <c r="S1799" s="36"/>
      <c r="U1799" s="36"/>
    </row>
    <row r="1800" spans="8:21" x14ac:dyDescent="0.3">
      <c r="H1800" s="40"/>
      <c r="J1800" s="36"/>
      <c r="K1800" s="36"/>
      <c r="L1800" s="36"/>
      <c r="M1800" s="36"/>
      <c r="Q1800" s="36"/>
      <c r="S1800" s="36"/>
      <c r="U1800" s="36"/>
    </row>
    <row r="1801" spans="8:21" x14ac:dyDescent="0.3">
      <c r="H1801" s="40"/>
      <c r="J1801" s="36"/>
      <c r="K1801" s="36"/>
      <c r="L1801" s="36"/>
      <c r="M1801" s="36"/>
      <c r="Q1801" s="36"/>
      <c r="S1801" s="36"/>
      <c r="U1801" s="36"/>
    </row>
    <row r="1802" spans="8:21" x14ac:dyDescent="0.3">
      <c r="H1802" s="40"/>
      <c r="J1802" s="36"/>
      <c r="K1802" s="36"/>
      <c r="L1802" s="36"/>
      <c r="M1802" s="36"/>
      <c r="Q1802" s="36"/>
      <c r="S1802" s="36"/>
      <c r="U1802" s="36"/>
    </row>
    <row r="1803" spans="8:21" x14ac:dyDescent="0.3">
      <c r="H1803" s="40"/>
      <c r="J1803" s="36"/>
      <c r="K1803" s="36"/>
      <c r="L1803" s="36"/>
      <c r="M1803" s="36"/>
      <c r="Q1803" s="36"/>
      <c r="S1803" s="36"/>
      <c r="U1803" s="36"/>
    </row>
    <row r="1804" spans="8:21" x14ac:dyDescent="0.3">
      <c r="H1804" s="40"/>
      <c r="J1804" s="36"/>
      <c r="K1804" s="36"/>
      <c r="L1804" s="36"/>
      <c r="M1804" s="36"/>
      <c r="Q1804" s="36"/>
      <c r="S1804" s="36"/>
      <c r="U1804" s="36"/>
    </row>
    <row r="1805" spans="8:21" x14ac:dyDescent="0.3">
      <c r="H1805" s="40"/>
      <c r="J1805" s="36"/>
      <c r="K1805" s="36"/>
      <c r="L1805" s="36"/>
      <c r="M1805" s="36"/>
      <c r="Q1805" s="36"/>
      <c r="S1805" s="36"/>
      <c r="U1805" s="36"/>
    </row>
    <row r="1806" spans="8:21" x14ac:dyDescent="0.3">
      <c r="H1806" s="40"/>
      <c r="J1806" s="36"/>
      <c r="K1806" s="36"/>
      <c r="L1806" s="36"/>
      <c r="M1806" s="36"/>
      <c r="Q1806" s="36"/>
      <c r="S1806" s="36"/>
      <c r="U1806" s="36"/>
    </row>
    <row r="1807" spans="8:21" x14ac:dyDescent="0.3">
      <c r="H1807" s="40"/>
      <c r="J1807" s="36"/>
      <c r="K1807" s="36"/>
      <c r="L1807" s="36"/>
      <c r="M1807" s="36"/>
      <c r="Q1807" s="36"/>
      <c r="S1807" s="36"/>
      <c r="U1807" s="36"/>
    </row>
    <row r="1808" spans="8:21" x14ac:dyDescent="0.3">
      <c r="H1808" s="40"/>
      <c r="J1808" s="36"/>
      <c r="K1808" s="36"/>
      <c r="L1808" s="36"/>
      <c r="M1808" s="36"/>
      <c r="Q1808" s="36"/>
      <c r="S1808" s="36"/>
      <c r="U1808" s="36"/>
    </row>
    <row r="1809" spans="8:21" x14ac:dyDescent="0.3">
      <c r="H1809" s="40"/>
      <c r="J1809" s="36"/>
      <c r="K1809" s="36"/>
      <c r="L1809" s="36"/>
      <c r="M1809" s="36"/>
      <c r="Q1809" s="36"/>
      <c r="S1809" s="36"/>
      <c r="U1809" s="36"/>
    </row>
    <row r="1810" spans="8:21" x14ac:dyDescent="0.3">
      <c r="H1810" s="40"/>
      <c r="J1810" s="36"/>
      <c r="K1810" s="36"/>
      <c r="L1810" s="36"/>
      <c r="M1810" s="36"/>
      <c r="Q1810" s="36"/>
      <c r="S1810" s="36"/>
      <c r="U1810" s="36"/>
    </row>
    <row r="1811" spans="8:21" x14ac:dyDescent="0.3">
      <c r="H1811" s="40"/>
      <c r="J1811" s="36"/>
      <c r="K1811" s="36"/>
      <c r="L1811" s="36"/>
      <c r="M1811" s="36"/>
      <c r="Q1811" s="36"/>
      <c r="S1811" s="36"/>
      <c r="U1811" s="36"/>
    </row>
    <row r="1812" spans="8:21" x14ac:dyDescent="0.3">
      <c r="H1812" s="40"/>
      <c r="J1812" s="36"/>
      <c r="K1812" s="36"/>
      <c r="L1812" s="36"/>
      <c r="M1812" s="36"/>
      <c r="Q1812" s="36"/>
      <c r="S1812" s="36"/>
      <c r="U1812" s="36"/>
    </row>
    <row r="1813" spans="8:21" x14ac:dyDescent="0.3">
      <c r="H1813" s="40"/>
      <c r="J1813" s="36"/>
      <c r="K1813" s="36"/>
      <c r="L1813" s="36"/>
      <c r="M1813" s="36"/>
      <c r="Q1813" s="36"/>
      <c r="S1813" s="36"/>
      <c r="U1813" s="36"/>
    </row>
    <row r="1814" spans="8:21" x14ac:dyDescent="0.3">
      <c r="H1814" s="40"/>
      <c r="J1814" s="36"/>
      <c r="K1814" s="36"/>
      <c r="L1814" s="36"/>
      <c r="M1814" s="36"/>
      <c r="Q1814" s="36"/>
      <c r="S1814" s="36"/>
      <c r="U1814" s="36"/>
    </row>
    <row r="1815" spans="8:21" x14ac:dyDescent="0.3">
      <c r="H1815" s="40"/>
      <c r="J1815" s="36"/>
      <c r="K1815" s="36"/>
      <c r="L1815" s="36"/>
      <c r="M1815" s="36"/>
      <c r="Q1815" s="36"/>
      <c r="S1815" s="36"/>
      <c r="U1815" s="36"/>
    </row>
    <row r="1816" spans="8:21" x14ac:dyDescent="0.3">
      <c r="H1816" s="40"/>
      <c r="J1816" s="36"/>
      <c r="K1816" s="36"/>
      <c r="L1816" s="36"/>
      <c r="M1816" s="36"/>
      <c r="Q1816" s="36"/>
      <c r="S1816" s="36"/>
      <c r="U1816" s="36"/>
    </row>
    <row r="1817" spans="8:21" x14ac:dyDescent="0.3">
      <c r="H1817" s="40"/>
      <c r="J1817" s="36"/>
      <c r="K1817" s="36"/>
      <c r="L1817" s="36"/>
      <c r="M1817" s="36"/>
      <c r="Q1817" s="36"/>
      <c r="S1817" s="36"/>
      <c r="U1817" s="36"/>
    </row>
    <row r="1818" spans="8:21" x14ac:dyDescent="0.3">
      <c r="H1818" s="40"/>
      <c r="J1818" s="36"/>
      <c r="K1818" s="36"/>
      <c r="L1818" s="36"/>
      <c r="M1818" s="36"/>
      <c r="Q1818" s="36"/>
      <c r="S1818" s="36"/>
      <c r="U1818" s="36"/>
    </row>
    <row r="1819" spans="8:21" x14ac:dyDescent="0.3">
      <c r="H1819" s="40"/>
      <c r="J1819" s="36"/>
      <c r="K1819" s="36"/>
      <c r="L1819" s="36"/>
      <c r="M1819" s="36"/>
      <c r="Q1819" s="36"/>
      <c r="S1819" s="36"/>
      <c r="U1819" s="36"/>
    </row>
    <row r="1820" spans="8:21" x14ac:dyDescent="0.3">
      <c r="H1820" s="40"/>
      <c r="J1820" s="36"/>
      <c r="K1820" s="36"/>
      <c r="L1820" s="36"/>
      <c r="M1820" s="36"/>
      <c r="Q1820" s="36"/>
      <c r="S1820" s="36"/>
      <c r="U1820" s="36"/>
    </row>
    <row r="1821" spans="8:21" x14ac:dyDescent="0.3">
      <c r="H1821" s="40"/>
      <c r="J1821" s="36"/>
      <c r="K1821" s="36"/>
      <c r="L1821" s="36"/>
      <c r="M1821" s="36"/>
      <c r="Q1821" s="36"/>
      <c r="S1821" s="36"/>
      <c r="U1821" s="36"/>
    </row>
    <row r="1822" spans="8:21" x14ac:dyDescent="0.3">
      <c r="H1822" s="40"/>
      <c r="J1822" s="36"/>
      <c r="K1822" s="36"/>
      <c r="L1822" s="36"/>
      <c r="M1822" s="36"/>
      <c r="Q1822" s="36"/>
      <c r="S1822" s="36"/>
      <c r="U1822" s="36"/>
    </row>
    <row r="1823" spans="8:21" x14ac:dyDescent="0.3">
      <c r="H1823" s="40"/>
      <c r="J1823" s="36"/>
      <c r="K1823" s="36"/>
      <c r="L1823" s="36"/>
      <c r="M1823" s="36"/>
      <c r="Q1823" s="36"/>
      <c r="S1823" s="36"/>
      <c r="U1823" s="36"/>
    </row>
    <row r="1824" spans="8:21" x14ac:dyDescent="0.3">
      <c r="H1824" s="40"/>
      <c r="J1824" s="36"/>
      <c r="K1824" s="36"/>
      <c r="L1824" s="36"/>
      <c r="M1824" s="36"/>
      <c r="Q1824" s="36"/>
      <c r="S1824" s="36"/>
      <c r="U1824" s="36"/>
    </row>
    <row r="1825" spans="8:21" x14ac:dyDescent="0.3">
      <c r="H1825" s="40"/>
      <c r="J1825" s="36"/>
      <c r="K1825" s="36"/>
      <c r="L1825" s="36"/>
      <c r="M1825" s="36"/>
      <c r="Q1825" s="36"/>
      <c r="S1825" s="36"/>
      <c r="U1825" s="36"/>
    </row>
    <row r="1826" spans="8:21" x14ac:dyDescent="0.3">
      <c r="H1826" s="40"/>
      <c r="J1826" s="36"/>
      <c r="K1826" s="36"/>
      <c r="L1826" s="36"/>
      <c r="M1826" s="36"/>
      <c r="Q1826" s="36"/>
      <c r="S1826" s="36"/>
      <c r="U1826" s="36"/>
    </row>
    <row r="1827" spans="8:21" x14ac:dyDescent="0.3">
      <c r="H1827" s="40"/>
      <c r="J1827" s="36"/>
      <c r="K1827" s="36"/>
      <c r="L1827" s="36"/>
      <c r="M1827" s="36"/>
      <c r="Q1827" s="36"/>
      <c r="S1827" s="36"/>
      <c r="U1827" s="36"/>
    </row>
    <row r="1828" spans="8:21" x14ac:dyDescent="0.3">
      <c r="H1828" s="40"/>
      <c r="J1828" s="36"/>
      <c r="K1828" s="36"/>
      <c r="L1828" s="36"/>
      <c r="M1828" s="36"/>
      <c r="Q1828" s="36"/>
      <c r="S1828" s="36"/>
      <c r="U1828" s="36"/>
    </row>
    <row r="1829" spans="8:21" x14ac:dyDescent="0.3">
      <c r="H1829" s="40"/>
      <c r="J1829" s="36"/>
      <c r="K1829" s="36"/>
      <c r="L1829" s="36"/>
      <c r="M1829" s="36"/>
      <c r="Q1829" s="36"/>
      <c r="S1829" s="36"/>
      <c r="U1829" s="36"/>
    </row>
    <row r="1830" spans="8:21" x14ac:dyDescent="0.3">
      <c r="H1830" s="40"/>
      <c r="J1830" s="36"/>
      <c r="K1830" s="36"/>
      <c r="L1830" s="36"/>
      <c r="M1830" s="36"/>
      <c r="Q1830" s="36"/>
      <c r="S1830" s="36"/>
      <c r="U1830" s="36"/>
    </row>
    <row r="1831" spans="8:21" x14ac:dyDescent="0.3">
      <c r="H1831" s="40"/>
      <c r="J1831" s="36"/>
      <c r="K1831" s="36"/>
      <c r="L1831" s="36"/>
      <c r="M1831" s="36"/>
      <c r="Q1831" s="36"/>
      <c r="S1831" s="36"/>
      <c r="U1831" s="36"/>
    </row>
    <row r="1832" spans="8:21" x14ac:dyDescent="0.3">
      <c r="H1832" s="40"/>
      <c r="J1832" s="36"/>
      <c r="K1832" s="36"/>
      <c r="L1832" s="36"/>
      <c r="M1832" s="36"/>
      <c r="Q1832" s="36"/>
      <c r="S1832" s="36"/>
      <c r="U1832" s="36"/>
    </row>
    <row r="1833" spans="8:21" x14ac:dyDescent="0.3">
      <c r="H1833" s="40"/>
      <c r="J1833" s="36"/>
      <c r="K1833" s="36"/>
      <c r="L1833" s="36"/>
      <c r="M1833" s="36"/>
      <c r="Q1833" s="36"/>
      <c r="S1833" s="36"/>
      <c r="U1833" s="36"/>
    </row>
    <row r="1834" spans="8:21" x14ac:dyDescent="0.3">
      <c r="H1834" s="40"/>
      <c r="J1834" s="36"/>
      <c r="K1834" s="36"/>
      <c r="L1834" s="36"/>
      <c r="M1834" s="36"/>
      <c r="Q1834" s="36"/>
      <c r="S1834" s="36"/>
      <c r="U1834" s="36"/>
    </row>
    <row r="1835" spans="8:21" x14ac:dyDescent="0.3">
      <c r="H1835" s="40"/>
      <c r="J1835" s="36"/>
      <c r="K1835" s="36"/>
      <c r="L1835" s="36"/>
      <c r="M1835" s="36"/>
      <c r="Q1835" s="36"/>
      <c r="S1835" s="36"/>
      <c r="U1835" s="36"/>
    </row>
    <row r="1836" spans="8:21" x14ac:dyDescent="0.3">
      <c r="H1836" s="40"/>
      <c r="J1836" s="36"/>
      <c r="K1836" s="36"/>
      <c r="L1836" s="36"/>
      <c r="M1836" s="36"/>
      <c r="Q1836" s="36"/>
      <c r="S1836" s="36"/>
      <c r="U1836" s="36"/>
    </row>
    <row r="1837" spans="8:21" x14ac:dyDescent="0.3">
      <c r="H1837" s="40"/>
      <c r="J1837" s="36"/>
      <c r="K1837" s="36"/>
      <c r="L1837" s="36"/>
      <c r="M1837" s="36"/>
      <c r="Q1837" s="36"/>
      <c r="S1837" s="36"/>
      <c r="U1837" s="36"/>
    </row>
    <row r="1838" spans="8:21" x14ac:dyDescent="0.3">
      <c r="H1838" s="40"/>
      <c r="J1838" s="36"/>
      <c r="K1838" s="36"/>
      <c r="L1838" s="36"/>
      <c r="M1838" s="36"/>
      <c r="Q1838" s="36"/>
      <c r="S1838" s="36"/>
      <c r="U1838" s="36"/>
    </row>
    <row r="1839" spans="8:21" x14ac:dyDescent="0.3">
      <c r="H1839" s="40"/>
      <c r="J1839" s="36"/>
      <c r="K1839" s="36"/>
      <c r="L1839" s="36"/>
      <c r="M1839" s="36"/>
      <c r="Q1839" s="36"/>
      <c r="S1839" s="36"/>
      <c r="U1839" s="36"/>
    </row>
    <row r="1840" spans="8:21" x14ac:dyDescent="0.3">
      <c r="H1840" s="40"/>
      <c r="J1840" s="36"/>
      <c r="K1840" s="36"/>
      <c r="L1840" s="36"/>
      <c r="M1840" s="36"/>
      <c r="Q1840" s="36"/>
      <c r="S1840" s="36"/>
      <c r="U1840" s="36"/>
    </row>
    <row r="1841" spans="8:21" x14ac:dyDescent="0.3">
      <c r="H1841" s="40"/>
      <c r="J1841" s="36"/>
      <c r="K1841" s="36"/>
      <c r="L1841" s="36"/>
      <c r="M1841" s="36"/>
      <c r="Q1841" s="36"/>
      <c r="S1841" s="36"/>
      <c r="U1841" s="36"/>
    </row>
    <row r="1842" spans="8:21" x14ac:dyDescent="0.3">
      <c r="H1842" s="40"/>
      <c r="J1842" s="36"/>
      <c r="K1842" s="36"/>
      <c r="L1842" s="36"/>
      <c r="M1842" s="36"/>
      <c r="Q1842" s="36"/>
      <c r="S1842" s="36"/>
      <c r="U1842" s="36"/>
    </row>
    <row r="1843" spans="8:21" x14ac:dyDescent="0.3">
      <c r="H1843" s="40"/>
      <c r="J1843" s="36"/>
      <c r="K1843" s="36"/>
      <c r="L1843" s="36"/>
      <c r="M1843" s="36"/>
      <c r="Q1843" s="36"/>
      <c r="S1843" s="36"/>
      <c r="U1843" s="36"/>
    </row>
    <row r="1844" spans="8:21" x14ac:dyDescent="0.3">
      <c r="H1844" s="40"/>
      <c r="J1844" s="36"/>
      <c r="K1844" s="36"/>
      <c r="L1844" s="36"/>
      <c r="M1844" s="36"/>
      <c r="Q1844" s="36"/>
      <c r="S1844" s="36"/>
      <c r="U1844" s="36"/>
    </row>
    <row r="1845" spans="8:21" x14ac:dyDescent="0.3">
      <c r="H1845" s="40"/>
      <c r="J1845" s="36"/>
      <c r="K1845" s="36"/>
      <c r="L1845" s="36"/>
      <c r="M1845" s="36"/>
      <c r="Q1845" s="36"/>
      <c r="S1845" s="36"/>
      <c r="U1845" s="36"/>
    </row>
    <row r="1846" spans="8:21" x14ac:dyDescent="0.3">
      <c r="H1846" s="40"/>
      <c r="J1846" s="36"/>
      <c r="K1846" s="36"/>
      <c r="L1846" s="36"/>
      <c r="M1846" s="36"/>
      <c r="Q1846" s="36"/>
      <c r="S1846" s="36"/>
      <c r="U1846" s="36"/>
    </row>
    <row r="1847" spans="8:21" x14ac:dyDescent="0.3">
      <c r="H1847" s="40"/>
      <c r="J1847" s="36"/>
      <c r="K1847" s="36"/>
      <c r="L1847" s="36"/>
      <c r="M1847" s="36"/>
      <c r="Q1847" s="36"/>
      <c r="S1847" s="36"/>
      <c r="U1847" s="36"/>
    </row>
    <row r="1848" spans="8:21" x14ac:dyDescent="0.3">
      <c r="H1848" s="40"/>
      <c r="J1848" s="36"/>
      <c r="K1848" s="36"/>
      <c r="L1848" s="36"/>
      <c r="M1848" s="36"/>
      <c r="Q1848" s="36"/>
      <c r="S1848" s="36"/>
      <c r="U1848" s="36"/>
    </row>
    <row r="1849" spans="8:21" x14ac:dyDescent="0.3">
      <c r="H1849" s="40"/>
      <c r="J1849" s="36"/>
      <c r="K1849" s="36"/>
      <c r="L1849" s="36"/>
      <c r="M1849" s="36"/>
      <c r="Q1849" s="36"/>
      <c r="S1849" s="36"/>
      <c r="U1849" s="36"/>
    </row>
    <row r="1850" spans="8:21" x14ac:dyDescent="0.3">
      <c r="H1850" s="40"/>
      <c r="J1850" s="36"/>
      <c r="K1850" s="36"/>
      <c r="L1850" s="36"/>
      <c r="M1850" s="36"/>
      <c r="Q1850" s="36"/>
      <c r="S1850" s="36"/>
      <c r="U1850" s="36"/>
    </row>
    <row r="1851" spans="8:21" x14ac:dyDescent="0.3">
      <c r="H1851" s="40"/>
      <c r="J1851" s="36"/>
      <c r="K1851" s="36"/>
      <c r="L1851" s="36"/>
      <c r="M1851" s="36"/>
      <c r="Q1851" s="36"/>
      <c r="S1851" s="36"/>
      <c r="U1851" s="36"/>
    </row>
    <row r="1852" spans="8:21" x14ac:dyDescent="0.3">
      <c r="H1852" s="40"/>
      <c r="J1852" s="36"/>
      <c r="K1852" s="36"/>
      <c r="L1852" s="36"/>
      <c r="M1852" s="36"/>
      <c r="Q1852" s="36"/>
      <c r="S1852" s="36"/>
      <c r="U1852" s="36"/>
    </row>
    <row r="1853" spans="8:21" x14ac:dyDescent="0.3">
      <c r="H1853" s="40"/>
      <c r="J1853" s="36"/>
      <c r="K1853" s="36"/>
      <c r="L1853" s="36"/>
      <c r="M1853" s="36"/>
      <c r="Q1853" s="36"/>
      <c r="S1853" s="36"/>
      <c r="U1853" s="36"/>
    </row>
    <row r="1854" spans="8:21" x14ac:dyDescent="0.3">
      <c r="H1854" s="40"/>
      <c r="J1854" s="36"/>
      <c r="K1854" s="36"/>
      <c r="L1854" s="36"/>
      <c r="M1854" s="36"/>
      <c r="Q1854" s="36"/>
      <c r="S1854" s="36"/>
      <c r="U1854" s="36"/>
    </row>
    <row r="1855" spans="8:21" x14ac:dyDescent="0.3">
      <c r="H1855" s="40"/>
      <c r="J1855" s="36"/>
      <c r="K1855" s="36"/>
      <c r="L1855" s="36"/>
      <c r="M1855" s="36"/>
      <c r="Q1855" s="36"/>
      <c r="S1855" s="36"/>
      <c r="U1855" s="36"/>
    </row>
    <row r="1856" spans="8:21" x14ac:dyDescent="0.3">
      <c r="H1856" s="40"/>
      <c r="J1856" s="36"/>
      <c r="K1856" s="36"/>
      <c r="L1856" s="36"/>
      <c r="M1856" s="36"/>
      <c r="Q1856" s="36"/>
      <c r="S1856" s="36"/>
      <c r="U1856" s="36"/>
    </row>
    <row r="1857" spans="8:21" x14ac:dyDescent="0.3">
      <c r="H1857" s="40"/>
      <c r="J1857" s="36"/>
      <c r="K1857" s="36"/>
      <c r="L1857" s="36"/>
      <c r="M1857" s="36"/>
      <c r="Q1857" s="36"/>
      <c r="S1857" s="36"/>
      <c r="U1857" s="36"/>
    </row>
    <row r="1858" spans="8:21" x14ac:dyDescent="0.3">
      <c r="H1858" s="40"/>
      <c r="J1858" s="36"/>
      <c r="K1858" s="36"/>
      <c r="L1858" s="36"/>
      <c r="M1858" s="36"/>
      <c r="Q1858" s="36"/>
      <c r="S1858" s="36"/>
      <c r="U1858" s="36"/>
    </row>
    <row r="1859" spans="8:21" x14ac:dyDescent="0.3">
      <c r="H1859" s="40"/>
      <c r="J1859" s="36"/>
      <c r="K1859" s="36"/>
      <c r="L1859" s="36"/>
      <c r="M1859" s="36"/>
      <c r="Q1859" s="36"/>
      <c r="S1859" s="36"/>
      <c r="U1859" s="36"/>
    </row>
    <row r="1860" spans="8:21" x14ac:dyDescent="0.3">
      <c r="H1860" s="40"/>
      <c r="J1860" s="36"/>
      <c r="K1860" s="36"/>
      <c r="L1860" s="36"/>
      <c r="M1860" s="36"/>
      <c r="Q1860" s="36"/>
      <c r="S1860" s="36"/>
      <c r="U1860" s="36"/>
    </row>
    <row r="1861" spans="8:21" x14ac:dyDescent="0.3">
      <c r="H1861" s="40"/>
      <c r="J1861" s="36"/>
      <c r="K1861" s="36"/>
      <c r="L1861" s="36"/>
      <c r="M1861" s="36"/>
      <c r="Q1861" s="36"/>
      <c r="S1861" s="36"/>
      <c r="U1861" s="36"/>
    </row>
    <row r="1862" spans="8:21" x14ac:dyDescent="0.3">
      <c r="H1862" s="40"/>
      <c r="J1862" s="36"/>
      <c r="K1862" s="36"/>
      <c r="L1862" s="36"/>
      <c r="M1862" s="36"/>
      <c r="Q1862" s="36"/>
      <c r="S1862" s="36"/>
      <c r="U1862" s="36"/>
    </row>
    <row r="1863" spans="8:21" x14ac:dyDescent="0.3">
      <c r="H1863" s="40"/>
      <c r="J1863" s="36"/>
      <c r="K1863" s="36"/>
      <c r="L1863" s="36"/>
      <c r="M1863" s="36"/>
      <c r="Q1863" s="36"/>
      <c r="S1863" s="36"/>
      <c r="U1863" s="36"/>
    </row>
    <row r="1864" spans="8:21" x14ac:dyDescent="0.3">
      <c r="H1864" s="40"/>
      <c r="J1864" s="36"/>
      <c r="K1864" s="36"/>
      <c r="L1864" s="36"/>
      <c r="M1864" s="36"/>
      <c r="Q1864" s="36"/>
      <c r="S1864" s="36"/>
      <c r="U1864" s="36"/>
    </row>
    <row r="1865" spans="8:21" x14ac:dyDescent="0.3">
      <c r="H1865" s="40"/>
      <c r="J1865" s="36"/>
      <c r="K1865" s="36"/>
      <c r="L1865" s="36"/>
      <c r="M1865" s="36"/>
      <c r="Q1865" s="36"/>
      <c r="S1865" s="36"/>
      <c r="U1865" s="36"/>
    </row>
    <row r="1866" spans="8:21" x14ac:dyDescent="0.3">
      <c r="H1866" s="40"/>
      <c r="J1866" s="36"/>
      <c r="K1866" s="36"/>
      <c r="L1866" s="36"/>
      <c r="M1866" s="36"/>
      <c r="Q1866" s="36"/>
      <c r="S1866" s="36"/>
      <c r="U1866" s="36"/>
    </row>
    <row r="1867" spans="8:21" x14ac:dyDescent="0.3">
      <c r="H1867" s="40"/>
      <c r="J1867" s="36"/>
      <c r="K1867" s="36"/>
      <c r="L1867" s="36"/>
      <c r="M1867" s="36"/>
      <c r="Q1867" s="36"/>
      <c r="S1867" s="36"/>
      <c r="U1867" s="36"/>
    </row>
    <row r="1868" spans="8:21" x14ac:dyDescent="0.3">
      <c r="H1868" s="40"/>
      <c r="J1868" s="36"/>
      <c r="K1868" s="36"/>
      <c r="L1868" s="36"/>
      <c r="M1868" s="36"/>
      <c r="Q1868" s="36"/>
      <c r="S1868" s="36"/>
      <c r="U1868" s="36"/>
    </row>
    <row r="1869" spans="8:21" x14ac:dyDescent="0.3">
      <c r="H1869" s="40"/>
      <c r="J1869" s="36"/>
      <c r="K1869" s="36"/>
      <c r="L1869" s="36"/>
      <c r="M1869" s="36"/>
      <c r="Q1869" s="36"/>
      <c r="S1869" s="36"/>
      <c r="U1869" s="36"/>
    </row>
    <row r="1870" spans="8:21" x14ac:dyDescent="0.3">
      <c r="H1870" s="40"/>
      <c r="J1870" s="36"/>
      <c r="K1870" s="36"/>
      <c r="L1870" s="36"/>
      <c r="M1870" s="36"/>
      <c r="Q1870" s="36"/>
      <c r="S1870" s="36"/>
      <c r="U1870" s="36"/>
    </row>
    <row r="1871" spans="8:21" x14ac:dyDescent="0.3">
      <c r="H1871" s="40"/>
      <c r="J1871" s="36"/>
      <c r="K1871" s="36"/>
      <c r="L1871" s="36"/>
      <c r="M1871" s="36"/>
      <c r="Q1871" s="36"/>
      <c r="S1871" s="36"/>
      <c r="U1871" s="36"/>
    </row>
    <row r="1872" spans="8:21" x14ac:dyDescent="0.3">
      <c r="H1872" s="40"/>
      <c r="J1872" s="36"/>
      <c r="K1872" s="36"/>
      <c r="L1872" s="36"/>
      <c r="M1872" s="36"/>
      <c r="Q1872" s="36"/>
      <c r="S1872" s="36"/>
      <c r="U1872" s="36"/>
    </row>
    <row r="1873" spans="8:21" x14ac:dyDescent="0.3">
      <c r="H1873" s="40"/>
      <c r="J1873" s="36"/>
      <c r="K1873" s="36"/>
      <c r="L1873" s="36"/>
      <c r="M1873" s="36"/>
      <c r="Q1873" s="36"/>
      <c r="S1873" s="36"/>
      <c r="U1873" s="36"/>
    </row>
    <row r="1874" spans="8:21" x14ac:dyDescent="0.3">
      <c r="H1874" s="40"/>
      <c r="J1874" s="36"/>
      <c r="K1874" s="36"/>
      <c r="L1874" s="36"/>
      <c r="M1874" s="36"/>
      <c r="Q1874" s="36"/>
      <c r="S1874" s="36"/>
      <c r="U1874" s="36"/>
    </row>
    <row r="1875" spans="8:21" x14ac:dyDescent="0.3">
      <c r="H1875" s="40"/>
      <c r="J1875" s="36"/>
      <c r="K1875" s="36"/>
      <c r="L1875" s="36"/>
      <c r="M1875" s="36"/>
      <c r="Q1875" s="36"/>
      <c r="S1875" s="36"/>
      <c r="U1875" s="36"/>
    </row>
    <row r="1876" spans="8:21" x14ac:dyDescent="0.3">
      <c r="H1876" s="40"/>
      <c r="J1876" s="36"/>
      <c r="K1876" s="36"/>
      <c r="L1876" s="36"/>
      <c r="M1876" s="36"/>
      <c r="Q1876" s="36"/>
      <c r="S1876" s="36"/>
      <c r="U1876" s="36"/>
    </row>
    <row r="1877" spans="8:21" x14ac:dyDescent="0.3">
      <c r="H1877" s="40"/>
      <c r="J1877" s="36"/>
      <c r="K1877" s="36"/>
      <c r="L1877" s="36"/>
      <c r="M1877" s="36"/>
      <c r="Q1877" s="36"/>
      <c r="S1877" s="36"/>
      <c r="U1877" s="36"/>
    </row>
    <row r="1878" spans="8:21" x14ac:dyDescent="0.3">
      <c r="H1878" s="40"/>
      <c r="J1878" s="36"/>
      <c r="K1878" s="36"/>
      <c r="L1878" s="36"/>
      <c r="M1878" s="36"/>
      <c r="Q1878" s="36"/>
      <c r="S1878" s="36"/>
      <c r="U1878" s="36"/>
    </row>
    <row r="1879" spans="8:21" x14ac:dyDescent="0.3">
      <c r="H1879" s="40"/>
      <c r="J1879" s="36"/>
      <c r="K1879" s="36"/>
      <c r="L1879" s="36"/>
      <c r="M1879" s="36"/>
      <c r="Q1879" s="36"/>
      <c r="S1879" s="36"/>
      <c r="U1879" s="36"/>
    </row>
    <row r="1880" spans="8:21" x14ac:dyDescent="0.3">
      <c r="H1880" s="40"/>
      <c r="J1880" s="36"/>
      <c r="K1880" s="36"/>
      <c r="L1880" s="36"/>
      <c r="M1880" s="36"/>
      <c r="Q1880" s="36"/>
      <c r="S1880" s="36"/>
      <c r="U1880" s="36"/>
    </row>
    <row r="1881" spans="8:21" x14ac:dyDescent="0.3">
      <c r="H1881" s="40"/>
      <c r="J1881" s="36"/>
      <c r="K1881" s="36"/>
      <c r="L1881" s="36"/>
      <c r="M1881" s="36"/>
      <c r="Q1881" s="36"/>
      <c r="S1881" s="36"/>
      <c r="U1881" s="36"/>
    </row>
    <row r="1882" spans="8:21" x14ac:dyDescent="0.3">
      <c r="H1882" s="40"/>
      <c r="J1882" s="36"/>
      <c r="K1882" s="36"/>
      <c r="L1882" s="36"/>
      <c r="M1882" s="36"/>
      <c r="Q1882" s="36"/>
      <c r="S1882" s="36"/>
      <c r="U1882" s="36"/>
    </row>
    <row r="1883" spans="8:21" x14ac:dyDescent="0.3">
      <c r="H1883" s="40"/>
      <c r="J1883" s="36"/>
      <c r="K1883" s="36"/>
      <c r="L1883" s="36"/>
      <c r="M1883" s="36"/>
      <c r="Q1883" s="36"/>
      <c r="S1883" s="36"/>
      <c r="U1883" s="36"/>
    </row>
    <row r="1884" spans="8:21" x14ac:dyDescent="0.3">
      <c r="H1884" s="40"/>
      <c r="J1884" s="36"/>
      <c r="K1884" s="36"/>
      <c r="L1884" s="36"/>
      <c r="M1884" s="36"/>
      <c r="Q1884" s="36"/>
      <c r="S1884" s="36"/>
      <c r="U1884" s="36"/>
    </row>
    <row r="1885" spans="8:21" x14ac:dyDescent="0.3">
      <c r="H1885" s="40"/>
      <c r="J1885" s="36"/>
      <c r="K1885" s="36"/>
      <c r="L1885" s="36"/>
      <c r="M1885" s="36"/>
      <c r="Q1885" s="36"/>
      <c r="S1885" s="36"/>
      <c r="U1885" s="36"/>
    </row>
    <row r="1886" spans="8:21" x14ac:dyDescent="0.3">
      <c r="H1886" s="40"/>
      <c r="J1886" s="36"/>
      <c r="K1886" s="36"/>
      <c r="L1886" s="36"/>
      <c r="M1886" s="36"/>
      <c r="Q1886" s="36"/>
      <c r="S1886" s="36"/>
      <c r="U1886" s="36"/>
    </row>
    <row r="1887" spans="8:21" x14ac:dyDescent="0.3">
      <c r="H1887" s="40"/>
      <c r="J1887" s="36"/>
      <c r="K1887" s="36"/>
      <c r="L1887" s="36"/>
      <c r="M1887" s="36"/>
      <c r="Q1887" s="36"/>
      <c r="S1887" s="36"/>
      <c r="U1887" s="36"/>
    </row>
    <row r="1888" spans="8:21" x14ac:dyDescent="0.3">
      <c r="H1888" s="40"/>
      <c r="J1888" s="36"/>
      <c r="K1888" s="36"/>
      <c r="L1888" s="36"/>
      <c r="M1888" s="36"/>
      <c r="Q1888" s="36"/>
      <c r="S1888" s="36"/>
      <c r="U1888" s="36"/>
    </row>
    <row r="1889" spans="8:21" x14ac:dyDescent="0.3">
      <c r="H1889" s="40"/>
      <c r="J1889" s="36"/>
      <c r="K1889" s="36"/>
      <c r="L1889" s="36"/>
      <c r="M1889" s="36"/>
      <c r="Q1889" s="36"/>
      <c r="S1889" s="36"/>
      <c r="U1889" s="36"/>
    </row>
    <row r="1890" spans="8:21" x14ac:dyDescent="0.3">
      <c r="H1890" s="40"/>
      <c r="J1890" s="36"/>
      <c r="K1890" s="36"/>
      <c r="L1890" s="36"/>
      <c r="M1890" s="36"/>
      <c r="Q1890" s="36"/>
      <c r="S1890" s="36"/>
      <c r="U1890" s="36"/>
    </row>
    <row r="1891" spans="8:21" x14ac:dyDescent="0.3">
      <c r="H1891" s="40"/>
      <c r="J1891" s="36"/>
      <c r="K1891" s="36"/>
      <c r="L1891" s="36"/>
      <c r="M1891" s="36"/>
      <c r="Q1891" s="36"/>
      <c r="S1891" s="36"/>
      <c r="U1891" s="36"/>
    </row>
    <row r="1892" spans="8:21" x14ac:dyDescent="0.3">
      <c r="H1892" s="40"/>
      <c r="J1892" s="36"/>
      <c r="K1892" s="36"/>
      <c r="L1892" s="36"/>
      <c r="M1892" s="36"/>
      <c r="Q1892" s="36"/>
      <c r="S1892" s="36"/>
      <c r="U1892" s="36"/>
    </row>
    <row r="1893" spans="8:21" x14ac:dyDescent="0.3">
      <c r="H1893" s="40"/>
      <c r="J1893" s="36"/>
      <c r="K1893" s="36"/>
      <c r="L1893" s="36"/>
      <c r="M1893" s="36"/>
      <c r="Q1893" s="36"/>
      <c r="S1893" s="36"/>
      <c r="U1893" s="36"/>
    </row>
    <row r="1894" spans="8:21" x14ac:dyDescent="0.3">
      <c r="H1894" s="40"/>
      <c r="J1894" s="36"/>
      <c r="K1894" s="36"/>
      <c r="L1894" s="36"/>
      <c r="M1894" s="36"/>
      <c r="Q1894" s="36"/>
      <c r="S1894" s="36"/>
      <c r="U1894" s="36"/>
    </row>
    <row r="1895" spans="8:21" x14ac:dyDescent="0.3">
      <c r="H1895" s="40"/>
      <c r="J1895" s="36"/>
      <c r="K1895" s="36"/>
      <c r="L1895" s="36"/>
      <c r="M1895" s="36"/>
      <c r="Q1895" s="36"/>
      <c r="S1895" s="36"/>
      <c r="U1895" s="36"/>
    </row>
    <row r="1896" spans="8:21" x14ac:dyDescent="0.3">
      <c r="H1896" s="40"/>
      <c r="J1896" s="36"/>
      <c r="K1896" s="36"/>
      <c r="L1896" s="36"/>
      <c r="M1896" s="36"/>
      <c r="Q1896" s="36"/>
      <c r="S1896" s="36"/>
      <c r="U1896" s="36"/>
    </row>
    <row r="1897" spans="8:21" x14ac:dyDescent="0.3">
      <c r="H1897" s="40"/>
      <c r="J1897" s="36"/>
      <c r="K1897" s="36"/>
      <c r="L1897" s="36"/>
      <c r="M1897" s="36"/>
      <c r="Q1897" s="36"/>
      <c r="S1897" s="36"/>
      <c r="U1897" s="36"/>
    </row>
    <row r="1898" spans="8:21" x14ac:dyDescent="0.3">
      <c r="H1898" s="40"/>
      <c r="J1898" s="36"/>
      <c r="K1898" s="36"/>
      <c r="L1898" s="36"/>
      <c r="M1898" s="36"/>
      <c r="Q1898" s="36"/>
      <c r="S1898" s="36"/>
      <c r="U1898" s="36"/>
    </row>
    <row r="1899" spans="8:21" x14ac:dyDescent="0.3">
      <c r="H1899" s="40"/>
      <c r="J1899" s="36"/>
      <c r="K1899" s="36"/>
      <c r="L1899" s="36"/>
      <c r="M1899" s="36"/>
      <c r="Q1899" s="36"/>
      <c r="S1899" s="36"/>
      <c r="U1899" s="36"/>
    </row>
    <row r="1900" spans="8:21" x14ac:dyDescent="0.3">
      <c r="H1900" s="40"/>
      <c r="J1900" s="36"/>
      <c r="K1900" s="36"/>
      <c r="L1900" s="36"/>
      <c r="M1900" s="36"/>
      <c r="Q1900" s="36"/>
      <c r="S1900" s="36"/>
      <c r="U1900" s="36"/>
    </row>
    <row r="1901" spans="8:21" x14ac:dyDescent="0.3">
      <c r="H1901" s="40"/>
      <c r="J1901" s="36"/>
      <c r="K1901" s="36"/>
      <c r="L1901" s="36"/>
      <c r="M1901" s="36"/>
      <c r="Q1901" s="36"/>
      <c r="S1901" s="36"/>
      <c r="U1901" s="36"/>
    </row>
    <row r="1902" spans="8:21" x14ac:dyDescent="0.3">
      <c r="H1902" s="40"/>
      <c r="J1902" s="36"/>
      <c r="K1902" s="36"/>
      <c r="L1902" s="36"/>
      <c r="M1902" s="36"/>
      <c r="Q1902" s="36"/>
      <c r="S1902" s="36"/>
      <c r="U1902" s="36"/>
    </row>
    <row r="1903" spans="8:21" x14ac:dyDescent="0.3">
      <c r="H1903" s="40"/>
      <c r="J1903" s="36"/>
      <c r="K1903" s="36"/>
      <c r="L1903" s="36"/>
      <c r="M1903" s="36"/>
      <c r="Q1903" s="36"/>
      <c r="S1903" s="36"/>
      <c r="U1903" s="36"/>
    </row>
    <row r="1904" spans="8:21" x14ac:dyDescent="0.3">
      <c r="H1904" s="40"/>
      <c r="J1904" s="36"/>
      <c r="K1904" s="36"/>
      <c r="L1904" s="36"/>
      <c r="M1904" s="36"/>
      <c r="Q1904" s="36"/>
      <c r="S1904" s="36"/>
      <c r="U1904" s="36"/>
    </row>
    <row r="1905" spans="8:21" x14ac:dyDescent="0.3">
      <c r="H1905" s="40"/>
      <c r="J1905" s="36"/>
      <c r="K1905" s="36"/>
      <c r="L1905" s="36"/>
      <c r="M1905" s="36"/>
      <c r="Q1905" s="36"/>
      <c r="S1905" s="36"/>
      <c r="U1905" s="36"/>
    </row>
    <row r="1906" spans="8:21" x14ac:dyDescent="0.3">
      <c r="H1906" s="40"/>
      <c r="J1906" s="36"/>
      <c r="K1906" s="36"/>
      <c r="L1906" s="36"/>
      <c r="M1906" s="36"/>
      <c r="Q1906" s="36"/>
      <c r="S1906" s="36"/>
      <c r="U1906" s="36"/>
    </row>
    <row r="1907" spans="8:21" x14ac:dyDescent="0.3">
      <c r="H1907" s="40"/>
      <c r="J1907" s="36"/>
      <c r="K1907" s="36"/>
      <c r="L1907" s="36"/>
      <c r="M1907" s="36"/>
      <c r="Q1907" s="36"/>
      <c r="S1907" s="36"/>
      <c r="U1907" s="36"/>
    </row>
    <row r="1908" spans="8:21" x14ac:dyDescent="0.3">
      <c r="H1908" s="40"/>
      <c r="J1908" s="36"/>
      <c r="K1908" s="36"/>
      <c r="L1908" s="36"/>
      <c r="M1908" s="36"/>
      <c r="Q1908" s="36"/>
      <c r="S1908" s="36"/>
      <c r="U1908" s="36"/>
    </row>
    <row r="1909" spans="8:21" x14ac:dyDescent="0.3">
      <c r="H1909" s="40"/>
      <c r="J1909" s="36"/>
      <c r="K1909" s="36"/>
      <c r="L1909" s="36"/>
      <c r="M1909" s="36"/>
      <c r="Q1909" s="36"/>
      <c r="S1909" s="36"/>
      <c r="U1909" s="36"/>
    </row>
    <row r="1910" spans="8:21" x14ac:dyDescent="0.3">
      <c r="H1910" s="40"/>
      <c r="J1910" s="36"/>
      <c r="K1910" s="36"/>
      <c r="L1910" s="36"/>
      <c r="M1910" s="36"/>
      <c r="Q1910" s="36"/>
      <c r="S1910" s="36"/>
      <c r="U1910" s="36"/>
    </row>
    <row r="1911" spans="8:21" x14ac:dyDescent="0.3">
      <c r="H1911" s="40"/>
      <c r="J1911" s="36"/>
      <c r="K1911" s="36"/>
      <c r="L1911" s="36"/>
      <c r="M1911" s="36"/>
      <c r="Q1911" s="36"/>
      <c r="S1911" s="36"/>
      <c r="U1911" s="36"/>
    </row>
    <row r="1912" spans="8:21" x14ac:dyDescent="0.3">
      <c r="H1912" s="40"/>
      <c r="J1912" s="36"/>
      <c r="K1912" s="36"/>
      <c r="L1912" s="36"/>
      <c r="M1912" s="36"/>
      <c r="Q1912" s="36"/>
      <c r="S1912" s="36"/>
      <c r="U1912" s="36"/>
    </row>
    <row r="1913" spans="8:21" x14ac:dyDescent="0.3">
      <c r="H1913" s="40"/>
      <c r="J1913" s="36"/>
      <c r="K1913" s="36"/>
      <c r="L1913" s="36"/>
      <c r="M1913" s="36"/>
      <c r="Q1913" s="36"/>
      <c r="S1913" s="36"/>
      <c r="U1913" s="36"/>
    </row>
    <row r="1914" spans="8:21" x14ac:dyDescent="0.3">
      <c r="H1914" s="40"/>
      <c r="J1914" s="36"/>
      <c r="K1914" s="36"/>
      <c r="L1914" s="36"/>
      <c r="M1914" s="36"/>
      <c r="Q1914" s="36"/>
      <c r="S1914" s="36"/>
      <c r="U1914" s="36"/>
    </row>
    <row r="1915" spans="8:21" x14ac:dyDescent="0.3">
      <c r="H1915" s="40"/>
      <c r="J1915" s="36"/>
      <c r="K1915" s="36"/>
      <c r="L1915" s="36"/>
      <c r="M1915" s="36"/>
      <c r="Q1915" s="36"/>
      <c r="S1915" s="36"/>
      <c r="U1915" s="36"/>
    </row>
    <row r="1916" spans="8:21" x14ac:dyDescent="0.3">
      <c r="H1916" s="40"/>
      <c r="J1916" s="36"/>
      <c r="K1916" s="36"/>
      <c r="L1916" s="36"/>
      <c r="M1916" s="36"/>
      <c r="Q1916" s="36"/>
      <c r="S1916" s="36"/>
      <c r="U1916" s="36"/>
    </row>
    <row r="1917" spans="8:21" x14ac:dyDescent="0.3">
      <c r="H1917" s="40"/>
      <c r="J1917" s="36"/>
      <c r="K1917" s="36"/>
      <c r="L1917" s="36"/>
      <c r="M1917" s="36"/>
      <c r="Q1917" s="36"/>
      <c r="S1917" s="36"/>
      <c r="U1917" s="36"/>
    </row>
    <row r="1918" spans="8:21" x14ac:dyDescent="0.3">
      <c r="H1918" s="40"/>
      <c r="J1918" s="36"/>
      <c r="K1918" s="36"/>
      <c r="L1918" s="36"/>
      <c r="M1918" s="36"/>
      <c r="Q1918" s="36"/>
      <c r="S1918" s="36"/>
      <c r="U1918" s="36"/>
    </row>
    <row r="1919" spans="8:21" x14ac:dyDescent="0.3">
      <c r="H1919" s="40"/>
      <c r="J1919" s="36"/>
      <c r="K1919" s="36"/>
      <c r="L1919" s="36"/>
      <c r="M1919" s="36"/>
      <c r="Q1919" s="36"/>
      <c r="S1919" s="36"/>
      <c r="U1919" s="36"/>
    </row>
    <row r="1920" spans="8:21" x14ac:dyDescent="0.3">
      <c r="H1920" s="40"/>
      <c r="J1920" s="36"/>
      <c r="K1920" s="36"/>
      <c r="L1920" s="36"/>
      <c r="M1920" s="36"/>
      <c r="Q1920" s="36"/>
      <c r="S1920" s="36"/>
      <c r="U1920" s="36"/>
    </row>
    <row r="1921" spans="8:21" x14ac:dyDescent="0.3">
      <c r="H1921" s="40"/>
      <c r="J1921" s="36"/>
      <c r="K1921" s="36"/>
      <c r="L1921" s="36"/>
      <c r="M1921" s="36"/>
      <c r="Q1921" s="36"/>
      <c r="S1921" s="36"/>
      <c r="U1921" s="36"/>
    </row>
    <row r="1922" spans="8:21" x14ac:dyDescent="0.3">
      <c r="H1922" s="40"/>
      <c r="J1922" s="36"/>
      <c r="K1922" s="36"/>
      <c r="L1922" s="36"/>
      <c r="M1922" s="36"/>
      <c r="Q1922" s="36"/>
      <c r="S1922" s="36"/>
      <c r="U1922" s="36"/>
    </row>
    <row r="1923" spans="8:21" x14ac:dyDescent="0.3">
      <c r="H1923" s="40"/>
      <c r="J1923" s="36"/>
      <c r="K1923" s="36"/>
      <c r="L1923" s="36"/>
      <c r="M1923" s="36"/>
      <c r="Q1923" s="36"/>
      <c r="S1923" s="36"/>
      <c r="U1923" s="36"/>
    </row>
    <row r="1924" spans="8:21" x14ac:dyDescent="0.3">
      <c r="H1924" s="40"/>
      <c r="J1924" s="36"/>
      <c r="K1924" s="36"/>
      <c r="L1924" s="36"/>
      <c r="M1924" s="36"/>
      <c r="Q1924" s="36"/>
      <c r="S1924" s="36"/>
      <c r="U1924" s="36"/>
    </row>
    <row r="1925" spans="8:21" x14ac:dyDescent="0.3">
      <c r="H1925" s="40"/>
      <c r="J1925" s="36"/>
      <c r="K1925" s="36"/>
      <c r="L1925" s="36"/>
      <c r="M1925" s="36"/>
      <c r="Q1925" s="36"/>
      <c r="S1925" s="36"/>
      <c r="U1925" s="36"/>
    </row>
    <row r="1926" spans="8:21" x14ac:dyDescent="0.3">
      <c r="H1926" s="40"/>
      <c r="J1926" s="36"/>
      <c r="K1926" s="36"/>
      <c r="L1926" s="36"/>
      <c r="M1926" s="36"/>
      <c r="Q1926" s="36"/>
      <c r="S1926" s="36"/>
      <c r="U1926" s="36"/>
    </row>
    <row r="1927" spans="8:21" x14ac:dyDescent="0.3">
      <c r="H1927" s="40"/>
      <c r="J1927" s="36"/>
      <c r="K1927" s="36"/>
      <c r="L1927" s="36"/>
      <c r="M1927" s="36"/>
      <c r="Q1927" s="36"/>
      <c r="S1927" s="36"/>
      <c r="U1927" s="36"/>
    </row>
    <row r="1928" spans="8:21" x14ac:dyDescent="0.3">
      <c r="H1928" s="40"/>
      <c r="J1928" s="36"/>
      <c r="K1928" s="36"/>
      <c r="L1928" s="36"/>
      <c r="M1928" s="36"/>
      <c r="Q1928" s="36"/>
      <c r="S1928" s="36"/>
      <c r="U1928" s="36"/>
    </row>
    <row r="1929" spans="8:21" x14ac:dyDescent="0.3">
      <c r="H1929" s="40"/>
      <c r="J1929" s="36"/>
      <c r="K1929" s="36"/>
      <c r="L1929" s="36"/>
      <c r="M1929" s="36"/>
      <c r="Q1929" s="36"/>
      <c r="S1929" s="36"/>
      <c r="U1929" s="36"/>
    </row>
    <row r="1930" spans="8:21" x14ac:dyDescent="0.3">
      <c r="H1930" s="40"/>
      <c r="J1930" s="36"/>
      <c r="K1930" s="36"/>
      <c r="L1930" s="36"/>
      <c r="M1930" s="36"/>
      <c r="Q1930" s="36"/>
      <c r="S1930" s="36"/>
      <c r="U1930" s="36"/>
    </row>
    <row r="1931" spans="8:21" x14ac:dyDescent="0.3">
      <c r="H1931" s="40"/>
      <c r="J1931" s="36"/>
      <c r="K1931" s="36"/>
      <c r="L1931" s="36"/>
      <c r="M1931" s="36"/>
      <c r="Q1931" s="36"/>
      <c r="S1931" s="36"/>
      <c r="U1931" s="36"/>
    </row>
    <row r="1932" spans="8:21" x14ac:dyDescent="0.3">
      <c r="H1932" s="40"/>
      <c r="J1932" s="36"/>
      <c r="K1932" s="36"/>
      <c r="L1932" s="36"/>
      <c r="M1932" s="36"/>
      <c r="Q1932" s="36"/>
      <c r="S1932" s="36"/>
      <c r="U1932" s="36"/>
    </row>
    <row r="1933" spans="8:21" x14ac:dyDescent="0.3">
      <c r="H1933" s="40"/>
      <c r="J1933" s="36"/>
      <c r="K1933" s="36"/>
      <c r="L1933" s="36"/>
      <c r="M1933" s="36"/>
      <c r="Q1933" s="36"/>
      <c r="S1933" s="36"/>
      <c r="U1933" s="36"/>
    </row>
    <row r="1934" spans="8:21" x14ac:dyDescent="0.3">
      <c r="H1934" s="40"/>
      <c r="J1934" s="36"/>
      <c r="K1934" s="36"/>
      <c r="L1934" s="36"/>
      <c r="M1934" s="36"/>
      <c r="Q1934" s="36"/>
      <c r="S1934" s="36"/>
      <c r="U1934" s="36"/>
    </row>
    <row r="1935" spans="8:21" x14ac:dyDescent="0.3">
      <c r="H1935" s="40"/>
      <c r="J1935" s="36"/>
      <c r="K1935" s="36"/>
      <c r="L1935" s="36"/>
      <c r="M1935" s="36"/>
      <c r="Q1935" s="36"/>
      <c r="S1935" s="36"/>
      <c r="U1935" s="36"/>
    </row>
    <row r="1936" spans="8:21" x14ac:dyDescent="0.3">
      <c r="H1936" s="40"/>
      <c r="J1936" s="36"/>
      <c r="K1936" s="36"/>
      <c r="L1936" s="36"/>
      <c r="M1936" s="36"/>
      <c r="Q1936" s="36"/>
      <c r="S1936" s="36"/>
      <c r="U1936" s="36"/>
    </row>
    <row r="1937" spans="8:21" x14ac:dyDescent="0.3">
      <c r="H1937" s="40"/>
      <c r="J1937" s="36"/>
      <c r="K1937" s="36"/>
      <c r="L1937" s="36"/>
      <c r="M1937" s="36"/>
      <c r="Q1937" s="36"/>
      <c r="S1937" s="36"/>
      <c r="U1937" s="36"/>
    </row>
    <row r="1938" spans="8:21" x14ac:dyDescent="0.3">
      <c r="H1938" s="40"/>
      <c r="J1938" s="36"/>
      <c r="K1938" s="36"/>
      <c r="L1938" s="36"/>
      <c r="M1938" s="36"/>
      <c r="Q1938" s="36"/>
      <c r="S1938" s="36"/>
      <c r="U1938" s="36"/>
    </row>
    <row r="1939" spans="8:21" x14ac:dyDescent="0.3">
      <c r="H1939" s="40"/>
      <c r="J1939" s="36"/>
      <c r="K1939" s="36"/>
      <c r="L1939" s="36"/>
      <c r="M1939" s="36"/>
      <c r="Q1939" s="36"/>
      <c r="S1939" s="36"/>
      <c r="U1939" s="36"/>
    </row>
    <row r="1940" spans="8:21" x14ac:dyDescent="0.3">
      <c r="H1940" s="40"/>
      <c r="J1940" s="36"/>
      <c r="K1940" s="36"/>
      <c r="L1940" s="36"/>
      <c r="M1940" s="36"/>
      <c r="Q1940" s="36"/>
      <c r="S1940" s="36"/>
      <c r="U1940" s="36"/>
    </row>
    <row r="1941" spans="8:21" x14ac:dyDescent="0.3">
      <c r="H1941" s="40"/>
      <c r="J1941" s="36"/>
      <c r="K1941" s="36"/>
      <c r="L1941" s="36"/>
      <c r="M1941" s="36"/>
      <c r="Q1941" s="36"/>
      <c r="S1941" s="36"/>
      <c r="U1941" s="36"/>
    </row>
    <row r="1942" spans="8:21" x14ac:dyDescent="0.3">
      <c r="H1942" s="40"/>
      <c r="J1942" s="36"/>
      <c r="K1942" s="36"/>
      <c r="L1942" s="36"/>
      <c r="M1942" s="36"/>
      <c r="Q1942" s="36"/>
      <c r="S1942" s="36"/>
      <c r="U1942" s="36"/>
    </row>
    <row r="1943" spans="8:21" x14ac:dyDescent="0.3">
      <c r="H1943" s="40"/>
      <c r="J1943" s="36"/>
      <c r="K1943" s="36"/>
      <c r="L1943" s="36"/>
      <c r="M1943" s="36"/>
      <c r="Q1943" s="36"/>
      <c r="S1943" s="36"/>
      <c r="U1943" s="36"/>
    </row>
    <row r="1944" spans="8:21" x14ac:dyDescent="0.3">
      <c r="H1944" s="40"/>
      <c r="J1944" s="36"/>
      <c r="K1944" s="36"/>
      <c r="L1944" s="36"/>
      <c r="M1944" s="36"/>
      <c r="Q1944" s="36"/>
      <c r="S1944" s="36"/>
      <c r="U1944" s="36"/>
    </row>
    <row r="1945" spans="8:21" x14ac:dyDescent="0.3">
      <c r="H1945" s="40"/>
      <c r="J1945" s="36"/>
      <c r="K1945" s="36"/>
      <c r="L1945" s="36"/>
      <c r="M1945" s="36"/>
      <c r="Q1945" s="36"/>
      <c r="S1945" s="36"/>
      <c r="U1945" s="36"/>
    </row>
    <row r="1946" spans="8:21" x14ac:dyDescent="0.3">
      <c r="H1946" s="40"/>
      <c r="J1946" s="36"/>
      <c r="K1946" s="36"/>
      <c r="L1946" s="36"/>
      <c r="M1946" s="36"/>
      <c r="Q1946" s="36"/>
      <c r="S1946" s="36"/>
      <c r="U1946" s="36"/>
    </row>
    <row r="1947" spans="8:21" x14ac:dyDescent="0.3">
      <c r="H1947" s="40"/>
      <c r="J1947" s="36"/>
      <c r="K1947" s="36"/>
      <c r="L1947" s="36"/>
      <c r="M1947" s="36"/>
      <c r="Q1947" s="36"/>
      <c r="S1947" s="36"/>
      <c r="U1947" s="36"/>
    </row>
    <row r="1948" spans="8:21" x14ac:dyDescent="0.3">
      <c r="H1948" s="40"/>
      <c r="J1948" s="36"/>
      <c r="K1948" s="36"/>
      <c r="L1948" s="36"/>
      <c r="M1948" s="36"/>
      <c r="Q1948" s="36"/>
      <c r="S1948" s="36"/>
      <c r="U1948" s="36"/>
    </row>
    <row r="1949" spans="8:21" x14ac:dyDescent="0.3">
      <c r="H1949" s="40"/>
      <c r="J1949" s="36"/>
      <c r="K1949" s="36"/>
      <c r="L1949" s="36"/>
      <c r="M1949" s="36"/>
      <c r="Q1949" s="36"/>
      <c r="S1949" s="36"/>
      <c r="U1949" s="36"/>
    </row>
    <row r="1950" spans="8:21" x14ac:dyDescent="0.3">
      <c r="H1950" s="40"/>
      <c r="J1950" s="36"/>
      <c r="K1950" s="36"/>
      <c r="L1950" s="36"/>
      <c r="M1950" s="36"/>
      <c r="Q1950" s="36"/>
      <c r="S1950" s="36"/>
      <c r="U1950" s="36"/>
    </row>
    <row r="1951" spans="8:21" x14ac:dyDescent="0.3">
      <c r="H1951" s="40"/>
      <c r="J1951" s="36"/>
      <c r="K1951" s="36"/>
      <c r="L1951" s="36"/>
      <c r="M1951" s="36"/>
      <c r="Q1951" s="36"/>
      <c r="S1951" s="36"/>
      <c r="U1951" s="36"/>
    </row>
    <row r="1952" spans="8:21" x14ac:dyDescent="0.3">
      <c r="H1952" s="40"/>
      <c r="J1952" s="36"/>
      <c r="K1952" s="36"/>
      <c r="L1952" s="36"/>
      <c r="M1952" s="36"/>
      <c r="Q1952" s="36"/>
      <c r="S1952" s="36"/>
      <c r="U1952" s="36"/>
    </row>
    <row r="1953" spans="8:21" x14ac:dyDescent="0.3">
      <c r="H1953" s="40"/>
      <c r="J1953" s="36"/>
      <c r="K1953" s="36"/>
      <c r="L1953" s="36"/>
      <c r="M1953" s="36"/>
      <c r="Q1953" s="36"/>
      <c r="S1953" s="36"/>
      <c r="U1953" s="36"/>
    </row>
    <row r="1954" spans="8:21" x14ac:dyDescent="0.3">
      <c r="H1954" s="40"/>
      <c r="J1954" s="36"/>
      <c r="K1954" s="36"/>
      <c r="L1954" s="36"/>
      <c r="M1954" s="36"/>
      <c r="Q1954" s="36"/>
      <c r="S1954" s="36"/>
      <c r="U1954" s="36"/>
    </row>
    <row r="1955" spans="8:21" x14ac:dyDescent="0.3">
      <c r="H1955" s="40"/>
      <c r="J1955" s="36"/>
      <c r="K1955" s="36"/>
      <c r="L1955" s="36"/>
      <c r="M1955" s="36"/>
      <c r="Q1955" s="36"/>
      <c r="S1955" s="36"/>
      <c r="U1955" s="36"/>
    </row>
    <row r="1956" spans="8:21" x14ac:dyDescent="0.3">
      <c r="H1956" s="40"/>
      <c r="J1956" s="36"/>
      <c r="K1956" s="36"/>
      <c r="L1956" s="36"/>
      <c r="M1956" s="36"/>
      <c r="Q1956" s="36"/>
      <c r="S1956" s="36"/>
      <c r="U1956" s="36"/>
    </row>
    <row r="1957" spans="8:21" x14ac:dyDescent="0.3">
      <c r="H1957" s="40"/>
      <c r="J1957" s="36"/>
      <c r="K1957" s="36"/>
      <c r="L1957" s="36"/>
      <c r="M1957" s="36"/>
      <c r="Q1957" s="36"/>
      <c r="S1957" s="36"/>
      <c r="U1957" s="36"/>
    </row>
    <row r="1958" spans="8:21" x14ac:dyDescent="0.3">
      <c r="H1958" s="40"/>
      <c r="J1958" s="36"/>
      <c r="K1958" s="36"/>
      <c r="L1958" s="36"/>
      <c r="M1958" s="36"/>
      <c r="Q1958" s="36"/>
      <c r="S1958" s="36"/>
      <c r="U1958" s="36"/>
    </row>
    <row r="1959" spans="8:21" x14ac:dyDescent="0.3">
      <c r="H1959" s="40"/>
      <c r="J1959" s="36"/>
      <c r="K1959" s="36"/>
      <c r="L1959" s="36"/>
      <c r="M1959" s="36"/>
      <c r="Q1959" s="36"/>
      <c r="S1959" s="36"/>
      <c r="U1959" s="36"/>
    </row>
    <row r="1960" spans="8:21" x14ac:dyDescent="0.3">
      <c r="H1960" s="40"/>
      <c r="J1960" s="36"/>
      <c r="K1960" s="36"/>
      <c r="L1960" s="36"/>
      <c r="M1960" s="36"/>
      <c r="Q1960" s="36"/>
      <c r="S1960" s="36"/>
      <c r="U1960" s="36"/>
    </row>
    <row r="1961" spans="8:21" x14ac:dyDescent="0.3">
      <c r="H1961" s="40"/>
      <c r="J1961" s="36"/>
      <c r="K1961" s="36"/>
      <c r="L1961" s="36"/>
      <c r="M1961" s="36"/>
      <c r="Q1961" s="36"/>
      <c r="S1961" s="36"/>
      <c r="U1961" s="36"/>
    </row>
    <row r="1962" spans="8:21" x14ac:dyDescent="0.3">
      <c r="H1962" s="40"/>
      <c r="J1962" s="36"/>
      <c r="K1962" s="36"/>
      <c r="L1962" s="36"/>
      <c r="M1962" s="36"/>
      <c r="Q1962" s="36"/>
      <c r="S1962" s="36"/>
      <c r="U1962" s="36"/>
    </row>
    <row r="1963" spans="8:21" x14ac:dyDescent="0.3">
      <c r="H1963" s="40"/>
      <c r="J1963" s="36"/>
      <c r="K1963" s="36"/>
      <c r="L1963" s="36"/>
      <c r="M1963" s="36"/>
      <c r="Q1963" s="36"/>
      <c r="S1963" s="36"/>
      <c r="U1963" s="36"/>
    </row>
    <row r="1964" spans="8:21" x14ac:dyDescent="0.3">
      <c r="H1964" s="40"/>
      <c r="J1964" s="36"/>
      <c r="K1964" s="36"/>
      <c r="L1964" s="36"/>
      <c r="M1964" s="36"/>
      <c r="Q1964" s="36"/>
      <c r="S1964" s="36"/>
      <c r="U1964" s="36"/>
    </row>
    <row r="1965" spans="8:21" x14ac:dyDescent="0.3">
      <c r="H1965" s="40"/>
      <c r="J1965" s="36"/>
      <c r="K1965" s="36"/>
      <c r="L1965" s="36"/>
      <c r="M1965" s="36"/>
      <c r="Q1965" s="36"/>
      <c r="S1965" s="36"/>
      <c r="U1965" s="36"/>
    </row>
    <row r="1966" spans="8:21" x14ac:dyDescent="0.3">
      <c r="H1966" s="40"/>
      <c r="J1966" s="36"/>
      <c r="K1966" s="36"/>
      <c r="L1966" s="36"/>
      <c r="M1966" s="36"/>
      <c r="Q1966" s="36"/>
      <c r="S1966" s="36"/>
      <c r="U1966" s="36"/>
    </row>
    <row r="1967" spans="8:21" x14ac:dyDescent="0.3">
      <c r="H1967" s="40"/>
      <c r="J1967" s="36"/>
      <c r="K1967" s="36"/>
      <c r="L1967" s="36"/>
      <c r="M1967" s="36"/>
      <c r="Q1967" s="36"/>
      <c r="S1967" s="36"/>
      <c r="U1967" s="36"/>
    </row>
    <row r="1968" spans="8:21" x14ac:dyDescent="0.3">
      <c r="H1968" s="40"/>
      <c r="J1968" s="36"/>
      <c r="K1968" s="36"/>
      <c r="L1968" s="36"/>
      <c r="M1968" s="36"/>
      <c r="Q1968" s="36"/>
      <c r="S1968" s="36"/>
      <c r="U1968" s="36"/>
    </row>
    <row r="1969" spans="8:21" x14ac:dyDescent="0.3">
      <c r="H1969" s="40"/>
      <c r="J1969" s="36"/>
      <c r="K1969" s="36"/>
      <c r="L1969" s="36"/>
      <c r="M1969" s="36"/>
      <c r="Q1969" s="36"/>
      <c r="S1969" s="36"/>
      <c r="U1969" s="36"/>
    </row>
    <row r="1970" spans="8:21" x14ac:dyDescent="0.3">
      <c r="H1970" s="40"/>
      <c r="J1970" s="36"/>
      <c r="K1970" s="36"/>
      <c r="L1970" s="36"/>
      <c r="M1970" s="36"/>
      <c r="Q1970" s="36"/>
      <c r="S1970" s="36"/>
      <c r="U1970" s="36"/>
    </row>
    <row r="1971" spans="8:21" x14ac:dyDescent="0.3">
      <c r="H1971" s="40"/>
      <c r="J1971" s="36"/>
      <c r="K1971" s="36"/>
      <c r="L1971" s="36"/>
      <c r="M1971" s="36"/>
      <c r="Q1971" s="36"/>
      <c r="S1971" s="36"/>
      <c r="U1971" s="36"/>
    </row>
    <row r="1972" spans="8:21" x14ac:dyDescent="0.3">
      <c r="H1972" s="40"/>
      <c r="J1972" s="36"/>
      <c r="K1972" s="36"/>
      <c r="L1972" s="36"/>
      <c r="M1972" s="36"/>
      <c r="Q1972" s="36"/>
      <c r="S1972" s="36"/>
      <c r="U1972" s="36"/>
    </row>
    <row r="1973" spans="8:21" x14ac:dyDescent="0.3">
      <c r="H1973" s="40"/>
      <c r="J1973" s="36"/>
      <c r="K1973" s="36"/>
      <c r="L1973" s="36"/>
      <c r="M1973" s="36"/>
      <c r="Q1973" s="36"/>
      <c r="S1973" s="36"/>
      <c r="U1973" s="36"/>
    </row>
    <row r="1974" spans="8:21" x14ac:dyDescent="0.3">
      <c r="H1974" s="40"/>
      <c r="J1974" s="36"/>
      <c r="K1974" s="36"/>
      <c r="L1974" s="36"/>
      <c r="M1974" s="36"/>
      <c r="Q1974" s="36"/>
      <c r="S1974" s="36"/>
      <c r="U1974" s="36"/>
    </row>
    <row r="1975" spans="8:21" x14ac:dyDescent="0.3">
      <c r="H1975" s="40"/>
      <c r="J1975" s="36"/>
      <c r="K1975" s="36"/>
      <c r="L1975" s="36"/>
      <c r="M1975" s="36"/>
      <c r="Q1975" s="36"/>
      <c r="S1975" s="36"/>
      <c r="U1975" s="36"/>
    </row>
    <row r="1976" spans="8:21" x14ac:dyDescent="0.3">
      <c r="H1976" s="40"/>
      <c r="J1976" s="36"/>
      <c r="K1976" s="36"/>
      <c r="L1976" s="36"/>
      <c r="M1976" s="36"/>
      <c r="Q1976" s="36"/>
      <c r="S1976" s="36"/>
      <c r="U1976" s="36"/>
    </row>
    <row r="1977" spans="8:21" x14ac:dyDescent="0.3">
      <c r="H1977" s="40"/>
      <c r="J1977" s="36"/>
      <c r="K1977" s="36"/>
      <c r="L1977" s="36"/>
      <c r="M1977" s="36"/>
      <c r="Q1977" s="36"/>
      <c r="S1977" s="36"/>
      <c r="U1977" s="36"/>
    </row>
    <row r="1978" spans="8:21" x14ac:dyDescent="0.3">
      <c r="H1978" s="40"/>
      <c r="J1978" s="36"/>
      <c r="K1978" s="36"/>
      <c r="L1978" s="36"/>
      <c r="M1978" s="36"/>
      <c r="Q1978" s="36"/>
      <c r="S1978" s="36"/>
      <c r="U1978" s="36"/>
    </row>
    <row r="1979" spans="8:21" x14ac:dyDescent="0.3">
      <c r="H1979" s="40"/>
      <c r="J1979" s="36"/>
      <c r="K1979" s="36"/>
      <c r="L1979" s="36"/>
      <c r="M1979" s="36"/>
      <c r="Q1979" s="36"/>
      <c r="S1979" s="36"/>
      <c r="U1979" s="36"/>
    </row>
    <row r="1980" spans="8:21" x14ac:dyDescent="0.3">
      <c r="H1980" s="40"/>
      <c r="J1980" s="36"/>
      <c r="K1980" s="36"/>
      <c r="L1980" s="36"/>
      <c r="M1980" s="36"/>
      <c r="Q1980" s="36"/>
      <c r="S1980" s="36"/>
      <c r="U1980" s="36"/>
    </row>
    <row r="1981" spans="8:21" x14ac:dyDescent="0.3">
      <c r="H1981" s="40"/>
      <c r="J1981" s="36"/>
      <c r="K1981" s="36"/>
      <c r="L1981" s="36"/>
      <c r="M1981" s="36"/>
      <c r="Q1981" s="36"/>
      <c r="S1981" s="36"/>
      <c r="U1981" s="36"/>
    </row>
    <row r="1982" spans="8:21" x14ac:dyDescent="0.3">
      <c r="H1982" s="40"/>
      <c r="J1982" s="36"/>
      <c r="K1982" s="36"/>
      <c r="L1982" s="36"/>
      <c r="M1982" s="36"/>
      <c r="Q1982" s="36"/>
      <c r="S1982" s="36"/>
      <c r="U1982" s="36"/>
    </row>
    <row r="1983" spans="8:21" x14ac:dyDescent="0.3">
      <c r="H1983" s="40"/>
      <c r="J1983" s="36"/>
      <c r="K1983" s="36"/>
      <c r="L1983" s="36"/>
      <c r="M1983" s="36"/>
      <c r="Q1983" s="36"/>
      <c r="S1983" s="36"/>
      <c r="U1983" s="36"/>
    </row>
    <row r="1984" spans="8:21" x14ac:dyDescent="0.3">
      <c r="H1984" s="40"/>
      <c r="J1984" s="36"/>
      <c r="K1984" s="36"/>
      <c r="L1984" s="36"/>
      <c r="M1984" s="36"/>
      <c r="Q1984" s="36"/>
      <c r="S1984" s="36"/>
      <c r="U1984" s="36"/>
    </row>
    <row r="1985" spans="8:21" x14ac:dyDescent="0.3">
      <c r="H1985" s="40"/>
      <c r="J1985" s="36"/>
      <c r="K1985" s="36"/>
      <c r="L1985" s="36"/>
      <c r="M1985" s="36"/>
      <c r="Q1985" s="36"/>
      <c r="S1985" s="36"/>
      <c r="U1985" s="36"/>
    </row>
    <row r="1986" spans="8:21" x14ac:dyDescent="0.3">
      <c r="H1986" s="40"/>
      <c r="J1986" s="36"/>
      <c r="K1986" s="36"/>
      <c r="L1986" s="36"/>
      <c r="M1986" s="36"/>
      <c r="Q1986" s="36"/>
      <c r="S1986" s="36"/>
      <c r="U1986" s="36"/>
    </row>
    <row r="1987" spans="8:21" x14ac:dyDescent="0.3">
      <c r="H1987" s="40"/>
      <c r="J1987" s="36"/>
      <c r="K1987" s="36"/>
      <c r="L1987" s="36"/>
      <c r="M1987" s="36"/>
      <c r="Q1987" s="36"/>
      <c r="S1987" s="36"/>
      <c r="U1987" s="36"/>
    </row>
    <row r="1988" spans="8:21" x14ac:dyDescent="0.3">
      <c r="H1988" s="40"/>
      <c r="J1988" s="36"/>
      <c r="K1988" s="36"/>
      <c r="L1988" s="36"/>
      <c r="M1988" s="36"/>
      <c r="Q1988" s="36"/>
      <c r="S1988" s="36"/>
      <c r="U1988" s="36"/>
    </row>
    <row r="1989" spans="8:21" x14ac:dyDescent="0.3">
      <c r="H1989" s="40"/>
      <c r="J1989" s="36"/>
      <c r="K1989" s="36"/>
      <c r="L1989" s="36"/>
      <c r="M1989" s="36"/>
      <c r="Q1989" s="36"/>
      <c r="S1989" s="36"/>
      <c r="U1989" s="36"/>
    </row>
    <row r="1990" spans="8:21" x14ac:dyDescent="0.3">
      <c r="H1990" s="40"/>
      <c r="J1990" s="36"/>
      <c r="K1990" s="36"/>
      <c r="L1990" s="36"/>
      <c r="M1990" s="36"/>
      <c r="Q1990" s="36"/>
      <c r="S1990" s="36"/>
      <c r="U1990" s="36"/>
    </row>
    <row r="1991" spans="8:21" x14ac:dyDescent="0.3">
      <c r="H1991" s="40"/>
      <c r="J1991" s="36"/>
      <c r="K1991" s="36"/>
      <c r="L1991" s="36"/>
      <c r="M1991" s="36"/>
      <c r="Q1991" s="36"/>
      <c r="S1991" s="36"/>
      <c r="U1991" s="36"/>
    </row>
    <row r="1992" spans="8:21" x14ac:dyDescent="0.3">
      <c r="H1992" s="40"/>
      <c r="J1992" s="36"/>
      <c r="K1992" s="36"/>
      <c r="L1992" s="36"/>
      <c r="M1992" s="36"/>
      <c r="Q1992" s="36"/>
      <c r="S1992" s="36"/>
      <c r="U1992" s="36"/>
    </row>
    <row r="1993" spans="8:21" x14ac:dyDescent="0.3">
      <c r="H1993" s="40"/>
      <c r="J1993" s="36"/>
      <c r="K1993" s="36"/>
      <c r="L1993" s="36"/>
      <c r="M1993" s="36"/>
      <c r="Q1993" s="36"/>
      <c r="S1993" s="36"/>
      <c r="U1993" s="36"/>
    </row>
    <row r="1994" spans="8:21" x14ac:dyDescent="0.3">
      <c r="H1994" s="40"/>
      <c r="J1994" s="36"/>
      <c r="K1994" s="36"/>
      <c r="L1994" s="36"/>
      <c r="M1994" s="36"/>
      <c r="Q1994" s="36"/>
      <c r="S1994" s="36"/>
      <c r="U1994" s="36"/>
    </row>
    <row r="1995" spans="8:21" x14ac:dyDescent="0.3">
      <c r="H1995" s="40"/>
      <c r="J1995" s="36"/>
      <c r="K1995" s="36"/>
      <c r="L1995" s="36"/>
      <c r="M1995" s="36"/>
      <c r="Q1995" s="36"/>
      <c r="S1995" s="36"/>
      <c r="U1995" s="36"/>
    </row>
    <row r="1996" spans="8:21" x14ac:dyDescent="0.3">
      <c r="H1996" s="40"/>
      <c r="J1996" s="36"/>
      <c r="K1996" s="36"/>
      <c r="L1996" s="36"/>
      <c r="M1996" s="36"/>
      <c r="Q1996" s="36"/>
      <c r="S1996" s="36"/>
      <c r="U1996" s="36"/>
    </row>
    <row r="1997" spans="8:21" x14ac:dyDescent="0.3">
      <c r="H1997" s="40"/>
      <c r="J1997" s="36"/>
      <c r="K1997" s="36"/>
      <c r="L1997" s="36"/>
      <c r="M1997" s="36"/>
      <c r="Q1997" s="36"/>
      <c r="S1997" s="36"/>
      <c r="U1997" s="36"/>
    </row>
    <row r="1998" spans="8:21" x14ac:dyDescent="0.3">
      <c r="H1998" s="40"/>
      <c r="J1998" s="36"/>
      <c r="K1998" s="36"/>
      <c r="L1998" s="36"/>
      <c r="M1998" s="36"/>
      <c r="Q1998" s="36"/>
      <c r="S1998" s="36"/>
      <c r="U1998" s="36"/>
    </row>
    <row r="1999" spans="8:21" x14ac:dyDescent="0.3">
      <c r="H1999" s="40"/>
      <c r="J1999" s="36"/>
      <c r="K1999" s="36"/>
      <c r="L1999" s="36"/>
      <c r="M1999" s="36"/>
      <c r="Q1999" s="36"/>
      <c r="S1999" s="36"/>
      <c r="U1999" s="36"/>
    </row>
    <row r="2000" spans="8:21" x14ac:dyDescent="0.3">
      <c r="H2000" s="40"/>
      <c r="J2000" s="36"/>
      <c r="K2000" s="36"/>
      <c r="L2000" s="36"/>
      <c r="M2000" s="36"/>
      <c r="Q2000" s="36"/>
      <c r="S2000" s="36"/>
      <c r="U2000" s="36"/>
    </row>
    <row r="2001" spans="8:21" x14ac:dyDescent="0.3">
      <c r="H2001" s="40"/>
      <c r="J2001" s="36"/>
      <c r="K2001" s="36"/>
      <c r="L2001" s="36"/>
      <c r="M2001" s="36"/>
      <c r="Q2001" s="36"/>
      <c r="S2001" s="36"/>
      <c r="U2001" s="36"/>
    </row>
    <row r="2002" spans="8:21" x14ac:dyDescent="0.3">
      <c r="H2002" s="40"/>
      <c r="J2002" s="36"/>
      <c r="K2002" s="36"/>
      <c r="L2002" s="36"/>
      <c r="M2002" s="36"/>
      <c r="Q2002" s="36"/>
      <c r="S2002" s="36"/>
      <c r="U2002" s="36"/>
    </row>
    <row r="2003" spans="8:21" x14ac:dyDescent="0.3">
      <c r="H2003" s="40"/>
      <c r="J2003" s="36"/>
      <c r="K2003" s="36"/>
      <c r="L2003" s="36"/>
      <c r="M2003" s="36"/>
      <c r="Q2003" s="36"/>
      <c r="S2003" s="36"/>
      <c r="U2003" s="36"/>
    </row>
    <row r="2004" spans="8:21" x14ac:dyDescent="0.3">
      <c r="H2004" s="40"/>
      <c r="J2004" s="36"/>
      <c r="K2004" s="36"/>
      <c r="L2004" s="36"/>
      <c r="M2004" s="36"/>
      <c r="Q2004" s="36"/>
      <c r="S2004" s="36"/>
      <c r="U2004" s="36"/>
    </row>
    <row r="2005" spans="8:21" x14ac:dyDescent="0.3">
      <c r="H2005" s="40"/>
      <c r="J2005" s="36"/>
      <c r="K2005" s="36"/>
      <c r="L2005" s="36"/>
      <c r="M2005" s="36"/>
      <c r="Q2005" s="36"/>
      <c r="S2005" s="36"/>
      <c r="U2005" s="36"/>
    </row>
    <row r="2006" spans="8:21" x14ac:dyDescent="0.3">
      <c r="H2006" s="40"/>
      <c r="J2006" s="36"/>
      <c r="K2006" s="36"/>
      <c r="L2006" s="36"/>
      <c r="M2006" s="36"/>
      <c r="Q2006" s="36"/>
      <c r="S2006" s="36"/>
      <c r="U2006" s="36"/>
    </row>
    <row r="2007" spans="8:21" x14ac:dyDescent="0.3">
      <c r="H2007" s="40"/>
      <c r="J2007" s="36"/>
      <c r="K2007" s="36"/>
      <c r="L2007" s="36"/>
      <c r="M2007" s="36"/>
      <c r="Q2007" s="36"/>
      <c r="S2007" s="36"/>
      <c r="U2007" s="36"/>
    </row>
    <row r="2008" spans="8:21" x14ac:dyDescent="0.3">
      <c r="H2008" s="40"/>
      <c r="J2008" s="36"/>
      <c r="K2008" s="36"/>
      <c r="L2008" s="36"/>
      <c r="M2008" s="36"/>
      <c r="Q2008" s="36"/>
      <c r="S2008" s="36"/>
      <c r="U2008" s="36"/>
    </row>
    <row r="2009" spans="8:21" x14ac:dyDescent="0.3">
      <c r="H2009" s="40"/>
      <c r="J2009" s="36"/>
      <c r="K2009" s="36"/>
      <c r="L2009" s="36"/>
      <c r="M2009" s="36"/>
      <c r="Q2009" s="36"/>
      <c r="S2009" s="36"/>
      <c r="U2009" s="36"/>
    </row>
    <row r="2010" spans="8:21" x14ac:dyDescent="0.3">
      <c r="H2010" s="40"/>
      <c r="J2010" s="36"/>
      <c r="K2010" s="36"/>
      <c r="L2010" s="36"/>
      <c r="M2010" s="36"/>
      <c r="Q2010" s="36"/>
      <c r="S2010" s="36"/>
      <c r="U2010" s="36"/>
    </row>
    <row r="2011" spans="8:21" x14ac:dyDescent="0.3">
      <c r="H2011" s="40"/>
      <c r="J2011" s="36"/>
      <c r="K2011" s="36"/>
      <c r="L2011" s="36"/>
      <c r="M2011" s="36"/>
      <c r="Q2011" s="36"/>
      <c r="S2011" s="36"/>
      <c r="U2011" s="36"/>
    </row>
    <row r="2012" spans="8:21" x14ac:dyDescent="0.3">
      <c r="H2012" s="40"/>
      <c r="J2012" s="36"/>
      <c r="K2012" s="36"/>
      <c r="L2012" s="36"/>
      <c r="M2012" s="36"/>
      <c r="Q2012" s="36"/>
      <c r="S2012" s="36"/>
      <c r="U2012" s="36"/>
    </row>
    <row r="2013" spans="8:21" x14ac:dyDescent="0.3">
      <c r="H2013" s="40"/>
      <c r="J2013" s="36"/>
      <c r="K2013" s="36"/>
      <c r="L2013" s="36"/>
      <c r="M2013" s="36"/>
      <c r="Q2013" s="36"/>
      <c r="S2013" s="36"/>
      <c r="U2013" s="36"/>
    </row>
    <row r="2014" spans="8:21" x14ac:dyDescent="0.3">
      <c r="H2014" s="40"/>
      <c r="J2014" s="36"/>
      <c r="K2014" s="36"/>
      <c r="L2014" s="36"/>
      <c r="M2014" s="36"/>
      <c r="Q2014" s="36"/>
      <c r="S2014" s="36"/>
      <c r="U2014" s="36"/>
    </row>
    <row r="2015" spans="8:21" x14ac:dyDescent="0.3">
      <c r="H2015" s="40"/>
      <c r="J2015" s="36"/>
      <c r="K2015" s="36"/>
      <c r="L2015" s="36"/>
      <c r="M2015" s="36"/>
      <c r="Q2015" s="36"/>
      <c r="S2015" s="36"/>
      <c r="U2015" s="36"/>
    </row>
    <row r="2016" spans="8:21" x14ac:dyDescent="0.3">
      <c r="H2016" s="40"/>
      <c r="J2016" s="36"/>
      <c r="K2016" s="36"/>
      <c r="L2016" s="36"/>
      <c r="M2016" s="36"/>
      <c r="Q2016" s="36"/>
      <c r="S2016" s="36"/>
      <c r="U2016" s="36"/>
    </row>
    <row r="2017" spans="8:21" x14ac:dyDescent="0.3">
      <c r="H2017" s="40"/>
      <c r="J2017" s="36"/>
      <c r="K2017" s="36"/>
      <c r="L2017" s="36"/>
      <c r="M2017" s="36"/>
      <c r="Q2017" s="36"/>
      <c r="S2017" s="36"/>
      <c r="U2017" s="36"/>
    </row>
    <row r="2018" spans="8:21" x14ac:dyDescent="0.3">
      <c r="H2018" s="40"/>
      <c r="J2018" s="36"/>
      <c r="K2018" s="36"/>
      <c r="L2018" s="36"/>
      <c r="M2018" s="36"/>
      <c r="Q2018" s="36"/>
      <c r="S2018" s="36"/>
      <c r="U2018" s="36"/>
    </row>
    <row r="2019" spans="8:21" x14ac:dyDescent="0.3">
      <c r="H2019" s="40"/>
      <c r="J2019" s="36"/>
      <c r="K2019" s="36"/>
      <c r="L2019" s="36"/>
      <c r="M2019" s="36"/>
      <c r="Q2019" s="36"/>
      <c r="S2019" s="36"/>
      <c r="U2019" s="36"/>
    </row>
    <row r="2020" spans="8:21" x14ac:dyDescent="0.3">
      <c r="H2020" s="40"/>
      <c r="J2020" s="36"/>
      <c r="K2020" s="36"/>
      <c r="L2020" s="36"/>
      <c r="M2020" s="36"/>
      <c r="Q2020" s="36"/>
      <c r="S2020" s="36"/>
      <c r="U2020" s="36"/>
    </row>
    <row r="2021" spans="8:21" x14ac:dyDescent="0.3">
      <c r="H2021" s="40"/>
      <c r="J2021" s="36"/>
      <c r="K2021" s="36"/>
      <c r="L2021" s="36"/>
      <c r="M2021" s="36"/>
      <c r="Q2021" s="36"/>
      <c r="S2021" s="36"/>
      <c r="U2021" s="36"/>
    </row>
    <row r="2022" spans="8:21" x14ac:dyDescent="0.3">
      <c r="H2022" s="40"/>
      <c r="J2022" s="36"/>
      <c r="K2022" s="36"/>
      <c r="L2022" s="36"/>
      <c r="M2022" s="36"/>
      <c r="Q2022" s="36"/>
      <c r="S2022" s="36"/>
      <c r="U2022" s="36"/>
    </row>
    <row r="2023" spans="8:21" x14ac:dyDescent="0.3">
      <c r="H2023" s="40"/>
      <c r="J2023" s="36"/>
      <c r="K2023" s="36"/>
      <c r="L2023" s="36"/>
      <c r="M2023" s="36"/>
      <c r="Q2023" s="36"/>
      <c r="S2023" s="36"/>
      <c r="U2023" s="36"/>
    </row>
    <row r="2024" spans="8:21" x14ac:dyDescent="0.3">
      <c r="H2024" s="40"/>
      <c r="J2024" s="36"/>
      <c r="K2024" s="36"/>
      <c r="L2024" s="36"/>
      <c r="M2024" s="36"/>
      <c r="Q2024" s="36"/>
      <c r="S2024" s="36"/>
      <c r="U2024" s="36"/>
    </row>
    <row r="2025" spans="8:21" x14ac:dyDescent="0.3">
      <c r="H2025" s="40"/>
      <c r="J2025" s="36"/>
      <c r="K2025" s="36"/>
      <c r="L2025" s="36"/>
      <c r="M2025" s="36"/>
      <c r="Q2025" s="36"/>
      <c r="S2025" s="36"/>
      <c r="U2025" s="36"/>
    </row>
    <row r="2026" spans="8:21" x14ac:dyDescent="0.3">
      <c r="H2026" s="40"/>
      <c r="J2026" s="36"/>
      <c r="K2026" s="36"/>
      <c r="L2026" s="36"/>
      <c r="M2026" s="36"/>
      <c r="Q2026" s="36"/>
      <c r="S2026" s="36"/>
      <c r="U2026" s="36"/>
    </row>
    <row r="2027" spans="8:21" x14ac:dyDescent="0.3">
      <c r="H2027" s="40"/>
      <c r="J2027" s="36"/>
      <c r="K2027" s="36"/>
      <c r="L2027" s="36"/>
      <c r="M2027" s="36"/>
      <c r="Q2027" s="36"/>
      <c r="S2027" s="36"/>
      <c r="U2027" s="36"/>
    </row>
    <row r="2028" spans="8:21" x14ac:dyDescent="0.3">
      <c r="H2028" s="40"/>
      <c r="J2028" s="36"/>
      <c r="K2028" s="36"/>
      <c r="L2028" s="36"/>
      <c r="M2028" s="36"/>
      <c r="Q2028" s="36"/>
      <c r="S2028" s="36"/>
      <c r="U2028" s="36"/>
    </row>
    <row r="2029" spans="8:21" x14ac:dyDescent="0.3">
      <c r="H2029" s="40"/>
      <c r="J2029" s="36"/>
      <c r="K2029" s="36"/>
      <c r="L2029" s="36"/>
      <c r="M2029" s="36"/>
      <c r="Q2029" s="36"/>
      <c r="S2029" s="36"/>
      <c r="U2029" s="36"/>
    </row>
    <row r="2030" spans="8:21" x14ac:dyDescent="0.3">
      <c r="H2030" s="40"/>
      <c r="J2030" s="36"/>
      <c r="K2030" s="36"/>
      <c r="L2030" s="36"/>
      <c r="M2030" s="36"/>
      <c r="Q2030" s="36"/>
      <c r="S2030" s="36"/>
      <c r="U2030" s="36"/>
    </row>
    <row r="2031" spans="8:21" x14ac:dyDescent="0.3">
      <c r="H2031" s="40"/>
      <c r="J2031" s="36"/>
      <c r="K2031" s="36"/>
      <c r="L2031" s="36"/>
      <c r="M2031" s="36"/>
      <c r="Q2031" s="36"/>
      <c r="S2031" s="36"/>
      <c r="U2031" s="36"/>
    </row>
    <row r="2032" spans="8:21" x14ac:dyDescent="0.3">
      <c r="H2032" s="40"/>
      <c r="J2032" s="36"/>
      <c r="K2032" s="36"/>
      <c r="L2032" s="36"/>
      <c r="M2032" s="36"/>
      <c r="Q2032" s="36"/>
      <c r="S2032" s="36"/>
      <c r="U2032" s="36"/>
    </row>
    <row r="2033" spans="8:21" x14ac:dyDescent="0.3">
      <c r="H2033" s="40"/>
      <c r="J2033" s="36"/>
      <c r="K2033" s="36"/>
      <c r="L2033" s="36"/>
      <c r="M2033" s="36"/>
      <c r="Q2033" s="36"/>
      <c r="S2033" s="36"/>
      <c r="U2033" s="36"/>
    </row>
    <row r="2034" spans="8:21" x14ac:dyDescent="0.3">
      <c r="H2034" s="40"/>
      <c r="J2034" s="36"/>
      <c r="K2034" s="36"/>
      <c r="L2034" s="36"/>
      <c r="M2034" s="36"/>
      <c r="Q2034" s="36"/>
      <c r="S2034" s="36"/>
      <c r="U2034" s="36"/>
    </row>
    <row r="2035" spans="8:21" x14ac:dyDescent="0.3">
      <c r="H2035" s="40"/>
      <c r="J2035" s="36"/>
      <c r="K2035" s="36"/>
      <c r="L2035" s="36"/>
      <c r="M2035" s="36"/>
      <c r="Q2035" s="36"/>
      <c r="S2035" s="36"/>
      <c r="U2035" s="36"/>
    </row>
    <row r="2036" spans="8:21" x14ac:dyDescent="0.3">
      <c r="H2036" s="40"/>
      <c r="J2036" s="36"/>
      <c r="K2036" s="36"/>
      <c r="L2036" s="36"/>
      <c r="M2036" s="36"/>
      <c r="Q2036" s="36"/>
      <c r="S2036" s="36"/>
      <c r="U2036" s="36"/>
    </row>
    <row r="2037" spans="8:21" x14ac:dyDescent="0.3">
      <c r="H2037" s="40"/>
      <c r="J2037" s="36"/>
      <c r="K2037" s="36"/>
      <c r="L2037" s="36"/>
      <c r="M2037" s="36"/>
      <c r="Q2037" s="36"/>
      <c r="S2037" s="36"/>
      <c r="U2037" s="36"/>
    </row>
    <row r="2038" spans="8:21" x14ac:dyDescent="0.3">
      <c r="H2038" s="40"/>
      <c r="J2038" s="36"/>
      <c r="K2038" s="36"/>
      <c r="L2038" s="36"/>
      <c r="M2038" s="36"/>
      <c r="Q2038" s="36"/>
      <c r="S2038" s="36"/>
      <c r="U2038" s="36"/>
    </row>
    <row r="2039" spans="8:21" x14ac:dyDescent="0.3">
      <c r="H2039" s="40"/>
      <c r="J2039" s="36"/>
      <c r="K2039" s="36"/>
      <c r="L2039" s="36"/>
      <c r="M2039" s="36"/>
      <c r="Q2039" s="36"/>
      <c r="S2039" s="36"/>
      <c r="U2039" s="36"/>
    </row>
    <row r="2040" spans="8:21" x14ac:dyDescent="0.3">
      <c r="H2040" s="40"/>
      <c r="J2040" s="36"/>
      <c r="K2040" s="36"/>
      <c r="L2040" s="36"/>
      <c r="M2040" s="36"/>
      <c r="Q2040" s="36"/>
      <c r="S2040" s="36"/>
      <c r="U2040" s="36"/>
    </row>
    <row r="2041" spans="8:21" x14ac:dyDescent="0.3">
      <c r="H2041" s="40"/>
      <c r="J2041" s="36"/>
      <c r="K2041" s="36"/>
      <c r="L2041" s="36"/>
      <c r="M2041" s="36"/>
      <c r="Q2041" s="36"/>
      <c r="S2041" s="36"/>
      <c r="U2041" s="36"/>
    </row>
    <row r="2042" spans="8:21" x14ac:dyDescent="0.3">
      <c r="H2042" s="40"/>
      <c r="J2042" s="36"/>
      <c r="K2042" s="36"/>
      <c r="L2042" s="36"/>
      <c r="M2042" s="36"/>
      <c r="Q2042" s="36"/>
      <c r="S2042" s="36"/>
      <c r="U2042" s="36"/>
    </row>
    <row r="2043" spans="8:21" x14ac:dyDescent="0.3">
      <c r="H2043" s="40"/>
      <c r="J2043" s="36"/>
      <c r="K2043" s="36"/>
      <c r="L2043" s="36"/>
      <c r="M2043" s="36"/>
      <c r="Q2043" s="36"/>
      <c r="S2043" s="36"/>
      <c r="U2043" s="36"/>
    </row>
    <row r="2044" spans="8:21" x14ac:dyDescent="0.3">
      <c r="H2044" s="40"/>
      <c r="J2044" s="36"/>
      <c r="K2044" s="36"/>
      <c r="L2044" s="36"/>
      <c r="M2044" s="36"/>
      <c r="Q2044" s="36"/>
      <c r="S2044" s="36"/>
      <c r="U2044" s="36"/>
    </row>
    <row r="2045" spans="8:21" x14ac:dyDescent="0.3">
      <c r="H2045" s="40"/>
      <c r="J2045" s="36"/>
      <c r="K2045" s="36"/>
      <c r="L2045" s="36"/>
      <c r="M2045" s="36"/>
      <c r="Q2045" s="36"/>
      <c r="S2045" s="36"/>
      <c r="U2045" s="36"/>
    </row>
    <row r="2046" spans="8:21" x14ac:dyDescent="0.3">
      <c r="H2046" s="40"/>
      <c r="J2046" s="36"/>
      <c r="K2046" s="36"/>
      <c r="L2046" s="36"/>
      <c r="M2046" s="36"/>
      <c r="Q2046" s="36"/>
      <c r="S2046" s="36"/>
      <c r="U2046" s="36"/>
    </row>
    <row r="2047" spans="8:21" x14ac:dyDescent="0.3">
      <c r="H2047" s="40"/>
      <c r="J2047" s="36"/>
      <c r="K2047" s="36"/>
      <c r="L2047" s="36"/>
      <c r="M2047" s="36"/>
      <c r="Q2047" s="36"/>
      <c r="S2047" s="36"/>
      <c r="U2047" s="36"/>
    </row>
    <row r="2048" spans="8:21" x14ac:dyDescent="0.3">
      <c r="H2048" s="40"/>
      <c r="J2048" s="36"/>
      <c r="K2048" s="36"/>
      <c r="L2048" s="36"/>
      <c r="M2048" s="36"/>
      <c r="Q2048" s="36"/>
      <c r="S2048" s="36"/>
      <c r="U2048" s="36"/>
    </row>
    <row r="2049" spans="8:21" x14ac:dyDescent="0.3">
      <c r="H2049" s="40"/>
      <c r="J2049" s="36"/>
      <c r="K2049" s="36"/>
      <c r="L2049" s="36"/>
      <c r="M2049" s="36"/>
      <c r="Q2049" s="36"/>
      <c r="S2049" s="36"/>
      <c r="U2049" s="36"/>
    </row>
    <row r="2050" spans="8:21" x14ac:dyDescent="0.3">
      <c r="H2050" s="40"/>
      <c r="J2050" s="36"/>
      <c r="K2050" s="36"/>
      <c r="L2050" s="36"/>
      <c r="M2050" s="36"/>
      <c r="Q2050" s="36"/>
      <c r="S2050" s="36"/>
      <c r="U2050" s="36"/>
    </row>
    <row r="2051" spans="8:21" x14ac:dyDescent="0.3">
      <c r="H2051" s="40"/>
      <c r="J2051" s="36"/>
      <c r="K2051" s="36"/>
      <c r="L2051" s="36"/>
      <c r="M2051" s="36"/>
      <c r="Q2051" s="36"/>
      <c r="S2051" s="36"/>
      <c r="U2051" s="36"/>
    </row>
    <row r="2052" spans="8:21" x14ac:dyDescent="0.3">
      <c r="H2052" s="40"/>
      <c r="J2052" s="36"/>
      <c r="K2052" s="36"/>
      <c r="L2052" s="36"/>
      <c r="M2052" s="36"/>
      <c r="Q2052" s="36"/>
      <c r="S2052" s="36"/>
      <c r="U2052" s="36"/>
    </row>
    <row r="2053" spans="8:21" x14ac:dyDescent="0.3">
      <c r="H2053" s="40"/>
      <c r="J2053" s="36"/>
      <c r="K2053" s="36"/>
      <c r="L2053" s="36"/>
      <c r="M2053" s="36"/>
      <c r="Q2053" s="36"/>
      <c r="S2053" s="36"/>
      <c r="U2053" s="36"/>
    </row>
    <row r="2054" spans="8:21" x14ac:dyDescent="0.3">
      <c r="H2054" s="40"/>
      <c r="J2054" s="36"/>
      <c r="K2054" s="36"/>
      <c r="L2054" s="36"/>
      <c r="M2054" s="36"/>
      <c r="Q2054" s="36"/>
      <c r="S2054" s="36"/>
      <c r="U2054" s="36"/>
    </row>
    <row r="2055" spans="8:21" x14ac:dyDescent="0.3">
      <c r="H2055" s="40"/>
      <c r="J2055" s="36"/>
      <c r="K2055" s="36"/>
      <c r="L2055" s="36"/>
      <c r="M2055" s="36"/>
      <c r="Q2055" s="36"/>
      <c r="S2055" s="36"/>
      <c r="U2055" s="36"/>
    </row>
    <row r="2056" spans="8:21" x14ac:dyDescent="0.3">
      <c r="H2056" s="40"/>
      <c r="J2056" s="36"/>
      <c r="K2056" s="36"/>
      <c r="L2056" s="36"/>
      <c r="M2056" s="36"/>
      <c r="Q2056" s="36"/>
      <c r="S2056" s="36"/>
      <c r="U2056" s="36"/>
    </row>
    <row r="2057" spans="8:21" x14ac:dyDescent="0.3">
      <c r="H2057" s="40"/>
      <c r="J2057" s="36"/>
      <c r="K2057" s="36"/>
      <c r="L2057" s="36"/>
      <c r="M2057" s="36"/>
      <c r="Q2057" s="36"/>
      <c r="S2057" s="36"/>
      <c r="U2057" s="36"/>
    </row>
    <row r="2058" spans="8:21" x14ac:dyDescent="0.3">
      <c r="H2058" s="40"/>
      <c r="J2058" s="36"/>
      <c r="K2058" s="36"/>
      <c r="L2058" s="36"/>
      <c r="M2058" s="36"/>
      <c r="Q2058" s="36"/>
      <c r="S2058" s="36"/>
      <c r="U2058" s="36"/>
    </row>
    <row r="2059" spans="8:21" x14ac:dyDescent="0.3">
      <c r="H2059" s="40"/>
      <c r="J2059" s="36"/>
      <c r="K2059" s="36"/>
      <c r="L2059" s="36"/>
      <c r="M2059" s="36"/>
      <c r="Q2059" s="36"/>
      <c r="S2059" s="36"/>
      <c r="U2059" s="36"/>
    </row>
    <row r="2060" spans="8:21" x14ac:dyDescent="0.3">
      <c r="H2060" s="40"/>
      <c r="J2060" s="36"/>
      <c r="K2060" s="36"/>
      <c r="L2060" s="36"/>
      <c r="M2060" s="36"/>
      <c r="Q2060" s="36"/>
      <c r="S2060" s="36"/>
      <c r="U2060" s="36"/>
    </row>
    <row r="2061" spans="8:21" x14ac:dyDescent="0.3">
      <c r="H2061" s="40"/>
      <c r="J2061" s="36"/>
      <c r="K2061" s="36"/>
      <c r="L2061" s="36"/>
      <c r="M2061" s="36"/>
      <c r="Q2061" s="36"/>
      <c r="S2061" s="36"/>
      <c r="U2061" s="36"/>
    </row>
    <row r="2062" spans="8:21" x14ac:dyDescent="0.3">
      <c r="H2062" s="40"/>
      <c r="J2062" s="36"/>
      <c r="K2062" s="36"/>
      <c r="L2062" s="36"/>
      <c r="M2062" s="36"/>
      <c r="Q2062" s="36"/>
      <c r="S2062" s="36"/>
      <c r="U2062" s="36"/>
    </row>
    <row r="2063" spans="8:21" x14ac:dyDescent="0.3">
      <c r="H2063" s="40"/>
      <c r="J2063" s="36"/>
      <c r="K2063" s="36"/>
      <c r="L2063" s="36"/>
      <c r="M2063" s="36"/>
      <c r="Q2063" s="36"/>
      <c r="S2063" s="36"/>
      <c r="U2063" s="36"/>
    </row>
    <row r="2064" spans="8:21" x14ac:dyDescent="0.3">
      <c r="H2064" s="40"/>
      <c r="J2064" s="36"/>
      <c r="K2064" s="36"/>
      <c r="L2064" s="36"/>
      <c r="M2064" s="36"/>
      <c r="Q2064" s="36"/>
      <c r="S2064" s="36"/>
      <c r="U2064" s="36"/>
    </row>
    <row r="2065" spans="8:21" x14ac:dyDescent="0.3">
      <c r="H2065" s="40"/>
      <c r="J2065" s="36"/>
      <c r="K2065" s="36"/>
      <c r="L2065" s="36"/>
      <c r="M2065" s="36"/>
      <c r="Q2065" s="36"/>
      <c r="S2065" s="36"/>
      <c r="U2065" s="36"/>
    </row>
    <row r="2066" spans="8:21" x14ac:dyDescent="0.3">
      <c r="H2066" s="40"/>
      <c r="J2066" s="36"/>
      <c r="K2066" s="36"/>
      <c r="L2066" s="36"/>
      <c r="M2066" s="36"/>
      <c r="Q2066" s="36"/>
      <c r="S2066" s="36"/>
      <c r="U2066" s="36"/>
    </row>
    <row r="2067" spans="8:21" x14ac:dyDescent="0.3">
      <c r="H2067" s="40"/>
      <c r="J2067" s="36"/>
      <c r="K2067" s="36"/>
      <c r="L2067" s="36"/>
      <c r="M2067" s="36"/>
      <c r="Q2067" s="36"/>
      <c r="S2067" s="36"/>
      <c r="U2067" s="36"/>
    </row>
    <row r="2068" spans="8:21" x14ac:dyDescent="0.3">
      <c r="H2068" s="40"/>
      <c r="J2068" s="36"/>
      <c r="K2068" s="36"/>
      <c r="L2068" s="36"/>
      <c r="M2068" s="36"/>
      <c r="Q2068" s="36"/>
      <c r="S2068" s="36"/>
      <c r="U2068" s="36"/>
    </row>
    <row r="2069" spans="8:21" x14ac:dyDescent="0.3">
      <c r="H2069" s="40"/>
      <c r="J2069" s="36"/>
      <c r="K2069" s="36"/>
      <c r="L2069" s="36"/>
      <c r="M2069" s="36"/>
      <c r="Q2069" s="36"/>
      <c r="S2069" s="36"/>
      <c r="U2069" s="36"/>
    </row>
    <row r="2070" spans="8:21" x14ac:dyDescent="0.3">
      <c r="H2070" s="40"/>
      <c r="J2070" s="36"/>
      <c r="K2070" s="36"/>
      <c r="L2070" s="36"/>
      <c r="M2070" s="36"/>
      <c r="Q2070" s="36"/>
      <c r="S2070" s="36"/>
      <c r="U2070" s="36"/>
    </row>
    <row r="2071" spans="8:21" x14ac:dyDescent="0.3">
      <c r="H2071" s="40"/>
      <c r="J2071" s="36"/>
      <c r="K2071" s="36"/>
      <c r="L2071" s="36"/>
      <c r="M2071" s="36"/>
      <c r="Q2071" s="36"/>
      <c r="S2071" s="36"/>
      <c r="U2071" s="36"/>
    </row>
    <row r="2072" spans="8:21" x14ac:dyDescent="0.3">
      <c r="H2072" s="40"/>
      <c r="J2072" s="36"/>
      <c r="K2072" s="36"/>
      <c r="L2072" s="36"/>
      <c r="M2072" s="36"/>
      <c r="Q2072" s="36"/>
      <c r="S2072" s="36"/>
      <c r="U2072" s="36"/>
    </row>
    <row r="2073" spans="8:21" x14ac:dyDescent="0.3">
      <c r="H2073" s="40"/>
      <c r="J2073" s="36"/>
      <c r="K2073" s="36"/>
      <c r="L2073" s="36"/>
      <c r="M2073" s="36"/>
      <c r="Q2073" s="36"/>
      <c r="S2073" s="36"/>
      <c r="U2073" s="36"/>
    </row>
    <row r="2074" spans="8:21" x14ac:dyDescent="0.3">
      <c r="H2074" s="40"/>
      <c r="J2074" s="36"/>
      <c r="K2074" s="36"/>
      <c r="L2074" s="36"/>
      <c r="M2074" s="36"/>
      <c r="Q2074" s="36"/>
      <c r="S2074" s="36"/>
      <c r="U2074" s="36"/>
    </row>
    <row r="2075" spans="8:21" x14ac:dyDescent="0.3">
      <c r="H2075" s="40"/>
      <c r="J2075" s="36"/>
      <c r="K2075" s="36"/>
      <c r="L2075" s="36"/>
      <c r="M2075" s="36"/>
      <c r="Q2075" s="36"/>
      <c r="S2075" s="36"/>
      <c r="U2075" s="36"/>
    </row>
    <row r="2076" spans="8:21" x14ac:dyDescent="0.3">
      <c r="H2076" s="40"/>
      <c r="J2076" s="36"/>
      <c r="K2076" s="36"/>
      <c r="L2076" s="36"/>
      <c r="M2076" s="36"/>
      <c r="Q2076" s="36"/>
      <c r="S2076" s="36"/>
      <c r="U2076" s="36"/>
    </row>
    <row r="2077" spans="8:21" x14ac:dyDescent="0.3">
      <c r="H2077" s="40"/>
      <c r="J2077" s="36"/>
      <c r="K2077" s="36"/>
      <c r="L2077" s="36"/>
      <c r="M2077" s="36"/>
      <c r="Q2077" s="36"/>
      <c r="S2077" s="36"/>
      <c r="U2077" s="36"/>
    </row>
    <row r="2078" spans="8:21" x14ac:dyDescent="0.3">
      <c r="H2078" s="40"/>
      <c r="J2078" s="36"/>
      <c r="K2078" s="36"/>
      <c r="L2078" s="36"/>
      <c r="M2078" s="36"/>
      <c r="Q2078" s="36"/>
      <c r="S2078" s="36"/>
      <c r="U2078" s="36"/>
    </row>
    <row r="2079" spans="8:21" x14ac:dyDescent="0.3">
      <c r="H2079" s="40"/>
      <c r="J2079" s="36"/>
      <c r="K2079" s="36"/>
      <c r="L2079" s="36"/>
      <c r="M2079" s="36"/>
      <c r="Q2079" s="36"/>
      <c r="S2079" s="36"/>
      <c r="U2079" s="36"/>
    </row>
    <row r="2080" spans="8:21" x14ac:dyDescent="0.3">
      <c r="H2080" s="40"/>
      <c r="J2080" s="36"/>
      <c r="K2080" s="36"/>
      <c r="L2080" s="36"/>
      <c r="M2080" s="36"/>
      <c r="Q2080" s="36"/>
      <c r="S2080" s="36"/>
      <c r="U2080" s="36"/>
    </row>
    <row r="2081" spans="8:21" x14ac:dyDescent="0.3">
      <c r="H2081" s="40"/>
      <c r="J2081" s="36"/>
      <c r="K2081" s="36"/>
      <c r="L2081" s="36"/>
      <c r="M2081" s="36"/>
      <c r="Q2081" s="36"/>
      <c r="S2081" s="36"/>
      <c r="U2081" s="36"/>
    </row>
    <row r="2082" spans="8:21" x14ac:dyDescent="0.3">
      <c r="H2082" s="40"/>
      <c r="J2082" s="36"/>
      <c r="K2082" s="36"/>
      <c r="L2082" s="36"/>
      <c r="M2082" s="36"/>
      <c r="Q2082" s="36"/>
      <c r="S2082" s="36"/>
      <c r="U2082" s="36"/>
    </row>
    <row r="2083" spans="8:21" x14ac:dyDescent="0.3">
      <c r="H2083" s="40"/>
      <c r="J2083" s="36"/>
      <c r="K2083" s="36"/>
      <c r="L2083" s="36"/>
      <c r="M2083" s="36"/>
      <c r="Q2083" s="36"/>
      <c r="S2083" s="36"/>
      <c r="U2083" s="36"/>
    </row>
    <row r="2084" spans="8:21" x14ac:dyDescent="0.3">
      <c r="H2084" s="40"/>
      <c r="J2084" s="36"/>
      <c r="K2084" s="36"/>
      <c r="L2084" s="36"/>
      <c r="M2084" s="36"/>
      <c r="Q2084" s="36"/>
      <c r="S2084" s="36"/>
      <c r="U2084" s="36"/>
    </row>
    <row r="2085" spans="8:21" x14ac:dyDescent="0.3">
      <c r="H2085" s="40"/>
      <c r="J2085" s="36"/>
      <c r="K2085" s="36"/>
      <c r="L2085" s="36"/>
      <c r="M2085" s="36"/>
      <c r="Q2085" s="36"/>
      <c r="S2085" s="36"/>
      <c r="U2085" s="36"/>
    </row>
    <row r="2086" spans="8:21" x14ac:dyDescent="0.3">
      <c r="H2086" s="40"/>
      <c r="J2086" s="36"/>
      <c r="K2086" s="36"/>
      <c r="L2086" s="36"/>
      <c r="M2086" s="36"/>
      <c r="Q2086" s="36"/>
      <c r="S2086" s="36"/>
      <c r="U2086" s="36"/>
    </row>
    <row r="2087" spans="8:21" x14ac:dyDescent="0.3">
      <c r="H2087" s="40"/>
      <c r="J2087" s="36"/>
      <c r="K2087" s="36"/>
      <c r="L2087" s="36"/>
      <c r="M2087" s="36"/>
      <c r="Q2087" s="36"/>
      <c r="S2087" s="36"/>
      <c r="U2087" s="36"/>
    </row>
    <row r="2088" spans="8:21" x14ac:dyDescent="0.3">
      <c r="H2088" s="40"/>
      <c r="J2088" s="36"/>
      <c r="K2088" s="36"/>
      <c r="L2088" s="36"/>
      <c r="M2088" s="36"/>
      <c r="Q2088" s="36"/>
      <c r="S2088" s="36"/>
      <c r="U2088" s="36"/>
    </row>
    <row r="2089" spans="8:21" x14ac:dyDescent="0.3">
      <c r="H2089" s="40"/>
      <c r="J2089" s="36"/>
      <c r="K2089" s="36"/>
      <c r="L2089" s="36"/>
      <c r="M2089" s="36"/>
      <c r="Q2089" s="36"/>
      <c r="S2089" s="36"/>
      <c r="U2089" s="36"/>
    </row>
    <row r="2090" spans="8:21" x14ac:dyDescent="0.3">
      <c r="H2090" s="40"/>
      <c r="J2090" s="36"/>
      <c r="K2090" s="36"/>
      <c r="L2090" s="36"/>
      <c r="M2090" s="36"/>
      <c r="Q2090" s="36"/>
      <c r="S2090" s="36"/>
      <c r="U2090" s="36"/>
    </row>
    <row r="2091" spans="8:21" x14ac:dyDescent="0.3">
      <c r="H2091" s="40"/>
      <c r="J2091" s="36"/>
      <c r="K2091" s="36"/>
      <c r="L2091" s="36"/>
      <c r="M2091" s="36"/>
      <c r="Q2091" s="36"/>
      <c r="S2091" s="36"/>
      <c r="U2091" s="36"/>
    </row>
    <row r="2092" spans="8:21" x14ac:dyDescent="0.3">
      <c r="H2092" s="40"/>
      <c r="J2092" s="36"/>
      <c r="K2092" s="36"/>
      <c r="L2092" s="36"/>
      <c r="M2092" s="36"/>
      <c r="Q2092" s="36"/>
      <c r="S2092" s="36"/>
      <c r="U2092" s="36"/>
    </row>
    <row r="2093" spans="8:21" x14ac:dyDescent="0.3">
      <c r="H2093" s="40"/>
      <c r="J2093" s="36"/>
      <c r="K2093" s="36"/>
      <c r="L2093" s="36"/>
      <c r="M2093" s="36"/>
      <c r="Q2093" s="36"/>
      <c r="S2093" s="36"/>
      <c r="U2093" s="36"/>
    </row>
    <row r="2094" spans="8:21" x14ac:dyDescent="0.3">
      <c r="H2094" s="40"/>
      <c r="J2094" s="36"/>
      <c r="K2094" s="36"/>
      <c r="L2094" s="36"/>
      <c r="M2094" s="36"/>
      <c r="Q2094" s="36"/>
      <c r="S2094" s="36"/>
      <c r="U2094" s="36"/>
    </row>
    <row r="2095" spans="8:21" x14ac:dyDescent="0.3">
      <c r="H2095" s="40"/>
      <c r="J2095" s="36"/>
      <c r="K2095" s="36"/>
      <c r="L2095" s="36"/>
      <c r="M2095" s="36"/>
      <c r="Q2095" s="36"/>
      <c r="S2095" s="36"/>
      <c r="U2095" s="36"/>
    </row>
    <row r="2096" spans="8:21" x14ac:dyDescent="0.3">
      <c r="H2096" s="40"/>
      <c r="J2096" s="36"/>
      <c r="K2096" s="36"/>
      <c r="L2096" s="36"/>
      <c r="M2096" s="36"/>
      <c r="Q2096" s="36"/>
      <c r="S2096" s="36"/>
      <c r="U2096" s="36"/>
    </row>
    <row r="2097" spans="8:21" x14ac:dyDescent="0.3">
      <c r="H2097" s="40"/>
      <c r="J2097" s="36"/>
      <c r="K2097" s="36"/>
      <c r="L2097" s="36"/>
      <c r="M2097" s="36"/>
      <c r="Q2097" s="36"/>
      <c r="S2097" s="36"/>
      <c r="U2097" s="36"/>
    </row>
    <row r="2098" spans="8:21" x14ac:dyDescent="0.3">
      <c r="H2098" s="40"/>
      <c r="J2098" s="36"/>
      <c r="K2098" s="36"/>
      <c r="L2098" s="36"/>
      <c r="M2098" s="36"/>
      <c r="Q2098" s="36"/>
      <c r="S2098" s="36"/>
      <c r="U2098" s="36"/>
    </row>
    <row r="2099" spans="8:21" x14ac:dyDescent="0.3">
      <c r="H2099" s="40"/>
      <c r="J2099" s="36"/>
      <c r="K2099" s="36"/>
      <c r="L2099" s="36"/>
      <c r="M2099" s="36"/>
      <c r="Q2099" s="36"/>
      <c r="S2099" s="36"/>
      <c r="U2099" s="36"/>
    </row>
    <row r="2100" spans="8:21" x14ac:dyDescent="0.3">
      <c r="H2100" s="40"/>
      <c r="J2100" s="36"/>
      <c r="K2100" s="36"/>
      <c r="L2100" s="36"/>
      <c r="M2100" s="36"/>
      <c r="Q2100" s="36"/>
      <c r="S2100" s="36"/>
      <c r="U2100" s="36"/>
    </row>
    <row r="2101" spans="8:21" x14ac:dyDescent="0.3">
      <c r="H2101" s="40"/>
      <c r="J2101" s="36"/>
      <c r="K2101" s="36"/>
      <c r="L2101" s="36"/>
      <c r="M2101" s="36"/>
      <c r="Q2101" s="36"/>
      <c r="S2101" s="36"/>
      <c r="U2101" s="36"/>
    </row>
    <row r="2102" spans="8:21" x14ac:dyDescent="0.3">
      <c r="H2102" s="40"/>
      <c r="J2102" s="36"/>
      <c r="K2102" s="36"/>
      <c r="L2102" s="36"/>
      <c r="M2102" s="36"/>
      <c r="Q2102" s="36"/>
      <c r="S2102" s="36"/>
      <c r="U2102" s="36"/>
    </row>
    <row r="2103" spans="8:21" x14ac:dyDescent="0.3">
      <c r="H2103" s="40"/>
      <c r="J2103" s="36"/>
      <c r="K2103" s="36"/>
      <c r="L2103" s="36"/>
      <c r="M2103" s="36"/>
      <c r="Q2103" s="36"/>
      <c r="S2103" s="36"/>
      <c r="U2103" s="36"/>
    </row>
    <row r="2104" spans="8:21" x14ac:dyDescent="0.3">
      <c r="H2104" s="40"/>
      <c r="J2104" s="36"/>
      <c r="K2104" s="36"/>
      <c r="L2104" s="36"/>
      <c r="M2104" s="36"/>
      <c r="Q2104" s="36"/>
      <c r="S2104" s="36"/>
      <c r="U2104" s="36"/>
    </row>
    <row r="2105" spans="8:21" x14ac:dyDescent="0.3">
      <c r="H2105" s="40"/>
      <c r="J2105" s="36"/>
      <c r="K2105" s="36"/>
      <c r="L2105" s="36"/>
      <c r="M2105" s="36"/>
      <c r="Q2105" s="36"/>
      <c r="S2105" s="36"/>
      <c r="U2105" s="36"/>
    </row>
    <row r="2106" spans="8:21" x14ac:dyDescent="0.3">
      <c r="H2106" s="40"/>
      <c r="J2106" s="36"/>
      <c r="K2106" s="36"/>
      <c r="L2106" s="36"/>
      <c r="M2106" s="36"/>
      <c r="Q2106" s="36"/>
      <c r="S2106" s="36"/>
      <c r="U2106" s="36"/>
    </row>
    <row r="2107" spans="8:21" x14ac:dyDescent="0.3">
      <c r="H2107" s="40"/>
      <c r="J2107" s="36"/>
      <c r="K2107" s="36"/>
      <c r="L2107" s="36"/>
      <c r="M2107" s="36"/>
      <c r="Q2107" s="36"/>
      <c r="S2107" s="36"/>
    </row>
    <row r="2108" spans="8:21" x14ac:dyDescent="0.3">
      <c r="H2108" s="40"/>
      <c r="J2108" s="36"/>
      <c r="K2108" s="36"/>
      <c r="L2108" s="36"/>
      <c r="M2108" s="36"/>
      <c r="Q2108" s="36"/>
      <c r="S2108" s="36"/>
    </row>
    <row r="2109" spans="8:21" x14ac:dyDescent="0.3">
      <c r="H2109" s="40"/>
      <c r="J2109" s="36"/>
      <c r="K2109" s="36"/>
      <c r="L2109" s="36"/>
      <c r="M2109" s="36"/>
      <c r="Q2109" s="36"/>
      <c r="S2109" s="36"/>
    </row>
    <row r="2110" spans="8:21" x14ac:dyDescent="0.3">
      <c r="H2110" s="40"/>
      <c r="J2110" s="36"/>
      <c r="K2110" s="36"/>
      <c r="L2110" s="36"/>
      <c r="M2110" s="36"/>
      <c r="Q2110" s="36"/>
      <c r="S2110" s="36"/>
    </row>
    <row r="2111" spans="8:21" x14ac:dyDescent="0.3">
      <c r="H2111" s="40"/>
      <c r="J2111" s="36"/>
      <c r="K2111" s="36"/>
      <c r="L2111" s="36"/>
      <c r="M2111" s="36"/>
      <c r="Q2111" s="36"/>
      <c r="S2111" s="36"/>
    </row>
    <row r="2112" spans="8:21" x14ac:dyDescent="0.3">
      <c r="H2112" s="40"/>
      <c r="J2112" s="36"/>
      <c r="K2112" s="36"/>
      <c r="L2112" s="36"/>
      <c r="M2112" s="36"/>
      <c r="Q2112" s="36"/>
      <c r="S2112" s="36"/>
    </row>
    <row r="2113" spans="8:19" x14ac:dyDescent="0.3">
      <c r="H2113" s="40"/>
      <c r="J2113" s="36"/>
      <c r="K2113" s="36"/>
      <c r="L2113" s="36"/>
      <c r="M2113" s="36"/>
      <c r="Q2113" s="36"/>
      <c r="S2113" s="36"/>
    </row>
    <row r="2114" spans="8:19" x14ac:dyDescent="0.3">
      <c r="H2114" s="40"/>
      <c r="J2114" s="36"/>
      <c r="K2114" s="36"/>
      <c r="L2114" s="36"/>
      <c r="M2114" s="36"/>
      <c r="Q2114" s="36"/>
      <c r="S2114" s="36"/>
    </row>
    <row r="2115" spans="8:19" x14ac:dyDescent="0.3">
      <c r="H2115" s="40"/>
      <c r="J2115" s="36"/>
      <c r="K2115" s="36"/>
      <c r="L2115" s="36"/>
      <c r="M2115" s="36"/>
      <c r="Q2115" s="36"/>
      <c r="S2115" s="36"/>
    </row>
    <row r="2116" spans="8:19" x14ac:dyDescent="0.3">
      <c r="H2116" s="40"/>
      <c r="J2116" s="36"/>
      <c r="K2116" s="36"/>
      <c r="L2116" s="36"/>
      <c r="M2116" s="36"/>
      <c r="Q2116" s="36"/>
      <c r="S2116" s="36"/>
    </row>
    <row r="2117" spans="8:19" x14ac:dyDescent="0.3">
      <c r="H2117" s="40"/>
      <c r="J2117" s="36"/>
      <c r="K2117" s="36"/>
      <c r="L2117" s="36"/>
      <c r="M2117" s="36"/>
      <c r="Q2117" s="36"/>
      <c r="S2117" s="36"/>
    </row>
    <row r="2118" spans="8:19" x14ac:dyDescent="0.3">
      <c r="H2118" s="40"/>
      <c r="J2118" s="36"/>
      <c r="K2118" s="36"/>
      <c r="L2118" s="36"/>
      <c r="M2118" s="36"/>
      <c r="Q2118" s="36"/>
      <c r="S2118" s="36"/>
    </row>
    <row r="2119" spans="8:19" x14ac:dyDescent="0.3">
      <c r="H2119" s="40"/>
      <c r="J2119" s="36"/>
      <c r="K2119" s="36"/>
      <c r="L2119" s="36"/>
      <c r="M2119" s="36"/>
      <c r="Q2119" s="36"/>
      <c r="S2119" s="36"/>
    </row>
    <row r="2120" spans="8:19" x14ac:dyDescent="0.3">
      <c r="H2120" s="40"/>
      <c r="J2120" s="36"/>
      <c r="K2120" s="36"/>
      <c r="L2120" s="36"/>
      <c r="M2120" s="36"/>
      <c r="Q2120" s="36"/>
      <c r="S2120" s="36"/>
    </row>
    <row r="2121" spans="8:19" x14ac:dyDescent="0.3">
      <c r="H2121" s="40"/>
      <c r="J2121" s="36"/>
      <c r="K2121" s="36"/>
      <c r="L2121" s="36"/>
      <c r="M2121" s="36"/>
      <c r="Q2121" s="36"/>
      <c r="S2121" s="36"/>
    </row>
    <row r="2122" spans="8:19" x14ac:dyDescent="0.3">
      <c r="H2122" s="40"/>
      <c r="J2122" s="36"/>
      <c r="K2122" s="36"/>
      <c r="L2122" s="36"/>
      <c r="M2122" s="36"/>
      <c r="Q2122" s="36"/>
      <c r="S2122" s="36"/>
    </row>
    <row r="2123" spans="8:19" x14ac:dyDescent="0.3">
      <c r="H2123" s="40"/>
      <c r="J2123" s="36"/>
      <c r="K2123" s="36"/>
      <c r="L2123" s="36"/>
      <c r="M2123" s="36"/>
      <c r="Q2123" s="36"/>
      <c r="S2123" s="36"/>
    </row>
    <row r="2124" spans="8:19" x14ac:dyDescent="0.3">
      <c r="H2124" s="40"/>
      <c r="J2124" s="36"/>
      <c r="K2124" s="36"/>
      <c r="L2124" s="36"/>
      <c r="M2124" s="36"/>
      <c r="Q2124" s="36"/>
      <c r="S2124" s="36"/>
    </row>
    <row r="2125" spans="8:19" x14ac:dyDescent="0.3">
      <c r="H2125" s="40"/>
      <c r="J2125" s="36"/>
      <c r="K2125" s="36"/>
      <c r="L2125" s="36"/>
      <c r="M2125" s="36"/>
      <c r="Q2125" s="36"/>
      <c r="S2125" s="36"/>
    </row>
    <row r="2126" spans="8:19" x14ac:dyDescent="0.3">
      <c r="H2126" s="40"/>
      <c r="J2126" s="36"/>
      <c r="K2126" s="36"/>
      <c r="L2126" s="36"/>
      <c r="M2126" s="36"/>
      <c r="Q2126" s="36"/>
      <c r="S2126" s="36"/>
    </row>
    <row r="2127" spans="8:19" x14ac:dyDescent="0.3">
      <c r="H2127" s="40"/>
      <c r="J2127" s="36"/>
      <c r="K2127" s="36"/>
      <c r="L2127" s="36"/>
      <c r="M2127" s="36"/>
      <c r="Q2127" s="36"/>
      <c r="S2127" s="36"/>
    </row>
    <row r="2128" spans="8:19" x14ac:dyDescent="0.3">
      <c r="H2128" s="40"/>
      <c r="J2128" s="36"/>
      <c r="K2128" s="36"/>
      <c r="L2128" s="36"/>
      <c r="M2128" s="36"/>
      <c r="Q2128" s="36"/>
      <c r="S2128" s="36"/>
    </row>
    <row r="2129" spans="8:19" x14ac:dyDescent="0.3">
      <c r="H2129" s="40"/>
      <c r="J2129" s="36"/>
      <c r="K2129" s="36"/>
      <c r="L2129" s="36"/>
      <c r="M2129" s="36"/>
      <c r="Q2129" s="36"/>
      <c r="S2129" s="36"/>
    </row>
    <row r="2130" spans="8:19" x14ac:dyDescent="0.3">
      <c r="H2130" s="40"/>
      <c r="J2130" s="36"/>
      <c r="K2130" s="36"/>
      <c r="L2130" s="36"/>
      <c r="M2130" s="36"/>
      <c r="Q2130" s="36"/>
      <c r="S2130" s="36"/>
    </row>
    <row r="2131" spans="8:19" x14ac:dyDescent="0.3">
      <c r="H2131" s="40"/>
      <c r="J2131" s="36"/>
      <c r="K2131" s="36"/>
      <c r="L2131" s="36"/>
      <c r="M2131" s="36"/>
      <c r="Q2131" s="36"/>
      <c r="S2131" s="36"/>
    </row>
    <row r="2132" spans="8:19" x14ac:dyDescent="0.3">
      <c r="H2132" s="40"/>
      <c r="J2132" s="36"/>
      <c r="K2132" s="36"/>
      <c r="L2132" s="36"/>
      <c r="M2132" s="36"/>
      <c r="Q2132" s="36"/>
      <c r="S2132" s="36"/>
    </row>
    <row r="2133" spans="8:19" x14ac:dyDescent="0.3">
      <c r="H2133" s="40"/>
      <c r="J2133" s="36"/>
      <c r="K2133" s="36"/>
      <c r="L2133" s="36"/>
      <c r="M2133" s="36"/>
      <c r="Q2133" s="36"/>
      <c r="S2133" s="36"/>
    </row>
    <row r="2134" spans="8:19" x14ac:dyDescent="0.3">
      <c r="H2134" s="40"/>
      <c r="J2134" s="36"/>
      <c r="K2134" s="36"/>
      <c r="L2134" s="36"/>
      <c r="M2134" s="36"/>
      <c r="Q2134" s="36"/>
      <c r="S2134" s="36"/>
    </row>
    <row r="2135" spans="8:19" x14ac:dyDescent="0.3">
      <c r="H2135" s="40"/>
      <c r="J2135" s="36"/>
      <c r="K2135" s="36"/>
      <c r="L2135" s="36"/>
      <c r="M2135" s="36"/>
      <c r="Q2135" s="36"/>
      <c r="S2135" s="36"/>
    </row>
    <row r="2136" spans="8:19" x14ac:dyDescent="0.3">
      <c r="H2136" s="40"/>
      <c r="J2136" s="36"/>
      <c r="K2136" s="36"/>
      <c r="L2136" s="36"/>
      <c r="M2136" s="36"/>
      <c r="Q2136" s="36"/>
      <c r="S2136" s="36"/>
    </row>
    <row r="2137" spans="8:19" x14ac:dyDescent="0.3">
      <c r="H2137" s="40"/>
      <c r="J2137" s="36"/>
      <c r="K2137" s="36"/>
      <c r="L2137" s="36"/>
      <c r="M2137" s="36"/>
      <c r="Q2137" s="36"/>
      <c r="S2137" s="36"/>
    </row>
    <row r="2138" spans="8:19" x14ac:dyDescent="0.3">
      <c r="H2138" s="40"/>
      <c r="J2138" s="36"/>
      <c r="K2138" s="36"/>
      <c r="L2138" s="36"/>
      <c r="M2138" s="36"/>
      <c r="Q2138" s="36"/>
      <c r="S2138" s="36"/>
    </row>
    <row r="2139" spans="8:19" x14ac:dyDescent="0.3">
      <c r="H2139" s="40"/>
      <c r="J2139" s="36"/>
      <c r="K2139" s="36"/>
      <c r="L2139" s="36"/>
      <c r="M2139" s="36"/>
      <c r="Q2139" s="36"/>
      <c r="S2139" s="36"/>
    </row>
    <row r="2140" spans="8:19" x14ac:dyDescent="0.3">
      <c r="H2140" s="40"/>
      <c r="J2140" s="36"/>
      <c r="K2140" s="36"/>
      <c r="L2140" s="36"/>
      <c r="M2140" s="36"/>
      <c r="Q2140" s="36"/>
      <c r="S2140" s="36"/>
    </row>
    <row r="2141" spans="8:19" x14ac:dyDescent="0.3">
      <c r="H2141" s="40"/>
      <c r="J2141" s="36"/>
      <c r="K2141" s="36"/>
      <c r="L2141" s="36"/>
      <c r="M2141" s="36"/>
      <c r="Q2141" s="36"/>
      <c r="S2141" s="36"/>
    </row>
    <row r="2142" spans="8:19" x14ac:dyDescent="0.3">
      <c r="H2142" s="40"/>
      <c r="J2142" s="36"/>
      <c r="K2142" s="36"/>
      <c r="L2142" s="36"/>
      <c r="M2142" s="36"/>
      <c r="Q2142" s="36"/>
      <c r="S2142" s="36"/>
    </row>
    <row r="2143" spans="8:19" x14ac:dyDescent="0.3">
      <c r="H2143" s="40"/>
      <c r="J2143" s="36"/>
      <c r="K2143" s="36"/>
      <c r="L2143" s="36"/>
      <c r="M2143" s="36"/>
      <c r="Q2143" s="36"/>
      <c r="S2143" s="36"/>
    </row>
    <row r="2144" spans="8:19" x14ac:dyDescent="0.3">
      <c r="H2144" s="40"/>
      <c r="J2144" s="36"/>
      <c r="K2144" s="36"/>
      <c r="L2144" s="36"/>
      <c r="M2144" s="36"/>
      <c r="Q2144" s="36"/>
      <c r="S2144" s="36"/>
    </row>
    <row r="2145" spans="8:19" x14ac:dyDescent="0.3">
      <c r="H2145" s="40"/>
      <c r="J2145" s="36"/>
      <c r="K2145" s="36"/>
      <c r="L2145" s="36"/>
      <c r="M2145" s="36"/>
      <c r="Q2145" s="36"/>
      <c r="S2145" s="36"/>
    </row>
    <row r="2146" spans="8:19" x14ac:dyDescent="0.3">
      <c r="H2146" s="40"/>
      <c r="J2146" s="36"/>
      <c r="K2146" s="36"/>
      <c r="L2146" s="36"/>
      <c r="M2146" s="36"/>
      <c r="Q2146" s="36"/>
      <c r="S2146" s="36"/>
    </row>
    <row r="2147" spans="8:19" x14ac:dyDescent="0.3">
      <c r="H2147" s="40"/>
      <c r="J2147" s="36"/>
      <c r="K2147" s="36"/>
      <c r="L2147" s="36"/>
      <c r="M2147" s="36"/>
      <c r="Q2147" s="36"/>
      <c r="S2147" s="36"/>
    </row>
    <row r="2148" spans="8:19" x14ac:dyDescent="0.3">
      <c r="H2148" s="40"/>
      <c r="J2148" s="36"/>
      <c r="K2148" s="36"/>
      <c r="L2148" s="36"/>
      <c r="M2148" s="36"/>
      <c r="Q2148" s="36"/>
      <c r="S2148" s="36"/>
    </row>
    <row r="2149" spans="8:19" x14ac:dyDescent="0.3">
      <c r="H2149" s="40"/>
      <c r="J2149" s="36"/>
      <c r="K2149" s="36"/>
      <c r="L2149" s="36"/>
      <c r="M2149" s="36"/>
      <c r="Q2149" s="36"/>
      <c r="S2149" s="36"/>
    </row>
    <row r="2150" spans="8:19" x14ac:dyDescent="0.3">
      <c r="H2150" s="40"/>
      <c r="J2150" s="36"/>
      <c r="K2150" s="36"/>
      <c r="L2150" s="36"/>
      <c r="M2150" s="36"/>
      <c r="Q2150" s="36"/>
      <c r="S2150" s="36"/>
    </row>
    <row r="2151" spans="8:19" x14ac:dyDescent="0.3">
      <c r="H2151" s="40"/>
      <c r="J2151" s="36"/>
      <c r="K2151" s="36"/>
      <c r="L2151" s="36"/>
      <c r="M2151" s="36"/>
      <c r="Q2151" s="36"/>
      <c r="S2151" s="36"/>
    </row>
    <row r="2152" spans="8:19" x14ac:dyDescent="0.3">
      <c r="H2152" s="40"/>
      <c r="J2152" s="36"/>
      <c r="K2152" s="36"/>
      <c r="L2152" s="36"/>
      <c r="M2152" s="36"/>
      <c r="Q2152" s="36"/>
      <c r="S2152" s="36"/>
    </row>
    <row r="2153" spans="8:19" x14ac:dyDescent="0.3">
      <c r="H2153" s="40"/>
      <c r="J2153" s="36"/>
      <c r="K2153" s="36"/>
      <c r="L2153" s="36"/>
      <c r="M2153" s="36"/>
      <c r="Q2153" s="36"/>
      <c r="S2153" s="36"/>
    </row>
    <row r="2154" spans="8:19" x14ac:dyDescent="0.3">
      <c r="H2154" s="40"/>
      <c r="J2154" s="36"/>
      <c r="K2154" s="36"/>
      <c r="L2154" s="36"/>
      <c r="M2154" s="36"/>
      <c r="Q2154" s="36"/>
      <c r="S2154" s="36"/>
    </row>
    <row r="2155" spans="8:19" x14ac:dyDescent="0.3">
      <c r="H2155" s="40"/>
      <c r="J2155" s="36"/>
      <c r="K2155" s="36"/>
      <c r="L2155" s="36"/>
      <c r="M2155" s="36"/>
      <c r="Q2155" s="36"/>
      <c r="S2155" s="36"/>
    </row>
    <row r="2156" spans="8:19" x14ac:dyDescent="0.3">
      <c r="H2156" s="40"/>
      <c r="J2156" s="36"/>
      <c r="K2156" s="36"/>
      <c r="L2156" s="36"/>
      <c r="M2156" s="36"/>
      <c r="Q2156" s="36"/>
      <c r="S2156" s="36"/>
    </row>
    <row r="2157" spans="8:19" x14ac:dyDescent="0.3">
      <c r="H2157" s="40"/>
      <c r="J2157" s="36"/>
      <c r="K2157" s="36"/>
      <c r="L2157" s="36"/>
      <c r="M2157" s="36"/>
      <c r="Q2157" s="36"/>
      <c r="S2157" s="36"/>
    </row>
    <row r="2158" spans="8:19" x14ac:dyDescent="0.3">
      <c r="H2158" s="40"/>
      <c r="J2158" s="36"/>
      <c r="K2158" s="36"/>
      <c r="L2158" s="36"/>
      <c r="M2158" s="36"/>
      <c r="Q2158" s="36"/>
      <c r="S2158" s="36"/>
    </row>
    <row r="2159" spans="8:19" x14ac:dyDescent="0.3">
      <c r="H2159" s="40"/>
      <c r="J2159" s="36"/>
      <c r="K2159" s="36"/>
      <c r="L2159" s="36"/>
      <c r="M2159" s="36"/>
      <c r="Q2159" s="36"/>
      <c r="S2159" s="36"/>
    </row>
    <row r="2160" spans="8:19" x14ac:dyDescent="0.3">
      <c r="H2160" s="40"/>
      <c r="J2160" s="36"/>
      <c r="K2160" s="36"/>
      <c r="L2160" s="36"/>
      <c r="M2160" s="36"/>
      <c r="Q2160" s="36"/>
      <c r="S2160" s="36"/>
    </row>
    <row r="2161" spans="8:19" x14ac:dyDescent="0.3">
      <c r="H2161" s="40"/>
      <c r="J2161" s="36"/>
      <c r="K2161" s="36"/>
      <c r="L2161" s="36"/>
      <c r="M2161" s="36"/>
      <c r="Q2161" s="36"/>
      <c r="S2161" s="36"/>
    </row>
    <row r="2162" spans="8:19" x14ac:dyDescent="0.3">
      <c r="H2162" s="40"/>
      <c r="J2162" s="36"/>
      <c r="K2162" s="36"/>
      <c r="L2162" s="36"/>
      <c r="M2162" s="36"/>
      <c r="Q2162" s="36"/>
      <c r="S2162" s="36"/>
    </row>
    <row r="2163" spans="8:19" x14ac:dyDescent="0.3">
      <c r="H2163" s="40"/>
      <c r="J2163" s="36"/>
      <c r="K2163" s="36"/>
      <c r="L2163" s="36"/>
      <c r="M2163" s="36"/>
      <c r="Q2163" s="36"/>
      <c r="S2163" s="36"/>
    </row>
    <row r="2164" spans="8:19" x14ac:dyDescent="0.3">
      <c r="H2164" s="40"/>
      <c r="J2164" s="36"/>
      <c r="K2164" s="36"/>
      <c r="L2164" s="36"/>
      <c r="M2164" s="36"/>
      <c r="Q2164" s="36"/>
      <c r="S2164" s="36"/>
    </row>
    <row r="2165" spans="8:19" x14ac:dyDescent="0.3">
      <c r="H2165" s="40"/>
      <c r="J2165" s="36"/>
      <c r="K2165" s="36"/>
      <c r="L2165" s="36"/>
      <c r="M2165" s="36"/>
      <c r="Q2165" s="36"/>
      <c r="S2165" s="36"/>
    </row>
    <row r="2166" spans="8:19" x14ac:dyDescent="0.3">
      <c r="H2166" s="40"/>
      <c r="J2166" s="36"/>
      <c r="K2166" s="36"/>
      <c r="L2166" s="36"/>
      <c r="M2166" s="36"/>
      <c r="Q2166" s="36"/>
      <c r="S2166" s="36"/>
    </row>
    <row r="2167" spans="8:19" x14ac:dyDescent="0.3">
      <c r="H2167" s="40"/>
      <c r="J2167" s="36"/>
      <c r="K2167" s="36"/>
      <c r="L2167" s="36"/>
      <c r="M2167" s="36"/>
      <c r="Q2167" s="36"/>
      <c r="S2167" s="36"/>
    </row>
    <row r="2168" spans="8:19" x14ac:dyDescent="0.3">
      <c r="H2168" s="40"/>
      <c r="J2168" s="36"/>
      <c r="K2168" s="36"/>
      <c r="L2168" s="36"/>
      <c r="M2168" s="36"/>
      <c r="Q2168" s="36"/>
      <c r="S2168" s="36"/>
    </row>
    <row r="2169" spans="8:19" x14ac:dyDescent="0.3">
      <c r="H2169" s="40"/>
      <c r="J2169" s="36"/>
      <c r="K2169" s="36"/>
      <c r="L2169" s="36"/>
      <c r="M2169" s="36"/>
      <c r="Q2169" s="36"/>
      <c r="S2169" s="36"/>
    </row>
    <row r="2170" spans="8:19" x14ac:dyDescent="0.3">
      <c r="H2170" s="40"/>
      <c r="J2170" s="36"/>
      <c r="K2170" s="36"/>
      <c r="L2170" s="36"/>
      <c r="M2170" s="36"/>
      <c r="Q2170" s="36"/>
      <c r="S2170" s="36"/>
    </row>
    <row r="2171" spans="8:19" x14ac:dyDescent="0.3">
      <c r="H2171" s="40"/>
      <c r="J2171" s="36"/>
      <c r="K2171" s="36"/>
      <c r="L2171" s="36"/>
      <c r="M2171" s="36"/>
      <c r="Q2171" s="36"/>
      <c r="S2171" s="36"/>
    </row>
    <row r="2172" spans="8:19" x14ac:dyDescent="0.3">
      <c r="H2172" s="40"/>
      <c r="J2172" s="36"/>
      <c r="K2172" s="36"/>
      <c r="L2172" s="36"/>
      <c r="M2172" s="36"/>
      <c r="Q2172" s="36"/>
      <c r="S2172" s="36"/>
    </row>
    <row r="2173" spans="8:19" x14ac:dyDescent="0.3">
      <c r="H2173" s="40"/>
      <c r="J2173" s="36"/>
      <c r="K2173" s="36"/>
      <c r="L2173" s="36"/>
      <c r="M2173" s="36"/>
      <c r="Q2173" s="36"/>
      <c r="S2173" s="36"/>
    </row>
    <row r="2174" spans="8:19" x14ac:dyDescent="0.3">
      <c r="H2174" s="40"/>
      <c r="J2174" s="36"/>
      <c r="K2174" s="36"/>
      <c r="L2174" s="36"/>
      <c r="M2174" s="36"/>
      <c r="Q2174" s="36"/>
      <c r="S2174" s="36"/>
    </row>
    <row r="2175" spans="8:19" x14ac:dyDescent="0.3">
      <c r="H2175" s="40"/>
      <c r="J2175" s="36"/>
      <c r="K2175" s="36"/>
      <c r="L2175" s="36"/>
      <c r="M2175" s="36"/>
      <c r="Q2175" s="36"/>
      <c r="S2175" s="36"/>
    </row>
    <row r="2176" spans="8:19" x14ac:dyDescent="0.3">
      <c r="H2176" s="40"/>
      <c r="J2176" s="36"/>
      <c r="K2176" s="36"/>
      <c r="L2176" s="36"/>
      <c r="M2176" s="36"/>
      <c r="Q2176" s="36"/>
      <c r="S2176" s="36"/>
    </row>
    <row r="2177" spans="8:19" x14ac:dyDescent="0.3">
      <c r="H2177" s="40"/>
      <c r="J2177" s="36"/>
      <c r="K2177" s="36"/>
      <c r="L2177" s="36"/>
      <c r="M2177" s="36"/>
      <c r="Q2177" s="36"/>
      <c r="S2177" s="36"/>
    </row>
    <row r="2178" spans="8:19" x14ac:dyDescent="0.3">
      <c r="H2178" s="40"/>
      <c r="J2178" s="36"/>
      <c r="K2178" s="36"/>
      <c r="L2178" s="36"/>
      <c r="M2178" s="36"/>
      <c r="Q2178" s="36"/>
      <c r="S2178" s="36"/>
    </row>
    <row r="2179" spans="8:19" x14ac:dyDescent="0.3">
      <c r="H2179" s="40"/>
      <c r="J2179" s="36"/>
      <c r="K2179" s="36"/>
      <c r="L2179" s="36"/>
      <c r="M2179" s="36"/>
      <c r="Q2179" s="36"/>
      <c r="S2179" s="36"/>
    </row>
    <row r="2180" spans="8:19" x14ac:dyDescent="0.3">
      <c r="H2180" s="40"/>
      <c r="J2180" s="36"/>
      <c r="K2180" s="36"/>
      <c r="L2180" s="36"/>
      <c r="M2180" s="36"/>
      <c r="Q2180" s="36"/>
      <c r="S2180" s="36"/>
    </row>
    <row r="2181" spans="8:19" x14ac:dyDescent="0.3">
      <c r="H2181" s="40"/>
      <c r="J2181" s="36"/>
      <c r="K2181" s="36"/>
      <c r="L2181" s="36"/>
      <c r="M2181" s="36"/>
      <c r="Q2181" s="36"/>
      <c r="S2181" s="36"/>
    </row>
    <row r="2182" spans="8:19" x14ac:dyDescent="0.3">
      <c r="H2182" s="40"/>
      <c r="J2182" s="36"/>
      <c r="K2182" s="36"/>
      <c r="L2182" s="36"/>
      <c r="M2182" s="36"/>
      <c r="Q2182" s="36"/>
      <c r="S2182" s="36"/>
    </row>
    <row r="2183" spans="8:19" x14ac:dyDescent="0.3">
      <c r="H2183" s="40"/>
      <c r="J2183" s="36"/>
      <c r="K2183" s="36"/>
      <c r="L2183" s="36"/>
      <c r="M2183" s="36"/>
      <c r="Q2183" s="36"/>
      <c r="S2183" s="36"/>
    </row>
    <row r="2184" spans="8:19" x14ac:dyDescent="0.3">
      <c r="H2184" s="40"/>
      <c r="J2184" s="36"/>
      <c r="K2184" s="36"/>
      <c r="L2184" s="36"/>
      <c r="M2184" s="36"/>
      <c r="Q2184" s="36"/>
      <c r="S2184" s="36"/>
    </row>
    <row r="2185" spans="8:19" x14ac:dyDescent="0.3">
      <c r="H2185" s="40"/>
      <c r="J2185" s="36"/>
      <c r="K2185" s="36"/>
      <c r="L2185" s="36"/>
      <c r="M2185" s="36"/>
      <c r="Q2185" s="36"/>
      <c r="S2185" s="36"/>
    </row>
    <row r="2186" spans="8:19" x14ac:dyDescent="0.3">
      <c r="H2186" s="40"/>
      <c r="J2186" s="36"/>
      <c r="K2186" s="36"/>
      <c r="L2186" s="36"/>
      <c r="M2186" s="36"/>
      <c r="Q2186" s="36"/>
      <c r="S2186" s="36"/>
    </row>
    <row r="2187" spans="8:19" x14ac:dyDescent="0.3">
      <c r="H2187" s="40"/>
      <c r="J2187" s="36"/>
      <c r="K2187" s="36"/>
      <c r="L2187" s="36"/>
      <c r="M2187" s="36"/>
      <c r="Q2187" s="36"/>
      <c r="S2187" s="36"/>
    </row>
    <row r="2188" spans="8:19" x14ac:dyDescent="0.3">
      <c r="H2188" s="40"/>
      <c r="Q2188" s="36"/>
      <c r="S2188" s="36"/>
    </row>
    <row r="2189" spans="8:19" x14ac:dyDescent="0.3">
      <c r="H2189" s="40"/>
      <c r="Q2189" s="36"/>
      <c r="S2189" s="36"/>
    </row>
    <row r="2190" spans="8:19" x14ac:dyDescent="0.3">
      <c r="Q2190" s="36"/>
      <c r="S2190" s="36"/>
    </row>
    <row r="2191" spans="8:19" x14ac:dyDescent="0.3">
      <c r="Q2191" s="36"/>
      <c r="S2191" s="36"/>
    </row>
    <row r="2192" spans="8:19" x14ac:dyDescent="0.3">
      <c r="Q2192" s="36"/>
      <c r="S2192" s="36"/>
    </row>
    <row r="2193" spans="17:19" x14ac:dyDescent="0.3">
      <c r="Q2193" s="36"/>
      <c r="S2193" s="36"/>
    </row>
    <row r="2194" spans="17:19" x14ac:dyDescent="0.3">
      <c r="Q2194" s="36"/>
      <c r="S2194" s="36"/>
    </row>
    <row r="2195" spans="17:19" x14ac:dyDescent="0.3">
      <c r="Q2195" s="36"/>
      <c r="S2195" s="36"/>
    </row>
    <row r="2196" spans="17:19" x14ac:dyDescent="0.3">
      <c r="Q2196" s="36"/>
      <c r="S2196" s="36"/>
    </row>
    <row r="2197" spans="17:19" x14ac:dyDescent="0.3">
      <c r="Q2197" s="36"/>
      <c r="S2197" s="36"/>
    </row>
    <row r="2198" spans="17:19" x14ac:dyDescent="0.3">
      <c r="Q2198" s="36"/>
      <c r="S2198" s="36"/>
    </row>
    <row r="2199" spans="17:19" x14ac:dyDescent="0.3">
      <c r="Q2199" s="36"/>
      <c r="S2199" s="36"/>
    </row>
    <row r="2200" spans="17:19" x14ac:dyDescent="0.3">
      <c r="Q2200" s="36"/>
      <c r="S2200" s="36"/>
    </row>
    <row r="2201" spans="17:19" x14ac:dyDescent="0.3">
      <c r="Q2201" s="36"/>
      <c r="S2201" s="36"/>
    </row>
    <row r="2202" spans="17:19" x14ac:dyDescent="0.3">
      <c r="Q2202" s="36"/>
      <c r="S2202" s="36"/>
    </row>
    <row r="2203" spans="17:19" x14ac:dyDescent="0.3">
      <c r="Q2203" s="36"/>
      <c r="S2203" s="36"/>
    </row>
    <row r="2204" spans="17:19" x14ac:dyDescent="0.3">
      <c r="Q2204" s="36"/>
      <c r="S2204" s="36"/>
    </row>
    <row r="2205" spans="17:19" x14ac:dyDescent="0.3">
      <c r="Q2205" s="36"/>
      <c r="S2205" s="36"/>
    </row>
    <row r="2206" spans="17:19" x14ac:dyDescent="0.3">
      <c r="Q2206" s="36"/>
      <c r="S2206" s="36"/>
    </row>
    <row r="2207" spans="17:19" x14ac:dyDescent="0.3">
      <c r="Q2207" s="36"/>
      <c r="S2207" s="36"/>
    </row>
    <row r="2208" spans="17:19" x14ac:dyDescent="0.3">
      <c r="Q2208" s="36"/>
      <c r="S2208" s="36"/>
    </row>
    <row r="2209" spans="17:19" x14ac:dyDescent="0.3">
      <c r="Q2209" s="36"/>
      <c r="S2209" s="36"/>
    </row>
    <row r="2210" spans="17:19" x14ac:dyDescent="0.3">
      <c r="Q2210" s="36"/>
      <c r="S2210" s="36"/>
    </row>
    <row r="2211" spans="17:19" x14ac:dyDescent="0.3">
      <c r="Q2211" s="36"/>
      <c r="S2211" s="36"/>
    </row>
    <row r="2212" spans="17:19" x14ac:dyDescent="0.3">
      <c r="Q2212" s="36"/>
      <c r="S2212" s="36"/>
    </row>
    <row r="2213" spans="17:19" x14ac:dyDescent="0.3">
      <c r="Q2213" s="36"/>
      <c r="S2213" s="36"/>
    </row>
    <row r="2214" spans="17:19" x14ac:dyDescent="0.3">
      <c r="Q2214" s="36"/>
      <c r="S2214" s="36"/>
    </row>
    <row r="2215" spans="17:19" x14ac:dyDescent="0.3">
      <c r="Q2215" s="36"/>
      <c r="S2215" s="36"/>
    </row>
    <row r="2216" spans="17:19" x14ac:dyDescent="0.3">
      <c r="Q2216" s="36"/>
      <c r="S2216" s="36"/>
    </row>
    <row r="2217" spans="17:19" x14ac:dyDescent="0.3">
      <c r="Q2217" s="36"/>
      <c r="S2217" s="36"/>
    </row>
    <row r="2218" spans="17:19" x14ac:dyDescent="0.3">
      <c r="Q2218" s="36"/>
      <c r="S2218" s="36"/>
    </row>
    <row r="2219" spans="17:19" x14ac:dyDescent="0.3">
      <c r="Q2219" s="36"/>
      <c r="S2219" s="36"/>
    </row>
    <row r="2220" spans="17:19" x14ac:dyDescent="0.3">
      <c r="Q2220" s="36"/>
      <c r="S2220" s="36"/>
    </row>
    <row r="2221" spans="17:19" x14ac:dyDescent="0.3">
      <c r="Q2221" s="36"/>
      <c r="S2221" s="36"/>
    </row>
    <row r="2222" spans="17:19" x14ac:dyDescent="0.3">
      <c r="Q2222" s="36"/>
      <c r="S2222" s="36"/>
    </row>
    <row r="2223" spans="17:19" x14ac:dyDescent="0.3">
      <c r="Q2223" s="36"/>
      <c r="S2223" s="36"/>
    </row>
    <row r="2224" spans="17:19" x14ac:dyDescent="0.3">
      <c r="Q2224" s="36"/>
      <c r="S2224" s="36"/>
    </row>
    <row r="2225" spans="17:19" x14ac:dyDescent="0.3">
      <c r="Q2225" s="36"/>
      <c r="S2225" s="36"/>
    </row>
    <row r="2226" spans="17:19" x14ac:dyDescent="0.3">
      <c r="Q2226" s="36"/>
      <c r="S2226" s="36"/>
    </row>
    <row r="2227" spans="17:19" x14ac:dyDescent="0.3">
      <c r="Q2227" s="36"/>
      <c r="S2227" s="36"/>
    </row>
    <row r="2228" spans="17:19" x14ac:dyDescent="0.3">
      <c r="Q2228" s="36"/>
      <c r="S2228" s="36"/>
    </row>
    <row r="2229" spans="17:19" x14ac:dyDescent="0.3">
      <c r="Q2229" s="36"/>
      <c r="S2229" s="36"/>
    </row>
    <row r="2230" spans="17:19" x14ac:dyDescent="0.3">
      <c r="Q2230" s="36"/>
      <c r="S2230" s="36"/>
    </row>
    <row r="2231" spans="17:19" x14ac:dyDescent="0.3">
      <c r="Q2231" s="36"/>
      <c r="S2231" s="36"/>
    </row>
    <row r="2232" spans="17:19" x14ac:dyDescent="0.3">
      <c r="Q2232" s="36"/>
      <c r="S2232" s="36"/>
    </row>
    <row r="2233" spans="17:19" x14ac:dyDescent="0.3">
      <c r="Q2233" s="36"/>
      <c r="S2233" s="36"/>
    </row>
    <row r="2234" spans="17:19" x14ac:dyDescent="0.3">
      <c r="Q2234" s="36"/>
      <c r="S2234" s="36"/>
    </row>
    <row r="2235" spans="17:19" x14ac:dyDescent="0.3">
      <c r="Q2235" s="36"/>
      <c r="S2235" s="36"/>
    </row>
    <row r="2236" spans="17:19" x14ac:dyDescent="0.3">
      <c r="Q2236" s="36"/>
      <c r="S2236" s="36"/>
    </row>
    <row r="2237" spans="17:19" x14ac:dyDescent="0.3">
      <c r="Q2237" s="36"/>
      <c r="S2237" s="36"/>
    </row>
    <row r="2238" spans="17:19" x14ac:dyDescent="0.3">
      <c r="Q2238" s="36"/>
      <c r="S2238" s="36"/>
    </row>
    <row r="2239" spans="17:19" x14ac:dyDescent="0.3">
      <c r="Q2239" s="36"/>
      <c r="S2239" s="36"/>
    </row>
    <row r="2240" spans="17:19" x14ac:dyDescent="0.3">
      <c r="Q2240" s="36"/>
      <c r="S2240" s="36"/>
    </row>
    <row r="2241" spans="17:19" x14ac:dyDescent="0.3">
      <c r="Q2241" s="36"/>
      <c r="S2241" s="36"/>
    </row>
    <row r="2242" spans="17:19" x14ac:dyDescent="0.3">
      <c r="Q2242" s="36"/>
      <c r="S2242" s="36"/>
    </row>
    <row r="2243" spans="17:19" x14ac:dyDescent="0.3">
      <c r="Q2243" s="36"/>
      <c r="S2243" s="36"/>
    </row>
    <row r="2244" spans="17:19" x14ac:dyDescent="0.3">
      <c r="Q2244" s="36"/>
      <c r="S2244" s="36"/>
    </row>
    <row r="2245" spans="17:19" x14ac:dyDescent="0.3">
      <c r="Q2245" s="36"/>
      <c r="S2245" s="36"/>
    </row>
    <row r="2246" spans="17:19" x14ac:dyDescent="0.3">
      <c r="Q2246" s="36"/>
      <c r="S2246" s="36"/>
    </row>
    <row r="2247" spans="17:19" x14ac:dyDescent="0.3">
      <c r="Q2247" s="36"/>
      <c r="S2247" s="36"/>
    </row>
    <row r="2248" spans="17:19" x14ac:dyDescent="0.3">
      <c r="Q2248" s="36"/>
      <c r="S2248" s="36"/>
    </row>
    <row r="2249" spans="17:19" x14ac:dyDescent="0.3">
      <c r="Q2249" s="36"/>
      <c r="S2249" s="36"/>
    </row>
    <row r="2250" spans="17:19" x14ac:dyDescent="0.3">
      <c r="Q2250" s="36"/>
      <c r="S2250" s="36"/>
    </row>
    <row r="2251" spans="17:19" x14ac:dyDescent="0.3">
      <c r="Q2251" s="36"/>
      <c r="S2251" s="36"/>
    </row>
    <row r="2252" spans="17:19" x14ac:dyDescent="0.3">
      <c r="Q2252" s="36"/>
      <c r="S2252" s="36"/>
    </row>
    <row r="2253" spans="17:19" x14ac:dyDescent="0.3">
      <c r="Q2253" s="36"/>
      <c r="S2253" s="36"/>
    </row>
    <row r="2254" spans="17:19" x14ac:dyDescent="0.3">
      <c r="Q2254" s="36"/>
      <c r="S2254" s="36"/>
    </row>
    <row r="2255" spans="17:19" x14ac:dyDescent="0.3">
      <c r="Q2255" s="36"/>
      <c r="S2255" s="36"/>
    </row>
    <row r="2256" spans="17:19" x14ac:dyDescent="0.3">
      <c r="Q2256" s="36"/>
      <c r="S2256" s="36"/>
    </row>
    <row r="2257" spans="17:19" x14ac:dyDescent="0.3">
      <c r="Q2257" s="36"/>
      <c r="S2257" s="36"/>
    </row>
    <row r="2258" spans="17:19" x14ac:dyDescent="0.3">
      <c r="Q2258" s="36"/>
      <c r="S2258" s="36"/>
    </row>
    <row r="2259" spans="17:19" x14ac:dyDescent="0.3">
      <c r="Q2259" s="36"/>
      <c r="S2259" s="36"/>
    </row>
    <row r="2260" spans="17:19" x14ac:dyDescent="0.3">
      <c r="Q2260" s="36"/>
      <c r="S2260" s="36"/>
    </row>
    <row r="2261" spans="17:19" x14ac:dyDescent="0.3">
      <c r="Q2261" s="36"/>
      <c r="S2261" s="36"/>
    </row>
    <row r="2262" spans="17:19" x14ac:dyDescent="0.3">
      <c r="Q2262" s="36"/>
      <c r="S2262" s="36"/>
    </row>
    <row r="2263" spans="17:19" x14ac:dyDescent="0.3">
      <c r="Q2263" s="36"/>
      <c r="S2263" s="36"/>
    </row>
    <row r="2264" spans="17:19" x14ac:dyDescent="0.3">
      <c r="Q2264" s="36"/>
      <c r="S2264" s="36"/>
    </row>
    <row r="2265" spans="17:19" x14ac:dyDescent="0.3">
      <c r="Q2265" s="36"/>
      <c r="S2265" s="36"/>
    </row>
    <row r="2266" spans="17:19" x14ac:dyDescent="0.3">
      <c r="Q2266" s="36"/>
      <c r="S2266" s="36"/>
    </row>
    <row r="2267" spans="17:19" x14ac:dyDescent="0.3">
      <c r="Q2267" s="36"/>
      <c r="S2267" s="36"/>
    </row>
    <row r="2268" spans="17:19" x14ac:dyDescent="0.3">
      <c r="Q2268" s="36"/>
      <c r="S2268" s="36"/>
    </row>
    <row r="2269" spans="17:19" x14ac:dyDescent="0.3">
      <c r="Q2269" s="36"/>
      <c r="S2269" s="36"/>
    </row>
    <row r="2270" spans="17:19" x14ac:dyDescent="0.3">
      <c r="Q2270" s="36"/>
      <c r="S2270" s="36"/>
    </row>
    <row r="2271" spans="17:19" x14ac:dyDescent="0.3">
      <c r="Q2271" s="36"/>
      <c r="S2271" s="36"/>
    </row>
    <row r="2272" spans="17:19" x14ac:dyDescent="0.3">
      <c r="Q2272" s="36"/>
      <c r="S2272" s="36"/>
    </row>
    <row r="2273" spans="17:19" x14ac:dyDescent="0.3">
      <c r="Q2273" s="36"/>
      <c r="S2273" s="36"/>
    </row>
    <row r="2274" spans="17:19" x14ac:dyDescent="0.3">
      <c r="Q2274" s="36"/>
      <c r="S2274" s="36"/>
    </row>
    <row r="2275" spans="17:19" x14ac:dyDescent="0.3">
      <c r="Q2275" s="36"/>
      <c r="S2275" s="36"/>
    </row>
    <row r="2276" spans="17:19" x14ac:dyDescent="0.3">
      <c r="Q2276" s="36"/>
      <c r="S2276" s="36"/>
    </row>
    <row r="2277" spans="17:19" x14ac:dyDescent="0.3">
      <c r="Q2277" s="36"/>
      <c r="S2277" s="36"/>
    </row>
    <row r="2278" spans="17:19" x14ac:dyDescent="0.3">
      <c r="Q2278" s="36"/>
      <c r="S2278" s="36"/>
    </row>
    <row r="2279" spans="17:19" x14ac:dyDescent="0.3">
      <c r="Q2279" s="36"/>
      <c r="S2279" s="36"/>
    </row>
    <row r="2280" spans="17:19" x14ac:dyDescent="0.3">
      <c r="Q2280" s="36"/>
      <c r="S2280" s="36"/>
    </row>
    <row r="2281" spans="17:19" x14ac:dyDescent="0.3">
      <c r="Q2281" s="36"/>
      <c r="S2281" s="36"/>
    </row>
    <row r="2282" spans="17:19" x14ac:dyDescent="0.3">
      <c r="Q2282" s="36"/>
      <c r="S2282" s="36"/>
    </row>
    <row r="2283" spans="17:19" x14ac:dyDescent="0.3">
      <c r="Q2283" s="36"/>
      <c r="S2283" s="36"/>
    </row>
    <row r="2284" spans="17:19" x14ac:dyDescent="0.3">
      <c r="Q2284" s="36"/>
      <c r="S2284" s="36"/>
    </row>
    <row r="2285" spans="17:19" x14ac:dyDescent="0.3">
      <c r="Q2285" s="36"/>
      <c r="S2285" s="36"/>
    </row>
    <row r="2286" spans="17:19" x14ac:dyDescent="0.3">
      <c r="Q2286" s="36"/>
      <c r="S2286" s="36"/>
    </row>
    <row r="2287" spans="17:19" x14ac:dyDescent="0.3">
      <c r="Q2287" s="36"/>
      <c r="S2287" s="36"/>
    </row>
    <row r="2288" spans="17:19" x14ac:dyDescent="0.3">
      <c r="Q2288" s="36"/>
      <c r="S2288" s="36"/>
    </row>
    <row r="2289" spans="17:19" x14ac:dyDescent="0.3">
      <c r="Q2289" s="36"/>
      <c r="S2289" s="36"/>
    </row>
    <row r="2290" spans="17:19" x14ac:dyDescent="0.3">
      <c r="Q2290" s="36"/>
      <c r="S2290" s="36"/>
    </row>
    <row r="2291" spans="17:19" x14ac:dyDescent="0.3">
      <c r="Q2291" s="36"/>
      <c r="S2291" s="36"/>
    </row>
    <row r="2292" spans="17:19" x14ac:dyDescent="0.3">
      <c r="Q2292" s="36"/>
      <c r="S2292" s="36"/>
    </row>
    <row r="2293" spans="17:19" x14ac:dyDescent="0.3">
      <c r="Q2293" s="36"/>
      <c r="S2293" s="36"/>
    </row>
    <row r="2294" spans="17:19" x14ac:dyDescent="0.3">
      <c r="Q2294" s="36"/>
      <c r="S2294" s="36"/>
    </row>
    <row r="2295" spans="17:19" x14ac:dyDescent="0.3">
      <c r="Q2295" s="36"/>
      <c r="S2295" s="36"/>
    </row>
    <row r="2296" spans="17:19" x14ac:dyDescent="0.3">
      <c r="Q2296" s="36"/>
      <c r="S2296" s="36"/>
    </row>
    <row r="2297" spans="17:19" x14ac:dyDescent="0.3">
      <c r="Q2297" s="36"/>
      <c r="S2297" s="36"/>
    </row>
    <row r="2298" spans="17:19" x14ac:dyDescent="0.3">
      <c r="Q2298" s="36"/>
      <c r="S2298" s="36"/>
    </row>
    <row r="2299" spans="17:19" x14ac:dyDescent="0.3">
      <c r="Q2299" s="36"/>
      <c r="S2299" s="36"/>
    </row>
    <row r="2300" spans="17:19" x14ac:dyDescent="0.3">
      <c r="Q2300" s="36"/>
      <c r="S2300" s="36"/>
    </row>
    <row r="2301" spans="17:19" x14ac:dyDescent="0.3">
      <c r="Q2301" s="36"/>
      <c r="S2301" s="36"/>
    </row>
    <row r="2302" spans="17:19" x14ac:dyDescent="0.3">
      <c r="Q2302" s="36"/>
      <c r="S2302" s="36"/>
    </row>
    <row r="2303" spans="17:19" x14ac:dyDescent="0.3">
      <c r="Q2303" s="36"/>
      <c r="S2303" s="36"/>
    </row>
    <row r="2304" spans="17:19" x14ac:dyDescent="0.3">
      <c r="Q2304" s="36"/>
      <c r="S2304" s="36"/>
    </row>
    <row r="2305" spans="17:19" x14ac:dyDescent="0.3">
      <c r="Q2305" s="36"/>
      <c r="S2305" s="36"/>
    </row>
    <row r="2306" spans="17:19" x14ac:dyDescent="0.3">
      <c r="Q2306" s="36"/>
      <c r="S2306" s="36"/>
    </row>
    <row r="2307" spans="17:19" x14ac:dyDescent="0.3">
      <c r="Q2307" s="36"/>
      <c r="S2307" s="36"/>
    </row>
    <row r="2308" spans="17:19" x14ac:dyDescent="0.3">
      <c r="Q2308" s="36"/>
      <c r="S2308" s="36"/>
    </row>
    <row r="2309" spans="17:19" x14ac:dyDescent="0.3">
      <c r="Q2309" s="36"/>
      <c r="S2309" s="36"/>
    </row>
    <row r="2310" spans="17:19" x14ac:dyDescent="0.3">
      <c r="Q2310" s="36"/>
      <c r="S2310" s="36"/>
    </row>
    <row r="2311" spans="17:19" x14ac:dyDescent="0.3">
      <c r="Q2311" s="36"/>
      <c r="S2311" s="36"/>
    </row>
    <row r="2312" spans="17:19" x14ac:dyDescent="0.3">
      <c r="Q2312" s="36"/>
      <c r="S2312" s="36"/>
    </row>
    <row r="2313" spans="17:19" x14ac:dyDescent="0.3">
      <c r="Q2313" s="36"/>
      <c r="S2313" s="36"/>
    </row>
    <row r="2314" spans="17:19" x14ac:dyDescent="0.3">
      <c r="Q2314" s="36"/>
      <c r="S2314" s="36"/>
    </row>
    <row r="2315" spans="17:19" x14ac:dyDescent="0.3">
      <c r="Q2315" s="36"/>
      <c r="S2315" s="36"/>
    </row>
    <row r="2316" spans="17:19" x14ac:dyDescent="0.3">
      <c r="Q2316" s="36"/>
      <c r="S2316" s="36"/>
    </row>
    <row r="2317" spans="17:19" x14ac:dyDescent="0.3">
      <c r="Q2317" s="36"/>
      <c r="S2317" s="36"/>
    </row>
    <row r="2318" spans="17:19" x14ac:dyDescent="0.3">
      <c r="Q2318" s="36"/>
      <c r="S2318" s="36"/>
    </row>
    <row r="2319" spans="17:19" x14ac:dyDescent="0.3">
      <c r="Q2319" s="36"/>
      <c r="S2319" s="36"/>
    </row>
    <row r="2320" spans="17:19" x14ac:dyDescent="0.3">
      <c r="Q2320" s="36"/>
      <c r="S2320" s="36"/>
    </row>
    <row r="2321" spans="17:19" x14ac:dyDescent="0.3">
      <c r="Q2321" s="36"/>
      <c r="S2321" s="36"/>
    </row>
    <row r="2322" spans="17:19" x14ac:dyDescent="0.3">
      <c r="Q2322" s="36"/>
      <c r="S2322" s="36"/>
    </row>
    <row r="2323" spans="17:19" x14ac:dyDescent="0.3">
      <c r="Q2323" s="36"/>
      <c r="S2323" s="36"/>
    </row>
    <row r="2324" spans="17:19" x14ac:dyDescent="0.3">
      <c r="Q2324" s="36"/>
      <c r="S2324" s="36"/>
    </row>
    <row r="2325" spans="17:19" x14ac:dyDescent="0.3">
      <c r="Q2325" s="36"/>
      <c r="S2325" s="36"/>
    </row>
    <row r="2326" spans="17:19" x14ac:dyDescent="0.3">
      <c r="Q2326" s="36"/>
      <c r="S2326" s="36"/>
    </row>
    <row r="2327" spans="17:19" x14ac:dyDescent="0.3">
      <c r="Q2327" s="36"/>
      <c r="S2327" s="36"/>
    </row>
    <row r="2328" spans="17:19" x14ac:dyDescent="0.3">
      <c r="Q2328" s="36"/>
      <c r="S2328" s="36"/>
    </row>
    <row r="2329" spans="17:19" x14ac:dyDescent="0.3">
      <c r="Q2329" s="36"/>
      <c r="S2329" s="36"/>
    </row>
    <row r="2330" spans="17:19" x14ac:dyDescent="0.3">
      <c r="Q2330" s="36"/>
      <c r="S2330" s="36"/>
    </row>
    <row r="2331" spans="17:19" x14ac:dyDescent="0.3">
      <c r="Q2331" s="36"/>
      <c r="S2331" s="36"/>
    </row>
    <row r="2332" spans="17:19" x14ac:dyDescent="0.3">
      <c r="Q2332" s="36"/>
      <c r="S2332" s="36"/>
    </row>
    <row r="2333" spans="17:19" x14ac:dyDescent="0.3">
      <c r="Q2333" s="36"/>
      <c r="S2333" s="36"/>
    </row>
    <row r="2334" spans="17:19" x14ac:dyDescent="0.3">
      <c r="Q2334" s="36"/>
      <c r="S2334" s="36"/>
    </row>
    <row r="2335" spans="17:19" x14ac:dyDescent="0.3">
      <c r="Q2335" s="36"/>
      <c r="S2335" s="36"/>
    </row>
    <row r="2336" spans="17:19" x14ac:dyDescent="0.3">
      <c r="Q2336" s="36"/>
      <c r="S2336" s="36"/>
    </row>
    <row r="2337" spans="17:19" x14ac:dyDescent="0.3">
      <c r="Q2337" s="36"/>
      <c r="S2337" s="36"/>
    </row>
    <row r="2338" spans="17:19" x14ac:dyDescent="0.3">
      <c r="Q2338" s="36"/>
      <c r="S2338" s="36"/>
    </row>
    <row r="2339" spans="17:19" x14ac:dyDescent="0.3">
      <c r="Q2339" s="36"/>
      <c r="S2339" s="36"/>
    </row>
    <row r="2340" spans="17:19" x14ac:dyDescent="0.3">
      <c r="Q2340" s="36"/>
      <c r="S2340" s="36"/>
    </row>
    <row r="2341" spans="17:19" x14ac:dyDescent="0.3">
      <c r="Q2341" s="36"/>
      <c r="S2341" s="36"/>
    </row>
    <row r="2342" spans="17:19" x14ac:dyDescent="0.3">
      <c r="Q2342" s="36"/>
      <c r="S2342" s="36"/>
    </row>
    <row r="2343" spans="17:19" x14ac:dyDescent="0.3">
      <c r="Q2343" s="36"/>
      <c r="S2343" s="36"/>
    </row>
    <row r="2344" spans="17:19" x14ac:dyDescent="0.3">
      <c r="Q2344" s="36"/>
      <c r="S2344" s="36"/>
    </row>
    <row r="2345" spans="17:19" x14ac:dyDescent="0.3">
      <c r="Q2345" s="36"/>
      <c r="S2345" s="36"/>
    </row>
    <row r="2346" spans="17:19" x14ac:dyDescent="0.3">
      <c r="Q2346" s="36"/>
      <c r="S2346" s="36"/>
    </row>
    <row r="2347" spans="17:19" x14ac:dyDescent="0.3">
      <c r="Q2347" s="36"/>
      <c r="S2347" s="36"/>
    </row>
    <row r="2348" spans="17:19" x14ac:dyDescent="0.3">
      <c r="Q2348" s="36"/>
      <c r="S2348" s="36"/>
    </row>
    <row r="2349" spans="17:19" x14ac:dyDescent="0.3">
      <c r="Q2349" s="36"/>
      <c r="S2349" s="36"/>
    </row>
    <row r="2350" spans="17:19" x14ac:dyDescent="0.3">
      <c r="Q2350" s="36"/>
      <c r="S2350" s="36"/>
    </row>
    <row r="2351" spans="17:19" x14ac:dyDescent="0.3">
      <c r="Q2351" s="36"/>
      <c r="S2351" s="36"/>
    </row>
    <row r="2352" spans="17:19" x14ac:dyDescent="0.3">
      <c r="Q2352" s="36"/>
      <c r="S2352" s="36"/>
    </row>
    <row r="2353" spans="17:19" x14ac:dyDescent="0.3">
      <c r="Q2353" s="36"/>
      <c r="S2353" s="36"/>
    </row>
    <row r="2354" spans="17:19" x14ac:dyDescent="0.3">
      <c r="Q2354" s="36"/>
      <c r="S2354" s="36"/>
    </row>
    <row r="2355" spans="17:19" x14ac:dyDescent="0.3">
      <c r="Q2355" s="36"/>
      <c r="S2355" s="36"/>
    </row>
    <row r="2356" spans="17:19" x14ac:dyDescent="0.3">
      <c r="Q2356" s="36"/>
      <c r="S2356" s="36"/>
    </row>
    <row r="2357" spans="17:19" x14ac:dyDescent="0.3">
      <c r="Q2357" s="36"/>
      <c r="S2357" s="36"/>
    </row>
    <row r="2358" spans="17:19" x14ac:dyDescent="0.3">
      <c r="Q2358" s="36"/>
      <c r="S2358" s="36"/>
    </row>
    <row r="2359" spans="17:19" x14ac:dyDescent="0.3">
      <c r="Q2359" s="36"/>
      <c r="S2359" s="36"/>
    </row>
    <row r="2360" spans="17:19" x14ac:dyDescent="0.3">
      <c r="Q2360" s="36"/>
      <c r="S2360" s="36"/>
    </row>
    <row r="2361" spans="17:19" x14ac:dyDescent="0.3">
      <c r="Q2361" s="36"/>
      <c r="S2361" s="36"/>
    </row>
    <row r="2362" spans="17:19" x14ac:dyDescent="0.3">
      <c r="Q2362" s="36"/>
      <c r="S2362" s="36"/>
    </row>
    <row r="2363" spans="17:19" x14ac:dyDescent="0.3">
      <c r="Q2363" s="36"/>
      <c r="S2363" s="36"/>
    </row>
    <row r="2364" spans="17:19" x14ac:dyDescent="0.3">
      <c r="Q2364" s="36"/>
      <c r="S2364" s="36"/>
    </row>
    <row r="2365" spans="17:19" x14ac:dyDescent="0.3">
      <c r="Q2365" s="36"/>
      <c r="S2365" s="36"/>
    </row>
    <row r="2366" spans="17:19" x14ac:dyDescent="0.3">
      <c r="Q2366" s="36"/>
      <c r="S2366" s="36"/>
    </row>
    <row r="2367" spans="17:19" x14ac:dyDescent="0.3">
      <c r="Q2367" s="36"/>
      <c r="S2367" s="36"/>
    </row>
    <row r="2368" spans="17:19" x14ac:dyDescent="0.3">
      <c r="Q2368" s="36"/>
      <c r="S2368" s="36"/>
    </row>
    <row r="2369" spans="17:19" x14ac:dyDescent="0.3">
      <c r="Q2369" s="36"/>
      <c r="S2369" s="36"/>
    </row>
    <row r="2370" spans="17:19" x14ac:dyDescent="0.3">
      <c r="Q2370" s="36"/>
      <c r="S2370" s="36"/>
    </row>
    <row r="2371" spans="17:19" x14ac:dyDescent="0.3">
      <c r="Q2371" s="36"/>
      <c r="S2371" s="36"/>
    </row>
    <row r="2372" spans="17:19" x14ac:dyDescent="0.3">
      <c r="Q2372" s="36"/>
      <c r="S2372" s="36"/>
    </row>
    <row r="2373" spans="17:19" x14ac:dyDescent="0.3">
      <c r="Q2373" s="36"/>
      <c r="S2373" s="36"/>
    </row>
    <row r="2374" spans="17:19" x14ac:dyDescent="0.3">
      <c r="Q2374" s="36"/>
      <c r="S2374" s="36"/>
    </row>
    <row r="2375" spans="17:19" x14ac:dyDescent="0.3">
      <c r="Q2375" s="36"/>
      <c r="S2375" s="36"/>
    </row>
    <row r="2376" spans="17:19" x14ac:dyDescent="0.3">
      <c r="Q2376" s="36"/>
      <c r="S2376" s="36"/>
    </row>
    <row r="2377" spans="17:19" x14ac:dyDescent="0.3">
      <c r="Q2377" s="36"/>
      <c r="S2377" s="36"/>
    </row>
    <row r="2378" spans="17:19" x14ac:dyDescent="0.3">
      <c r="Q2378" s="36"/>
      <c r="S2378" s="36"/>
    </row>
    <row r="2379" spans="17:19" x14ac:dyDescent="0.3">
      <c r="Q2379" s="36"/>
      <c r="S2379" s="36"/>
    </row>
    <row r="2380" spans="17:19" x14ac:dyDescent="0.3">
      <c r="Q2380" s="36"/>
      <c r="S2380" s="36"/>
    </row>
    <row r="2381" spans="17:19" x14ac:dyDescent="0.3">
      <c r="Q2381" s="36"/>
      <c r="S2381" s="36"/>
    </row>
    <row r="2382" spans="17:19" x14ac:dyDescent="0.3">
      <c r="Q2382" s="36"/>
      <c r="S2382" s="36"/>
    </row>
    <row r="2383" spans="17:19" x14ac:dyDescent="0.3">
      <c r="Q2383" s="36"/>
      <c r="S2383" s="36"/>
    </row>
    <row r="2384" spans="17:19" x14ac:dyDescent="0.3">
      <c r="Q2384" s="36"/>
      <c r="S2384" s="36"/>
    </row>
    <row r="2385" spans="17:19" x14ac:dyDescent="0.3">
      <c r="Q2385" s="36"/>
      <c r="S2385" s="36"/>
    </row>
    <row r="2386" spans="17:19" x14ac:dyDescent="0.3">
      <c r="Q2386" s="36"/>
      <c r="S2386" s="36"/>
    </row>
    <row r="2387" spans="17:19" x14ac:dyDescent="0.3">
      <c r="Q2387" s="36"/>
      <c r="S2387" s="36"/>
    </row>
    <row r="2388" spans="17:19" x14ac:dyDescent="0.3">
      <c r="Q2388" s="36"/>
      <c r="S2388" s="36"/>
    </row>
    <row r="2389" spans="17:19" x14ac:dyDescent="0.3">
      <c r="Q2389" s="36"/>
      <c r="S2389" s="36"/>
    </row>
    <row r="2390" spans="17:19" x14ac:dyDescent="0.3">
      <c r="Q2390" s="36"/>
      <c r="S2390" s="36"/>
    </row>
    <row r="2391" spans="17:19" x14ac:dyDescent="0.3">
      <c r="Q2391" s="36"/>
      <c r="S2391" s="36"/>
    </row>
    <row r="2392" spans="17:19" x14ac:dyDescent="0.3">
      <c r="Q2392" s="36"/>
      <c r="S2392" s="36"/>
    </row>
    <row r="2393" spans="17:19" x14ac:dyDescent="0.3">
      <c r="Q2393" s="36"/>
      <c r="S2393" s="36"/>
    </row>
    <row r="2394" spans="17:19" x14ac:dyDescent="0.3">
      <c r="Q2394" s="36"/>
      <c r="S2394" s="36"/>
    </row>
    <row r="2395" spans="17:19" x14ac:dyDescent="0.3">
      <c r="Q2395" s="36"/>
      <c r="S2395" s="36"/>
    </row>
    <row r="2396" spans="17:19" x14ac:dyDescent="0.3">
      <c r="Q2396" s="36"/>
      <c r="S2396" s="36"/>
    </row>
    <row r="2397" spans="17:19" x14ac:dyDescent="0.3">
      <c r="Q2397" s="36"/>
      <c r="S2397" s="36"/>
    </row>
    <row r="2398" spans="17:19" x14ac:dyDescent="0.3">
      <c r="Q2398" s="36"/>
      <c r="S2398" s="36"/>
    </row>
    <row r="2399" spans="17:19" x14ac:dyDescent="0.3">
      <c r="Q2399" s="36"/>
      <c r="S2399" s="36"/>
    </row>
    <row r="2400" spans="17:19" x14ac:dyDescent="0.3">
      <c r="Q2400" s="36"/>
      <c r="S2400" s="36"/>
    </row>
    <row r="2401" spans="17:19" x14ac:dyDescent="0.3">
      <c r="Q2401" s="36"/>
      <c r="S2401" s="36"/>
    </row>
    <row r="2402" spans="17:19" x14ac:dyDescent="0.3">
      <c r="Q2402" s="36"/>
      <c r="S2402" s="36"/>
    </row>
    <row r="2403" spans="17:19" x14ac:dyDescent="0.3">
      <c r="Q2403" s="36"/>
      <c r="S2403" s="36"/>
    </row>
    <row r="2404" spans="17:19" x14ac:dyDescent="0.3">
      <c r="Q2404" s="36"/>
      <c r="S2404" s="36"/>
    </row>
    <row r="2405" spans="17:19" x14ac:dyDescent="0.3">
      <c r="Q2405" s="36"/>
      <c r="S2405" s="36"/>
    </row>
    <row r="2406" spans="17:19" x14ac:dyDescent="0.3">
      <c r="Q2406" s="36"/>
      <c r="S2406" s="36"/>
    </row>
    <row r="2407" spans="17:19" x14ac:dyDescent="0.3">
      <c r="Q2407" s="36"/>
      <c r="S2407" s="36"/>
    </row>
    <row r="2408" spans="17:19" x14ac:dyDescent="0.3">
      <c r="Q2408" s="36"/>
      <c r="S2408" s="36"/>
    </row>
    <row r="2409" spans="17:19" x14ac:dyDescent="0.3">
      <c r="Q2409" s="36"/>
      <c r="S2409" s="36"/>
    </row>
    <row r="2410" spans="17:19" x14ac:dyDescent="0.3">
      <c r="Q2410" s="36"/>
      <c r="S2410" s="36"/>
    </row>
    <row r="2411" spans="17:19" x14ac:dyDescent="0.3">
      <c r="Q2411" s="36"/>
      <c r="S2411" s="36"/>
    </row>
    <row r="2412" spans="17:19" x14ac:dyDescent="0.3">
      <c r="Q2412" s="36"/>
      <c r="S2412" s="36"/>
    </row>
    <row r="2413" spans="17:19" x14ac:dyDescent="0.3">
      <c r="Q2413" s="36"/>
      <c r="S2413" s="36"/>
    </row>
    <row r="2414" spans="17:19" x14ac:dyDescent="0.3">
      <c r="Q2414" s="36"/>
      <c r="S2414" s="36"/>
    </row>
    <row r="2415" spans="17:19" x14ac:dyDescent="0.3">
      <c r="Q2415" s="36"/>
      <c r="S2415" s="36"/>
    </row>
    <row r="2416" spans="17:19" x14ac:dyDescent="0.3">
      <c r="Q2416" s="36"/>
      <c r="S2416" s="36"/>
    </row>
    <row r="2417" spans="17:19" x14ac:dyDescent="0.3">
      <c r="Q2417" s="36"/>
      <c r="S2417" s="36"/>
    </row>
    <row r="2418" spans="17:19" x14ac:dyDescent="0.3">
      <c r="Q2418" s="36"/>
      <c r="S2418" s="36"/>
    </row>
    <row r="2419" spans="17:19" x14ac:dyDescent="0.3">
      <c r="Q2419" s="36"/>
      <c r="S2419" s="36"/>
    </row>
    <row r="2420" spans="17:19" x14ac:dyDescent="0.3">
      <c r="Q2420" s="36"/>
      <c r="S2420" s="36"/>
    </row>
    <row r="2421" spans="17:19" x14ac:dyDescent="0.3">
      <c r="Q2421" s="36"/>
      <c r="S2421" s="36"/>
    </row>
    <row r="2422" spans="17:19" x14ac:dyDescent="0.3">
      <c r="Q2422" s="36"/>
      <c r="S2422" s="36"/>
    </row>
    <row r="2423" spans="17:19" x14ac:dyDescent="0.3">
      <c r="Q2423" s="36"/>
      <c r="S2423" s="36"/>
    </row>
    <row r="2424" spans="17:19" x14ac:dyDescent="0.3">
      <c r="Q2424" s="36"/>
      <c r="S2424" s="36"/>
    </row>
    <row r="2425" spans="17:19" x14ac:dyDescent="0.3">
      <c r="Q2425" s="36"/>
      <c r="S2425" s="36"/>
    </row>
    <row r="2426" spans="17:19" x14ac:dyDescent="0.3">
      <c r="Q2426" s="36"/>
      <c r="S2426" s="36"/>
    </row>
    <row r="2427" spans="17:19" x14ac:dyDescent="0.3">
      <c r="Q2427" s="36"/>
      <c r="S2427" s="36"/>
    </row>
    <row r="2428" spans="17:19" x14ac:dyDescent="0.3">
      <c r="Q2428" s="36"/>
      <c r="S2428" s="36"/>
    </row>
    <row r="2429" spans="17:19" x14ac:dyDescent="0.3">
      <c r="Q2429" s="36"/>
      <c r="S2429" s="36"/>
    </row>
    <row r="2430" spans="17:19" x14ac:dyDescent="0.3">
      <c r="Q2430" s="36"/>
      <c r="S2430" s="36"/>
    </row>
    <row r="2431" spans="17:19" x14ac:dyDescent="0.3">
      <c r="Q2431" s="36"/>
      <c r="S2431" s="36"/>
    </row>
    <row r="2432" spans="17:19" x14ac:dyDescent="0.3">
      <c r="Q2432" s="36"/>
      <c r="S2432" s="36"/>
    </row>
    <row r="2433" spans="17:19" x14ac:dyDescent="0.3">
      <c r="Q2433" s="36"/>
      <c r="S2433" s="36"/>
    </row>
    <row r="2434" spans="17:19" x14ac:dyDescent="0.3">
      <c r="Q2434" s="36"/>
      <c r="S2434" s="36"/>
    </row>
    <row r="2435" spans="17:19" x14ac:dyDescent="0.3">
      <c r="Q2435" s="36"/>
      <c r="S2435" s="36"/>
    </row>
    <row r="2436" spans="17:19" x14ac:dyDescent="0.3">
      <c r="Q2436" s="36"/>
      <c r="S2436" s="36"/>
    </row>
    <row r="2437" spans="17:19" x14ac:dyDescent="0.3">
      <c r="Q2437" s="36"/>
      <c r="S2437" s="36"/>
    </row>
    <row r="2438" spans="17:19" x14ac:dyDescent="0.3">
      <c r="Q2438" s="36"/>
      <c r="S2438" s="36"/>
    </row>
    <row r="2439" spans="17:19" x14ac:dyDescent="0.3">
      <c r="Q2439" s="36"/>
      <c r="S2439" s="36"/>
    </row>
    <row r="2440" spans="17:19" x14ac:dyDescent="0.3">
      <c r="Q2440" s="36"/>
      <c r="S2440" s="36"/>
    </row>
    <row r="2441" spans="17:19" x14ac:dyDescent="0.3">
      <c r="Q2441" s="36"/>
      <c r="S2441" s="36"/>
    </row>
    <row r="2442" spans="17:19" x14ac:dyDescent="0.3">
      <c r="Q2442" s="36"/>
      <c r="S2442" s="36"/>
    </row>
    <row r="2443" spans="17:19" x14ac:dyDescent="0.3">
      <c r="Q2443" s="36"/>
      <c r="S2443" s="36"/>
    </row>
    <row r="2444" spans="17:19" x14ac:dyDescent="0.3">
      <c r="Q2444" s="36"/>
      <c r="S2444" s="36"/>
    </row>
    <row r="2445" spans="17:19" x14ac:dyDescent="0.3">
      <c r="Q2445" s="36"/>
      <c r="S2445" s="36"/>
    </row>
    <row r="2446" spans="17:19" x14ac:dyDescent="0.3">
      <c r="Q2446" s="36"/>
      <c r="S2446" s="36"/>
    </row>
    <row r="2447" spans="17:19" x14ac:dyDescent="0.3">
      <c r="Q2447" s="36"/>
      <c r="S2447" s="36"/>
    </row>
    <row r="2448" spans="17:19" x14ac:dyDescent="0.3">
      <c r="Q2448" s="36"/>
      <c r="S2448" s="36"/>
    </row>
    <row r="2449" spans="17:19" x14ac:dyDescent="0.3">
      <c r="Q2449" s="36"/>
      <c r="S2449" s="36"/>
    </row>
    <row r="2450" spans="17:19" x14ac:dyDescent="0.3">
      <c r="Q2450" s="36"/>
      <c r="S2450" s="36"/>
    </row>
    <row r="2451" spans="17:19" x14ac:dyDescent="0.3">
      <c r="Q2451" s="36"/>
      <c r="S2451" s="36"/>
    </row>
    <row r="2452" spans="17:19" x14ac:dyDescent="0.3">
      <c r="Q2452" s="36"/>
      <c r="S2452" s="36"/>
    </row>
    <row r="2453" spans="17:19" x14ac:dyDescent="0.3">
      <c r="Q2453" s="36"/>
      <c r="S2453" s="36"/>
    </row>
    <row r="2454" spans="17:19" x14ac:dyDescent="0.3">
      <c r="Q2454" s="36"/>
      <c r="S2454" s="36"/>
    </row>
    <row r="2455" spans="17:19" x14ac:dyDescent="0.3">
      <c r="Q2455" s="36"/>
      <c r="S2455" s="36"/>
    </row>
    <row r="2456" spans="17:19" x14ac:dyDescent="0.3">
      <c r="Q2456" s="36"/>
      <c r="S2456" s="36"/>
    </row>
    <row r="2457" spans="17:19" x14ac:dyDescent="0.3">
      <c r="Q2457" s="36"/>
      <c r="S2457" s="36"/>
    </row>
    <row r="2458" spans="17:19" x14ac:dyDescent="0.3">
      <c r="Q2458" s="36"/>
      <c r="S2458" s="36"/>
    </row>
    <row r="2459" spans="17:19" x14ac:dyDescent="0.3">
      <c r="Q2459" s="36"/>
      <c r="S2459" s="36"/>
    </row>
    <row r="2460" spans="17:19" x14ac:dyDescent="0.3">
      <c r="Q2460" s="36"/>
      <c r="S2460" s="36"/>
    </row>
    <row r="2461" spans="17:19" x14ac:dyDescent="0.3">
      <c r="Q2461" s="36"/>
      <c r="S2461" s="36"/>
    </row>
    <row r="2462" spans="17:19" x14ac:dyDescent="0.3">
      <c r="Q2462" s="36"/>
      <c r="S2462" s="36"/>
    </row>
    <row r="2463" spans="17:19" x14ac:dyDescent="0.3">
      <c r="Q2463" s="36"/>
      <c r="S2463" s="36"/>
    </row>
    <row r="2464" spans="17:19" x14ac:dyDescent="0.3">
      <c r="Q2464" s="36"/>
      <c r="S2464" s="36"/>
    </row>
    <row r="2465" spans="17:19" x14ac:dyDescent="0.3">
      <c r="Q2465" s="36"/>
      <c r="S2465" s="36"/>
    </row>
    <row r="2466" spans="17:19" x14ac:dyDescent="0.3">
      <c r="Q2466" s="36"/>
      <c r="S2466" s="36"/>
    </row>
    <row r="2467" spans="17:19" x14ac:dyDescent="0.3">
      <c r="Q2467" s="36"/>
      <c r="S2467" s="36"/>
    </row>
    <row r="2468" spans="17:19" x14ac:dyDescent="0.3">
      <c r="Q2468" s="36"/>
      <c r="S2468" s="36"/>
    </row>
    <row r="2469" spans="17:19" x14ac:dyDescent="0.3">
      <c r="Q2469" s="36"/>
      <c r="S2469" s="36"/>
    </row>
    <row r="2470" spans="17:19" x14ac:dyDescent="0.3">
      <c r="Q2470" s="36"/>
      <c r="S2470" s="36"/>
    </row>
    <row r="2471" spans="17:19" x14ac:dyDescent="0.3">
      <c r="Q2471" s="36"/>
      <c r="S2471" s="36"/>
    </row>
    <row r="2472" spans="17:19" x14ac:dyDescent="0.3">
      <c r="Q2472" s="36"/>
      <c r="S2472" s="36"/>
    </row>
    <row r="2473" spans="17:19" x14ac:dyDescent="0.3">
      <c r="Q2473" s="36"/>
      <c r="S2473" s="36"/>
    </row>
    <row r="2474" spans="17:19" x14ac:dyDescent="0.3">
      <c r="Q2474" s="36"/>
      <c r="S2474" s="36"/>
    </row>
    <row r="2475" spans="17:19" x14ac:dyDescent="0.3">
      <c r="Q2475" s="36"/>
      <c r="S2475" s="36"/>
    </row>
    <row r="2476" spans="17:19" x14ac:dyDescent="0.3">
      <c r="Q2476" s="36"/>
      <c r="S2476" s="36"/>
    </row>
    <row r="2477" spans="17:19" x14ac:dyDescent="0.3">
      <c r="Q2477" s="36"/>
      <c r="S2477" s="36"/>
    </row>
    <row r="2478" spans="17:19" x14ac:dyDescent="0.3">
      <c r="Q2478" s="36"/>
      <c r="S2478" s="36"/>
    </row>
    <row r="2479" spans="17:19" x14ac:dyDescent="0.3">
      <c r="Q2479" s="36"/>
      <c r="S2479" s="36"/>
    </row>
    <row r="2480" spans="17:19" x14ac:dyDescent="0.3">
      <c r="Q2480" s="36"/>
      <c r="S2480" s="36"/>
    </row>
    <row r="2481" spans="17:19" x14ac:dyDescent="0.3">
      <c r="Q2481" s="36"/>
      <c r="S2481" s="36"/>
    </row>
    <row r="2482" spans="17:19" x14ac:dyDescent="0.3">
      <c r="Q2482" s="36"/>
      <c r="S2482" s="36"/>
    </row>
    <row r="2483" spans="17:19" x14ac:dyDescent="0.3">
      <c r="Q2483" s="36"/>
      <c r="S2483" s="36"/>
    </row>
    <row r="2484" spans="17:19" x14ac:dyDescent="0.3">
      <c r="Q2484" s="36"/>
      <c r="S2484" s="36"/>
    </row>
    <row r="2485" spans="17:19" x14ac:dyDescent="0.3">
      <c r="Q2485" s="36"/>
      <c r="S2485" s="36"/>
    </row>
    <row r="2486" spans="17:19" x14ac:dyDescent="0.3">
      <c r="Q2486" s="36"/>
      <c r="S2486" s="36"/>
    </row>
    <row r="2487" spans="17:19" x14ac:dyDescent="0.3">
      <c r="Q2487" s="36"/>
      <c r="S2487" s="36"/>
    </row>
    <row r="2488" spans="17:19" x14ac:dyDescent="0.3">
      <c r="Q2488" s="36"/>
      <c r="S2488" s="36"/>
    </row>
    <row r="2489" spans="17:19" x14ac:dyDescent="0.3">
      <c r="Q2489" s="36"/>
      <c r="S2489" s="36"/>
    </row>
    <row r="2490" spans="17:19" x14ac:dyDescent="0.3">
      <c r="Q2490" s="36"/>
      <c r="S2490" s="36"/>
    </row>
    <row r="2491" spans="17:19" x14ac:dyDescent="0.3">
      <c r="Q2491" s="36"/>
      <c r="S2491" s="36"/>
    </row>
    <row r="2492" spans="17:19" x14ac:dyDescent="0.3">
      <c r="Q2492" s="36"/>
      <c r="S2492" s="36"/>
    </row>
    <row r="2493" spans="17:19" x14ac:dyDescent="0.3">
      <c r="Q2493" s="36"/>
      <c r="S2493" s="36"/>
    </row>
    <row r="2494" spans="17:19" x14ac:dyDescent="0.3">
      <c r="Q2494" s="36"/>
      <c r="S2494" s="36"/>
    </row>
    <row r="2495" spans="17:19" x14ac:dyDescent="0.3">
      <c r="Q2495" s="36"/>
      <c r="S2495" s="36"/>
    </row>
    <row r="2496" spans="17:19" x14ac:dyDescent="0.3">
      <c r="Q2496" s="36"/>
      <c r="S2496" s="36"/>
    </row>
    <row r="2497" spans="17:19" x14ac:dyDescent="0.3">
      <c r="Q2497" s="36"/>
      <c r="S2497" s="36"/>
    </row>
    <row r="2498" spans="17:19" x14ac:dyDescent="0.3">
      <c r="Q2498" s="36"/>
      <c r="S2498" s="36"/>
    </row>
    <row r="2499" spans="17:19" x14ac:dyDescent="0.3">
      <c r="Q2499" s="36"/>
      <c r="S2499" s="36"/>
    </row>
    <row r="2500" spans="17:19" x14ac:dyDescent="0.3">
      <c r="Q2500" s="36"/>
      <c r="S2500" s="36"/>
    </row>
    <row r="2501" spans="17:19" x14ac:dyDescent="0.3">
      <c r="Q2501" s="36"/>
      <c r="S2501" s="36"/>
    </row>
    <row r="2502" spans="17:19" x14ac:dyDescent="0.3">
      <c r="Q2502" s="36"/>
      <c r="S2502" s="36"/>
    </row>
    <row r="2503" spans="17:19" x14ac:dyDescent="0.3">
      <c r="Q2503" s="36"/>
      <c r="S2503" s="36"/>
    </row>
    <row r="2504" spans="17:19" x14ac:dyDescent="0.3">
      <c r="Q2504" s="36"/>
      <c r="S2504" s="36"/>
    </row>
    <row r="2505" spans="17:19" x14ac:dyDescent="0.3">
      <c r="Q2505" s="36"/>
      <c r="S2505" s="36"/>
    </row>
    <row r="2506" spans="17:19" x14ac:dyDescent="0.3">
      <c r="Q2506" s="36"/>
      <c r="S2506" s="36"/>
    </row>
    <row r="2507" spans="17:19" x14ac:dyDescent="0.3">
      <c r="Q2507" s="36"/>
      <c r="S2507" s="36"/>
    </row>
    <row r="2508" spans="17:19" x14ac:dyDescent="0.3">
      <c r="Q2508" s="36"/>
      <c r="S2508" s="36"/>
    </row>
    <row r="2509" spans="17:19" x14ac:dyDescent="0.3">
      <c r="Q2509" s="36"/>
      <c r="S2509" s="36"/>
    </row>
    <row r="2510" spans="17:19" x14ac:dyDescent="0.3">
      <c r="Q2510" s="36"/>
      <c r="S2510" s="36"/>
    </row>
    <row r="2511" spans="17:19" x14ac:dyDescent="0.3">
      <c r="Q2511" s="36"/>
      <c r="S2511" s="36"/>
    </row>
    <row r="2512" spans="17:19" x14ac:dyDescent="0.3">
      <c r="Q2512" s="36"/>
      <c r="S2512" s="36"/>
    </row>
    <row r="2513" spans="17:19" x14ac:dyDescent="0.3">
      <c r="Q2513" s="36"/>
      <c r="S2513" s="36"/>
    </row>
    <row r="2514" spans="17:19" x14ac:dyDescent="0.3">
      <c r="Q2514" s="36"/>
      <c r="S2514" s="36"/>
    </row>
    <row r="2515" spans="17:19" x14ac:dyDescent="0.3">
      <c r="Q2515" s="36"/>
      <c r="S2515" s="36"/>
    </row>
    <row r="2516" spans="17:19" x14ac:dyDescent="0.3">
      <c r="Q2516" s="36"/>
      <c r="S2516" s="36"/>
    </row>
    <row r="2517" spans="17:19" x14ac:dyDescent="0.3">
      <c r="Q2517" s="36"/>
      <c r="S2517" s="36"/>
    </row>
    <row r="2518" spans="17:19" x14ac:dyDescent="0.3">
      <c r="Q2518" s="36"/>
      <c r="S2518" s="36"/>
    </row>
    <row r="2519" spans="17:19" x14ac:dyDescent="0.3">
      <c r="Q2519" s="36"/>
      <c r="S2519" s="36"/>
    </row>
    <row r="2520" spans="17:19" x14ac:dyDescent="0.3">
      <c r="Q2520" s="36"/>
      <c r="S2520" s="36"/>
    </row>
    <row r="2521" spans="17:19" x14ac:dyDescent="0.3">
      <c r="Q2521" s="36"/>
      <c r="S2521" s="36"/>
    </row>
    <row r="2522" spans="17:19" x14ac:dyDescent="0.3">
      <c r="Q2522" s="36"/>
      <c r="S2522" s="36"/>
    </row>
    <row r="2523" spans="17:19" x14ac:dyDescent="0.3">
      <c r="Q2523" s="36"/>
      <c r="S2523" s="36"/>
    </row>
    <row r="2524" spans="17:19" x14ac:dyDescent="0.3">
      <c r="Q2524" s="36"/>
      <c r="S2524" s="36"/>
    </row>
    <row r="2525" spans="17:19" x14ac:dyDescent="0.3">
      <c r="Q2525" s="36"/>
      <c r="S2525" s="36"/>
    </row>
    <row r="2526" spans="17:19" x14ac:dyDescent="0.3">
      <c r="Q2526" s="36"/>
      <c r="S2526" s="36"/>
    </row>
    <row r="2527" spans="17:19" x14ac:dyDescent="0.3">
      <c r="Q2527" s="36"/>
      <c r="S2527" s="36"/>
    </row>
    <row r="2528" spans="17:19" x14ac:dyDescent="0.3">
      <c r="Q2528" s="36"/>
      <c r="S2528" s="36"/>
    </row>
    <row r="2529" spans="17:19" x14ac:dyDescent="0.3">
      <c r="Q2529" s="36"/>
      <c r="S2529" s="36"/>
    </row>
    <row r="2530" spans="17:19" x14ac:dyDescent="0.3">
      <c r="Q2530" s="36"/>
      <c r="S2530" s="36"/>
    </row>
    <row r="2531" spans="17:19" x14ac:dyDescent="0.3">
      <c r="Q2531" s="36"/>
      <c r="S2531" s="36"/>
    </row>
    <row r="2532" spans="17:19" x14ac:dyDescent="0.3">
      <c r="Q2532" s="36"/>
      <c r="S2532" s="36"/>
    </row>
    <row r="2533" spans="17:19" x14ac:dyDescent="0.3">
      <c r="Q2533" s="36"/>
      <c r="S2533" s="36"/>
    </row>
    <row r="2534" spans="17:19" x14ac:dyDescent="0.3">
      <c r="Q2534" s="36"/>
      <c r="S2534" s="36"/>
    </row>
    <row r="2535" spans="17:19" x14ac:dyDescent="0.3">
      <c r="Q2535" s="36"/>
      <c r="S2535" s="36"/>
    </row>
    <row r="2536" spans="17:19" x14ac:dyDescent="0.3">
      <c r="Q2536" s="36"/>
      <c r="S2536" s="36"/>
    </row>
    <row r="2537" spans="17:19" x14ac:dyDescent="0.3">
      <c r="Q2537" s="36"/>
      <c r="S2537" s="36"/>
    </row>
    <row r="2538" spans="17:19" x14ac:dyDescent="0.3">
      <c r="Q2538" s="36"/>
      <c r="S2538" s="36"/>
    </row>
    <row r="2539" spans="17:19" x14ac:dyDescent="0.3">
      <c r="Q2539" s="36"/>
      <c r="S2539" s="36"/>
    </row>
    <row r="2540" spans="17:19" x14ac:dyDescent="0.3">
      <c r="Q2540" s="36"/>
      <c r="S2540" s="36"/>
    </row>
    <row r="2541" spans="17:19" x14ac:dyDescent="0.3">
      <c r="Q2541" s="36"/>
      <c r="S2541" s="36"/>
    </row>
    <row r="2542" spans="17:19" x14ac:dyDescent="0.3">
      <c r="Q2542" s="36"/>
      <c r="S2542" s="36"/>
    </row>
    <row r="2543" spans="17:19" x14ac:dyDescent="0.3">
      <c r="Q2543" s="36"/>
      <c r="S2543" s="36"/>
    </row>
    <row r="2544" spans="17:19" x14ac:dyDescent="0.3">
      <c r="Q2544" s="36"/>
      <c r="S2544" s="36"/>
    </row>
    <row r="2545" spans="17:19" x14ac:dyDescent="0.3">
      <c r="Q2545" s="36"/>
      <c r="S2545" s="36"/>
    </row>
    <row r="2546" spans="17:19" x14ac:dyDescent="0.3">
      <c r="Q2546" s="36"/>
      <c r="S2546" s="36"/>
    </row>
    <row r="2547" spans="17:19" x14ac:dyDescent="0.3">
      <c r="Q2547" s="36"/>
      <c r="S2547" s="36"/>
    </row>
    <row r="2548" spans="17:19" x14ac:dyDescent="0.3">
      <c r="Q2548" s="36"/>
      <c r="S2548" s="36"/>
    </row>
    <row r="2549" spans="17:19" x14ac:dyDescent="0.3">
      <c r="Q2549" s="36"/>
      <c r="S2549" s="36"/>
    </row>
    <row r="2550" spans="17:19" x14ac:dyDescent="0.3">
      <c r="Q2550" s="36"/>
      <c r="S2550" s="36"/>
    </row>
    <row r="2551" spans="17:19" x14ac:dyDescent="0.3">
      <c r="Q2551" s="36"/>
      <c r="S2551" s="36"/>
    </row>
    <row r="2552" spans="17:19" x14ac:dyDescent="0.3">
      <c r="Q2552" s="36"/>
      <c r="S2552" s="36"/>
    </row>
    <row r="2553" spans="17:19" x14ac:dyDescent="0.3">
      <c r="Q2553" s="36"/>
      <c r="S2553" s="36"/>
    </row>
    <row r="2554" spans="17:19" x14ac:dyDescent="0.3">
      <c r="Q2554" s="36"/>
      <c r="S2554" s="36"/>
    </row>
    <row r="2555" spans="17:19" x14ac:dyDescent="0.3">
      <c r="Q2555" s="36"/>
      <c r="S2555" s="36"/>
    </row>
    <row r="2556" spans="17:19" x14ac:dyDescent="0.3">
      <c r="Q2556" s="36"/>
      <c r="S2556" s="36"/>
    </row>
    <row r="2557" spans="17:19" x14ac:dyDescent="0.3">
      <c r="Q2557" s="36"/>
      <c r="S2557" s="36"/>
    </row>
    <row r="2558" spans="17:19" x14ac:dyDescent="0.3">
      <c r="Q2558" s="36"/>
      <c r="S2558" s="36"/>
    </row>
    <row r="2559" spans="17:19" x14ac:dyDescent="0.3">
      <c r="Q2559" s="36"/>
      <c r="S2559" s="36"/>
    </row>
    <row r="2560" spans="17:19" x14ac:dyDescent="0.3">
      <c r="Q2560" s="36"/>
      <c r="S2560" s="36"/>
    </row>
    <row r="2561" spans="17:19" x14ac:dyDescent="0.3">
      <c r="Q2561" s="36"/>
      <c r="S2561" s="36"/>
    </row>
    <row r="2562" spans="17:19" x14ac:dyDescent="0.3">
      <c r="Q2562" s="36"/>
      <c r="S2562" s="36"/>
    </row>
    <row r="2563" spans="17:19" x14ac:dyDescent="0.3">
      <c r="Q2563" s="36"/>
      <c r="S2563" s="36"/>
    </row>
    <row r="2564" spans="17:19" x14ac:dyDescent="0.3">
      <c r="Q2564" s="36"/>
      <c r="S2564" s="36"/>
    </row>
    <row r="2565" spans="17:19" x14ac:dyDescent="0.3">
      <c r="Q2565" s="36"/>
      <c r="S2565" s="36"/>
    </row>
    <row r="2566" spans="17:19" x14ac:dyDescent="0.3">
      <c r="Q2566" s="36"/>
      <c r="S2566" s="36"/>
    </row>
    <row r="2567" spans="17:19" x14ac:dyDescent="0.3">
      <c r="Q2567" s="36"/>
      <c r="S2567" s="36"/>
    </row>
    <row r="2568" spans="17:19" x14ac:dyDescent="0.3">
      <c r="Q2568" s="36"/>
      <c r="S2568" s="36"/>
    </row>
    <row r="2569" spans="17:19" x14ac:dyDescent="0.3">
      <c r="Q2569" s="36"/>
      <c r="S2569" s="36"/>
    </row>
    <row r="2570" spans="17:19" x14ac:dyDescent="0.3">
      <c r="Q2570" s="36"/>
      <c r="S2570" s="36"/>
    </row>
    <row r="2571" spans="17:19" x14ac:dyDescent="0.3">
      <c r="Q2571" s="36"/>
      <c r="S2571" s="36"/>
    </row>
    <row r="2572" spans="17:19" x14ac:dyDescent="0.3">
      <c r="Q2572" s="36"/>
      <c r="S2572" s="36"/>
    </row>
    <row r="2573" spans="17:19" x14ac:dyDescent="0.3">
      <c r="Q2573" s="36"/>
      <c r="S2573" s="36"/>
    </row>
    <row r="2574" spans="17:19" x14ac:dyDescent="0.3">
      <c r="Q2574" s="36"/>
      <c r="S2574" s="36"/>
    </row>
    <row r="2575" spans="17:19" x14ac:dyDescent="0.3">
      <c r="Q2575" s="36"/>
      <c r="S2575" s="36"/>
    </row>
    <row r="2576" spans="17:19" x14ac:dyDescent="0.3">
      <c r="Q2576" s="36"/>
      <c r="S2576" s="36"/>
    </row>
    <row r="2577" spans="17:19" x14ac:dyDescent="0.3">
      <c r="Q2577" s="36"/>
      <c r="S2577" s="36"/>
    </row>
    <row r="2578" spans="17:19" x14ac:dyDescent="0.3">
      <c r="Q2578" s="36"/>
      <c r="S2578" s="36"/>
    </row>
    <row r="2579" spans="17:19" x14ac:dyDescent="0.3">
      <c r="Q2579" s="36"/>
      <c r="S2579" s="36"/>
    </row>
    <row r="2580" spans="17:19" x14ac:dyDescent="0.3">
      <c r="Q2580" s="36"/>
      <c r="S2580" s="36"/>
    </row>
    <row r="2581" spans="17:19" x14ac:dyDescent="0.3">
      <c r="Q2581" s="36"/>
      <c r="S2581" s="36"/>
    </row>
    <row r="2582" spans="17:19" x14ac:dyDescent="0.3">
      <c r="Q2582" s="36"/>
      <c r="S2582" s="36"/>
    </row>
    <row r="2583" spans="17:19" x14ac:dyDescent="0.3">
      <c r="Q2583" s="36"/>
      <c r="S2583" s="36"/>
    </row>
    <row r="2584" spans="17:19" x14ac:dyDescent="0.3">
      <c r="Q2584" s="36"/>
      <c r="S2584" s="36"/>
    </row>
    <row r="2585" spans="17:19" x14ac:dyDescent="0.3">
      <c r="Q2585" s="36"/>
      <c r="S2585" s="36"/>
    </row>
    <row r="2586" spans="17:19" x14ac:dyDescent="0.3">
      <c r="Q2586" s="36"/>
      <c r="S2586" s="36"/>
    </row>
    <row r="2587" spans="17:19" x14ac:dyDescent="0.3">
      <c r="Q2587" s="36"/>
      <c r="S2587" s="36"/>
    </row>
    <row r="2588" spans="17:19" x14ac:dyDescent="0.3">
      <c r="Q2588" s="36"/>
      <c r="S2588" s="36"/>
    </row>
    <row r="2589" spans="17:19" x14ac:dyDescent="0.3">
      <c r="Q2589" s="36"/>
      <c r="S2589" s="36"/>
    </row>
    <row r="2590" spans="17:19" x14ac:dyDescent="0.3">
      <c r="Q2590" s="36"/>
      <c r="S2590" s="36"/>
    </row>
    <row r="2591" spans="17:19" x14ac:dyDescent="0.3">
      <c r="Q2591" s="36"/>
      <c r="S2591" s="36"/>
    </row>
    <row r="2592" spans="17:19" x14ac:dyDescent="0.3">
      <c r="Q2592" s="36"/>
      <c r="S2592" s="36"/>
    </row>
    <row r="2593" spans="17:19" x14ac:dyDescent="0.3">
      <c r="Q2593" s="36"/>
      <c r="S2593" s="36"/>
    </row>
    <row r="2594" spans="17:19" x14ac:dyDescent="0.3">
      <c r="Q2594" s="36"/>
      <c r="S2594" s="36"/>
    </row>
    <row r="2595" spans="17:19" x14ac:dyDescent="0.3">
      <c r="Q2595" s="36"/>
      <c r="S2595" s="36"/>
    </row>
    <row r="2596" spans="17:19" x14ac:dyDescent="0.3">
      <c r="Q2596" s="36"/>
      <c r="S2596" s="36"/>
    </row>
    <row r="2597" spans="17:19" x14ac:dyDescent="0.3">
      <c r="Q2597" s="36"/>
      <c r="S2597" s="36"/>
    </row>
    <row r="2598" spans="17:19" x14ac:dyDescent="0.3">
      <c r="Q2598" s="36"/>
      <c r="S2598" s="36"/>
    </row>
    <row r="2599" spans="17:19" x14ac:dyDescent="0.3">
      <c r="Q2599" s="36"/>
      <c r="S2599" s="36"/>
    </row>
    <row r="2600" spans="17:19" x14ac:dyDescent="0.3">
      <c r="Q2600" s="36"/>
      <c r="S2600" s="36"/>
    </row>
    <row r="2601" spans="17:19" x14ac:dyDescent="0.3">
      <c r="Q2601" s="36"/>
      <c r="S2601" s="36"/>
    </row>
    <row r="2602" spans="17:19" x14ac:dyDescent="0.3">
      <c r="Q2602" s="36"/>
      <c r="S2602" s="36"/>
    </row>
    <row r="2603" spans="17:19" x14ac:dyDescent="0.3">
      <c r="Q2603" s="36"/>
      <c r="S2603" s="36"/>
    </row>
    <row r="2604" spans="17:19" x14ac:dyDescent="0.3">
      <c r="Q2604" s="36"/>
      <c r="S2604" s="36"/>
    </row>
    <row r="2605" spans="17:19" x14ac:dyDescent="0.3">
      <c r="Q2605" s="36"/>
      <c r="S2605" s="36"/>
    </row>
    <row r="2606" spans="17:19" x14ac:dyDescent="0.3">
      <c r="Q2606" s="36"/>
      <c r="S2606" s="36"/>
    </row>
    <row r="2607" spans="17:19" x14ac:dyDescent="0.3">
      <c r="Q2607" s="36"/>
      <c r="S2607" s="36"/>
    </row>
    <row r="2608" spans="17:19" x14ac:dyDescent="0.3">
      <c r="Q2608" s="36"/>
      <c r="S2608" s="36"/>
    </row>
    <row r="2609" spans="17:19" x14ac:dyDescent="0.3">
      <c r="Q2609" s="36"/>
      <c r="S2609" s="36"/>
    </row>
    <row r="2610" spans="17:19" x14ac:dyDescent="0.3">
      <c r="Q2610" s="36"/>
      <c r="S2610" s="36"/>
    </row>
    <row r="2611" spans="17:19" x14ac:dyDescent="0.3">
      <c r="Q2611" s="36"/>
      <c r="S2611" s="36"/>
    </row>
    <row r="2612" spans="17:19" x14ac:dyDescent="0.3">
      <c r="Q2612" s="36"/>
      <c r="S2612" s="36"/>
    </row>
    <row r="2613" spans="17:19" x14ac:dyDescent="0.3">
      <c r="Q2613" s="36"/>
      <c r="S2613" s="36"/>
    </row>
    <row r="2614" spans="17:19" x14ac:dyDescent="0.3">
      <c r="Q2614" s="36"/>
      <c r="S2614" s="36"/>
    </row>
    <row r="2615" spans="17:19" x14ac:dyDescent="0.3">
      <c r="Q2615" s="36"/>
      <c r="S2615" s="36"/>
    </row>
    <row r="2616" spans="17:19" x14ac:dyDescent="0.3">
      <c r="Q2616" s="36"/>
      <c r="S2616" s="36"/>
    </row>
    <row r="2617" spans="17:19" x14ac:dyDescent="0.3">
      <c r="Q2617" s="36"/>
      <c r="S2617" s="36"/>
    </row>
    <row r="2618" spans="17:19" x14ac:dyDescent="0.3">
      <c r="Q2618" s="36"/>
      <c r="S2618" s="36"/>
    </row>
    <row r="2619" spans="17:19" x14ac:dyDescent="0.3">
      <c r="Q2619" s="36"/>
      <c r="S2619" s="36"/>
    </row>
    <row r="2620" spans="17:19" x14ac:dyDescent="0.3">
      <c r="Q2620" s="36"/>
      <c r="S2620" s="36"/>
    </row>
    <row r="2621" spans="17:19" x14ac:dyDescent="0.3">
      <c r="Q2621" s="36"/>
      <c r="S2621" s="36"/>
    </row>
    <row r="2622" spans="17:19" x14ac:dyDescent="0.3">
      <c r="Q2622" s="36"/>
      <c r="S2622" s="36"/>
    </row>
    <row r="2623" spans="17:19" x14ac:dyDescent="0.3">
      <c r="Q2623" s="36"/>
      <c r="S2623" s="36"/>
    </row>
    <row r="2624" spans="17:19" x14ac:dyDescent="0.3">
      <c r="Q2624" s="36"/>
      <c r="S2624" s="36"/>
    </row>
    <row r="2625" spans="17:19" x14ac:dyDescent="0.3">
      <c r="Q2625" s="36"/>
      <c r="S2625" s="36"/>
    </row>
    <row r="2626" spans="17:19" x14ac:dyDescent="0.3">
      <c r="Q2626" s="36"/>
      <c r="S2626" s="36"/>
    </row>
    <row r="2627" spans="17:19" x14ac:dyDescent="0.3">
      <c r="Q2627" s="36"/>
      <c r="S2627" s="36"/>
    </row>
    <row r="2628" spans="17:19" x14ac:dyDescent="0.3">
      <c r="Q2628" s="36"/>
      <c r="S2628" s="36"/>
    </row>
    <row r="2629" spans="17:19" x14ac:dyDescent="0.3">
      <c r="Q2629" s="36"/>
      <c r="S2629" s="36"/>
    </row>
    <row r="2630" spans="17:19" x14ac:dyDescent="0.3">
      <c r="Q2630" s="36"/>
      <c r="S2630" s="36"/>
    </row>
    <row r="2631" spans="17:19" x14ac:dyDescent="0.3">
      <c r="Q2631" s="36"/>
      <c r="S2631" s="36"/>
    </row>
    <row r="2632" spans="17:19" x14ac:dyDescent="0.3">
      <c r="Q2632" s="36"/>
      <c r="S2632" s="36"/>
    </row>
    <row r="2633" spans="17:19" x14ac:dyDescent="0.3">
      <c r="Q2633" s="36"/>
      <c r="S2633" s="36"/>
    </row>
    <row r="2634" spans="17:19" x14ac:dyDescent="0.3">
      <c r="Q2634" s="36"/>
      <c r="S2634" s="36"/>
    </row>
    <row r="2635" spans="17:19" x14ac:dyDescent="0.3">
      <c r="Q2635" s="36"/>
      <c r="S2635" s="36"/>
    </row>
    <row r="2636" spans="17:19" x14ac:dyDescent="0.3">
      <c r="Q2636" s="36"/>
      <c r="S2636" s="36"/>
    </row>
    <row r="2637" spans="17:19" x14ac:dyDescent="0.3">
      <c r="Q2637" s="36"/>
      <c r="S2637" s="36"/>
    </row>
    <row r="2638" spans="17:19" x14ac:dyDescent="0.3">
      <c r="Q2638" s="36"/>
      <c r="S2638" s="36"/>
    </row>
    <row r="2639" spans="17:19" x14ac:dyDescent="0.3">
      <c r="Q2639" s="36"/>
      <c r="S2639" s="36"/>
    </row>
    <row r="2640" spans="17:19" x14ac:dyDescent="0.3">
      <c r="Q2640" s="36"/>
      <c r="S2640" s="36"/>
    </row>
    <row r="2641" spans="17:19" x14ac:dyDescent="0.3">
      <c r="Q2641" s="36"/>
      <c r="S2641" s="36"/>
    </row>
    <row r="2642" spans="17:19" x14ac:dyDescent="0.3">
      <c r="Q2642" s="36"/>
      <c r="S2642" s="36"/>
    </row>
    <row r="2643" spans="17:19" x14ac:dyDescent="0.3">
      <c r="Q2643" s="36"/>
      <c r="S2643" s="36"/>
    </row>
    <row r="2644" spans="17:19" x14ac:dyDescent="0.3">
      <c r="Q2644" s="36"/>
      <c r="S2644" s="36"/>
    </row>
    <row r="2645" spans="17:19" x14ac:dyDescent="0.3">
      <c r="Q2645" s="36"/>
      <c r="S2645" s="36"/>
    </row>
    <row r="2646" spans="17:19" x14ac:dyDescent="0.3">
      <c r="Q2646" s="36"/>
      <c r="S2646" s="36"/>
    </row>
    <row r="2647" spans="17:19" x14ac:dyDescent="0.3">
      <c r="Q2647" s="36"/>
      <c r="S2647" s="36"/>
    </row>
    <row r="2648" spans="17:19" x14ac:dyDescent="0.3">
      <c r="Q2648" s="36"/>
      <c r="S2648" s="36"/>
    </row>
    <row r="2649" spans="17:19" x14ac:dyDescent="0.3">
      <c r="Q2649" s="36"/>
      <c r="S2649" s="36"/>
    </row>
    <row r="2650" spans="17:19" x14ac:dyDescent="0.3">
      <c r="Q2650" s="36"/>
      <c r="S2650" s="36"/>
    </row>
    <row r="2651" spans="17:19" x14ac:dyDescent="0.3">
      <c r="Q2651" s="36"/>
      <c r="S2651" s="36"/>
    </row>
    <row r="2652" spans="17:19" x14ac:dyDescent="0.3">
      <c r="Q2652" s="36"/>
      <c r="S2652" s="36"/>
    </row>
    <row r="2653" spans="17:19" x14ac:dyDescent="0.3">
      <c r="Q2653" s="36"/>
      <c r="S2653" s="36"/>
    </row>
    <row r="2654" spans="17:19" x14ac:dyDescent="0.3">
      <c r="Q2654" s="36"/>
      <c r="S2654" s="36"/>
    </row>
    <row r="2655" spans="17:19" x14ac:dyDescent="0.3">
      <c r="Q2655" s="36"/>
      <c r="S2655" s="36"/>
    </row>
    <row r="2656" spans="17:19" x14ac:dyDescent="0.3">
      <c r="Q2656" s="36"/>
      <c r="S2656" s="36"/>
    </row>
    <row r="2657" spans="17:19" x14ac:dyDescent="0.3">
      <c r="Q2657" s="36"/>
      <c r="S2657" s="36"/>
    </row>
    <row r="2658" spans="17:19" x14ac:dyDescent="0.3">
      <c r="Q2658" s="36"/>
      <c r="S2658" s="36"/>
    </row>
    <row r="2659" spans="17:19" x14ac:dyDescent="0.3">
      <c r="Q2659" s="36"/>
      <c r="S2659" s="36"/>
    </row>
    <row r="2660" spans="17:19" x14ac:dyDescent="0.3">
      <c r="Q2660" s="36"/>
      <c r="S2660" s="36"/>
    </row>
    <row r="2661" spans="17:19" x14ac:dyDescent="0.3">
      <c r="Q2661" s="36"/>
      <c r="S2661" s="36"/>
    </row>
    <row r="2662" spans="17:19" x14ac:dyDescent="0.3">
      <c r="Q2662" s="36"/>
      <c r="S2662" s="36"/>
    </row>
    <row r="2663" spans="17:19" x14ac:dyDescent="0.3">
      <c r="Q2663" s="36"/>
      <c r="S2663" s="36"/>
    </row>
    <row r="2664" spans="17:19" x14ac:dyDescent="0.3">
      <c r="Q2664" s="36"/>
      <c r="S2664" s="36"/>
    </row>
    <row r="2665" spans="17:19" x14ac:dyDescent="0.3">
      <c r="Q2665" s="36"/>
      <c r="S2665" s="36"/>
    </row>
    <row r="2666" spans="17:19" x14ac:dyDescent="0.3">
      <c r="Q2666" s="36"/>
      <c r="S2666" s="36"/>
    </row>
    <row r="2667" spans="17:19" x14ac:dyDescent="0.3">
      <c r="Q2667" s="36"/>
      <c r="S2667" s="36"/>
    </row>
    <row r="2668" spans="17:19" x14ac:dyDescent="0.3">
      <c r="Q2668" s="36"/>
      <c r="S2668" s="36"/>
    </row>
    <row r="2669" spans="17:19" x14ac:dyDescent="0.3">
      <c r="Q2669" s="36"/>
      <c r="S2669" s="36"/>
    </row>
    <row r="2670" spans="17:19" x14ac:dyDescent="0.3">
      <c r="Q2670" s="36"/>
      <c r="S2670" s="36"/>
    </row>
    <row r="2671" spans="17:19" x14ac:dyDescent="0.3">
      <c r="Q2671" s="36"/>
      <c r="S2671" s="36"/>
    </row>
    <row r="2672" spans="17:19" x14ac:dyDescent="0.3">
      <c r="Q2672" s="36"/>
      <c r="S2672" s="36"/>
    </row>
    <row r="2673" spans="17:19" x14ac:dyDescent="0.3">
      <c r="Q2673" s="36"/>
      <c r="S2673" s="36"/>
    </row>
    <row r="2674" spans="17:19" x14ac:dyDescent="0.3">
      <c r="Q2674" s="36"/>
      <c r="S2674" s="36"/>
    </row>
    <row r="2675" spans="17:19" x14ac:dyDescent="0.3">
      <c r="Q2675" s="36"/>
      <c r="S2675" s="36"/>
    </row>
    <row r="2676" spans="17:19" x14ac:dyDescent="0.3">
      <c r="Q2676" s="36"/>
      <c r="S2676" s="36"/>
    </row>
    <row r="2677" spans="17:19" x14ac:dyDescent="0.3">
      <c r="Q2677" s="36"/>
      <c r="S2677" s="36"/>
    </row>
    <row r="2678" spans="17:19" x14ac:dyDescent="0.3">
      <c r="Q2678" s="36"/>
      <c r="S2678" s="36"/>
    </row>
    <row r="2679" spans="17:19" x14ac:dyDescent="0.3">
      <c r="Q2679" s="36"/>
      <c r="S2679" s="36"/>
    </row>
    <row r="2680" spans="17:19" x14ac:dyDescent="0.3">
      <c r="Q2680" s="36"/>
      <c r="S2680" s="36"/>
    </row>
    <row r="2681" spans="17:19" x14ac:dyDescent="0.3">
      <c r="Q2681" s="36"/>
      <c r="S2681" s="36"/>
    </row>
    <row r="2682" spans="17:19" x14ac:dyDescent="0.3">
      <c r="Q2682" s="36"/>
      <c r="S2682" s="36"/>
    </row>
    <row r="2683" spans="17:19" x14ac:dyDescent="0.3">
      <c r="Q2683" s="36"/>
      <c r="S2683" s="36"/>
    </row>
    <row r="2684" spans="17:19" x14ac:dyDescent="0.3">
      <c r="Q2684" s="36"/>
      <c r="S2684" s="36"/>
    </row>
    <row r="2685" spans="17:19" x14ac:dyDescent="0.3">
      <c r="Q2685" s="36"/>
      <c r="S2685" s="36"/>
    </row>
    <row r="2686" spans="17:19" x14ac:dyDescent="0.3">
      <c r="Q2686" s="36"/>
      <c r="S2686" s="36"/>
    </row>
    <row r="2687" spans="17:19" x14ac:dyDescent="0.3">
      <c r="Q2687" s="36"/>
      <c r="S2687" s="36"/>
    </row>
    <row r="2688" spans="17:19" x14ac:dyDescent="0.3">
      <c r="Q2688" s="36"/>
      <c r="S2688" s="36"/>
    </row>
    <row r="2689" spans="17:19" x14ac:dyDescent="0.3">
      <c r="Q2689" s="36"/>
      <c r="S2689" s="36"/>
    </row>
    <row r="2690" spans="17:19" x14ac:dyDescent="0.3">
      <c r="Q2690" s="36"/>
      <c r="S2690" s="36"/>
    </row>
    <row r="2691" spans="17:19" x14ac:dyDescent="0.3">
      <c r="Q2691" s="36"/>
      <c r="S2691" s="36"/>
    </row>
    <row r="2692" spans="17:19" x14ac:dyDescent="0.3">
      <c r="Q2692" s="36"/>
      <c r="S2692" s="36"/>
    </row>
    <row r="2693" spans="17:19" x14ac:dyDescent="0.3">
      <c r="Q2693" s="36"/>
      <c r="S2693" s="36"/>
    </row>
    <row r="2694" spans="17:19" x14ac:dyDescent="0.3">
      <c r="Q2694" s="36"/>
      <c r="S2694" s="36"/>
    </row>
    <row r="2695" spans="17:19" x14ac:dyDescent="0.3">
      <c r="Q2695" s="36"/>
      <c r="S2695" s="36"/>
    </row>
    <row r="2696" spans="17:19" x14ac:dyDescent="0.3">
      <c r="Q2696" s="36"/>
      <c r="S2696" s="36"/>
    </row>
    <row r="2697" spans="17:19" x14ac:dyDescent="0.3">
      <c r="Q2697" s="36"/>
      <c r="S2697" s="36"/>
    </row>
    <row r="2698" spans="17:19" x14ac:dyDescent="0.3">
      <c r="Q2698" s="36"/>
      <c r="S2698" s="36"/>
    </row>
    <row r="2699" spans="17:19" x14ac:dyDescent="0.3">
      <c r="Q2699" s="36"/>
      <c r="S2699" s="36"/>
    </row>
    <row r="2700" spans="17:19" x14ac:dyDescent="0.3">
      <c r="Q2700" s="36"/>
      <c r="S2700" s="36"/>
    </row>
    <row r="2701" spans="17:19" x14ac:dyDescent="0.3">
      <c r="Q2701" s="36"/>
      <c r="S2701" s="36"/>
    </row>
    <row r="2702" spans="17:19" x14ac:dyDescent="0.3">
      <c r="Q2702" s="36"/>
      <c r="S2702" s="36"/>
    </row>
    <row r="2703" spans="17:19" x14ac:dyDescent="0.3">
      <c r="Q2703" s="36"/>
      <c r="S2703" s="36"/>
    </row>
    <row r="2704" spans="17:19" x14ac:dyDescent="0.3">
      <c r="Q2704" s="36"/>
      <c r="S2704" s="36"/>
    </row>
    <row r="2705" spans="17:19" x14ac:dyDescent="0.3">
      <c r="Q2705" s="36"/>
      <c r="S2705" s="36"/>
    </row>
    <row r="2706" spans="17:19" x14ac:dyDescent="0.3">
      <c r="Q2706" s="36"/>
      <c r="S2706" s="36"/>
    </row>
    <row r="2707" spans="17:19" x14ac:dyDescent="0.3">
      <c r="Q2707" s="36"/>
      <c r="S2707" s="36"/>
    </row>
    <row r="2708" spans="17:19" x14ac:dyDescent="0.3">
      <c r="Q2708" s="36"/>
      <c r="S2708" s="36"/>
    </row>
    <row r="2709" spans="17:19" x14ac:dyDescent="0.3">
      <c r="Q2709" s="36"/>
      <c r="S2709" s="36"/>
    </row>
    <row r="2710" spans="17:19" x14ac:dyDescent="0.3">
      <c r="Q2710" s="36"/>
      <c r="S2710" s="36"/>
    </row>
    <row r="2711" spans="17:19" x14ac:dyDescent="0.3">
      <c r="Q2711" s="36"/>
      <c r="S2711" s="36"/>
    </row>
    <row r="2712" spans="17:19" x14ac:dyDescent="0.3">
      <c r="Q2712" s="36"/>
      <c r="S2712" s="36"/>
    </row>
    <row r="2713" spans="17:19" x14ac:dyDescent="0.3">
      <c r="Q2713" s="36"/>
      <c r="S2713" s="36"/>
    </row>
    <row r="2714" spans="17:19" x14ac:dyDescent="0.3">
      <c r="Q2714" s="36"/>
      <c r="S2714" s="36"/>
    </row>
    <row r="2715" spans="17:19" x14ac:dyDescent="0.3">
      <c r="Q2715" s="36"/>
      <c r="S2715" s="36"/>
    </row>
    <row r="2716" spans="17:19" x14ac:dyDescent="0.3">
      <c r="Q2716" s="36"/>
      <c r="S2716" s="36"/>
    </row>
    <row r="2717" spans="17:19" x14ac:dyDescent="0.3">
      <c r="Q2717" s="36"/>
      <c r="S2717" s="36"/>
    </row>
    <row r="2718" spans="17:19" x14ac:dyDescent="0.3">
      <c r="Q2718" s="36"/>
      <c r="S2718" s="36"/>
    </row>
    <row r="2719" spans="17:19" x14ac:dyDescent="0.3">
      <c r="Q2719" s="36"/>
      <c r="S2719" s="36"/>
    </row>
    <row r="2720" spans="17:19" x14ac:dyDescent="0.3">
      <c r="Q2720" s="36"/>
      <c r="S2720" s="36"/>
    </row>
    <row r="2721" spans="17:19" x14ac:dyDescent="0.3">
      <c r="Q2721" s="36"/>
      <c r="S2721" s="36"/>
    </row>
    <row r="2722" spans="17:19" x14ac:dyDescent="0.3">
      <c r="Q2722" s="36"/>
      <c r="S2722" s="36"/>
    </row>
    <row r="2723" spans="17:19" x14ac:dyDescent="0.3">
      <c r="Q2723" s="36"/>
      <c r="S2723" s="36"/>
    </row>
    <row r="2724" spans="17:19" x14ac:dyDescent="0.3">
      <c r="Q2724" s="36"/>
      <c r="S2724" s="36"/>
    </row>
    <row r="2725" spans="17:19" x14ac:dyDescent="0.3">
      <c r="Q2725" s="36"/>
      <c r="S2725" s="36"/>
    </row>
    <row r="2726" spans="17:19" x14ac:dyDescent="0.3">
      <c r="Q2726" s="36"/>
      <c r="S2726" s="36"/>
    </row>
    <row r="2727" spans="17:19" x14ac:dyDescent="0.3">
      <c r="Q2727" s="36"/>
      <c r="S2727" s="36"/>
    </row>
    <row r="2728" spans="17:19" x14ac:dyDescent="0.3">
      <c r="Q2728" s="36"/>
      <c r="S2728" s="36"/>
    </row>
    <row r="2729" spans="17:19" x14ac:dyDescent="0.3">
      <c r="Q2729" s="36"/>
      <c r="S2729" s="36"/>
    </row>
    <row r="2730" spans="17:19" x14ac:dyDescent="0.3">
      <c r="Q2730" s="36"/>
      <c r="S2730" s="36"/>
    </row>
    <row r="2731" spans="17:19" x14ac:dyDescent="0.3">
      <c r="Q2731" s="36"/>
      <c r="S2731" s="36"/>
    </row>
    <row r="2732" spans="17:19" x14ac:dyDescent="0.3">
      <c r="Q2732" s="36"/>
      <c r="S2732" s="36"/>
    </row>
    <row r="2733" spans="17:19" x14ac:dyDescent="0.3">
      <c r="Q2733" s="36"/>
      <c r="S2733" s="36"/>
    </row>
    <row r="2734" spans="17:19" x14ac:dyDescent="0.3">
      <c r="Q2734" s="36"/>
      <c r="S2734" s="36"/>
    </row>
    <row r="2735" spans="17:19" x14ac:dyDescent="0.3">
      <c r="Q2735" s="36"/>
      <c r="S2735" s="36"/>
    </row>
    <row r="2736" spans="17:19" x14ac:dyDescent="0.3">
      <c r="Q2736" s="36"/>
      <c r="S2736" s="36"/>
    </row>
    <row r="2737" spans="17:19" x14ac:dyDescent="0.3">
      <c r="Q2737" s="36"/>
      <c r="S2737" s="36"/>
    </row>
    <row r="2738" spans="17:19" x14ac:dyDescent="0.3">
      <c r="Q2738" s="36"/>
      <c r="S2738" s="36"/>
    </row>
    <row r="2739" spans="17:19" x14ac:dyDescent="0.3">
      <c r="Q2739" s="36"/>
      <c r="S2739" s="36"/>
    </row>
    <row r="2740" spans="17:19" x14ac:dyDescent="0.3">
      <c r="Q2740" s="36"/>
      <c r="S2740" s="36"/>
    </row>
    <row r="2741" spans="17:19" x14ac:dyDescent="0.3">
      <c r="Q2741" s="36"/>
      <c r="S2741" s="36"/>
    </row>
    <row r="2742" spans="17:19" x14ac:dyDescent="0.3">
      <c r="Q2742" s="36"/>
      <c r="S2742" s="36"/>
    </row>
    <row r="2743" spans="17:19" x14ac:dyDescent="0.3">
      <c r="Q2743" s="36"/>
      <c r="S2743" s="36"/>
    </row>
    <row r="2744" spans="17:19" x14ac:dyDescent="0.3">
      <c r="Q2744" s="36"/>
      <c r="S2744" s="36"/>
    </row>
    <row r="2745" spans="17:19" x14ac:dyDescent="0.3">
      <c r="Q2745" s="36"/>
      <c r="S2745" s="36"/>
    </row>
    <row r="2746" spans="17:19" x14ac:dyDescent="0.3">
      <c r="Q2746" s="36"/>
      <c r="S2746" s="36"/>
    </row>
    <row r="2747" spans="17:19" x14ac:dyDescent="0.3">
      <c r="Q2747" s="36"/>
      <c r="S2747" s="36"/>
    </row>
    <row r="2748" spans="17:19" x14ac:dyDescent="0.3">
      <c r="Q2748" s="36"/>
      <c r="S2748" s="36"/>
    </row>
    <row r="2749" spans="17:19" x14ac:dyDescent="0.3">
      <c r="Q2749" s="36"/>
      <c r="S2749" s="36"/>
    </row>
    <row r="2750" spans="17:19" x14ac:dyDescent="0.3">
      <c r="Q2750" s="36"/>
      <c r="S2750" s="36"/>
    </row>
    <row r="2751" spans="17:19" x14ac:dyDescent="0.3">
      <c r="Q2751" s="36"/>
      <c r="S2751" s="36"/>
    </row>
    <row r="2752" spans="17:19" x14ac:dyDescent="0.3">
      <c r="Q2752" s="36"/>
      <c r="S2752" s="36"/>
    </row>
    <row r="2753" spans="17:19" x14ac:dyDescent="0.3">
      <c r="Q2753" s="36"/>
      <c r="S2753" s="36"/>
    </row>
    <row r="2754" spans="17:19" x14ac:dyDescent="0.3">
      <c r="Q2754" s="36"/>
      <c r="S2754" s="36"/>
    </row>
    <row r="2755" spans="17:19" x14ac:dyDescent="0.3">
      <c r="Q2755" s="36"/>
      <c r="S2755" s="36"/>
    </row>
    <row r="2756" spans="17:19" x14ac:dyDescent="0.3">
      <c r="Q2756" s="36"/>
      <c r="S2756" s="36"/>
    </row>
    <row r="2757" spans="17:19" x14ac:dyDescent="0.3">
      <c r="Q2757" s="36"/>
      <c r="S2757" s="36"/>
    </row>
    <row r="2758" spans="17:19" x14ac:dyDescent="0.3">
      <c r="Q2758" s="36"/>
      <c r="S2758" s="36"/>
    </row>
    <row r="2759" spans="17:19" x14ac:dyDescent="0.3">
      <c r="Q2759" s="36"/>
      <c r="S2759" s="36"/>
    </row>
    <row r="2760" spans="17:19" x14ac:dyDescent="0.3">
      <c r="Q2760" s="36"/>
      <c r="S2760" s="36"/>
    </row>
    <row r="2761" spans="17:19" x14ac:dyDescent="0.3">
      <c r="Q2761" s="36"/>
      <c r="S2761" s="36"/>
    </row>
    <row r="2762" spans="17:19" x14ac:dyDescent="0.3">
      <c r="Q2762" s="36"/>
      <c r="S2762" s="36"/>
    </row>
    <row r="2763" spans="17:19" x14ac:dyDescent="0.3">
      <c r="Q2763" s="36"/>
      <c r="S2763" s="36"/>
    </row>
    <row r="2764" spans="17:19" x14ac:dyDescent="0.3">
      <c r="Q2764" s="36"/>
      <c r="S2764" s="36"/>
    </row>
    <row r="2765" spans="17:19" x14ac:dyDescent="0.3">
      <c r="Q2765" s="36"/>
      <c r="S2765" s="36"/>
    </row>
    <row r="2766" spans="17:19" x14ac:dyDescent="0.3">
      <c r="Q2766" s="36"/>
      <c r="S2766" s="36"/>
    </row>
    <row r="2767" spans="17:19" x14ac:dyDescent="0.3">
      <c r="Q2767" s="36"/>
      <c r="S2767" s="36"/>
    </row>
    <row r="2768" spans="17:19" x14ac:dyDescent="0.3">
      <c r="Q2768" s="36"/>
      <c r="S2768" s="36"/>
    </row>
    <row r="2769" spans="17:19" x14ac:dyDescent="0.3">
      <c r="Q2769" s="36"/>
      <c r="S2769" s="36"/>
    </row>
    <row r="2770" spans="17:19" x14ac:dyDescent="0.3">
      <c r="Q2770" s="36"/>
      <c r="S2770" s="36"/>
    </row>
    <row r="2771" spans="17:19" x14ac:dyDescent="0.3">
      <c r="Q2771" s="36"/>
      <c r="S2771" s="36"/>
    </row>
    <row r="2772" spans="17:19" x14ac:dyDescent="0.3">
      <c r="Q2772" s="36"/>
      <c r="S2772" s="36"/>
    </row>
    <row r="2773" spans="17:19" x14ac:dyDescent="0.3">
      <c r="Q2773" s="36"/>
      <c r="S2773" s="36"/>
    </row>
    <row r="2774" spans="17:19" x14ac:dyDescent="0.3">
      <c r="Q2774" s="36"/>
      <c r="S2774" s="36"/>
    </row>
    <row r="2775" spans="17:19" x14ac:dyDescent="0.3">
      <c r="Q2775" s="36"/>
      <c r="S2775" s="36"/>
    </row>
    <row r="2776" spans="17:19" x14ac:dyDescent="0.3">
      <c r="Q2776" s="36"/>
      <c r="S2776" s="36"/>
    </row>
    <row r="2777" spans="17:19" x14ac:dyDescent="0.3">
      <c r="Q2777" s="36"/>
      <c r="S2777" s="36"/>
    </row>
    <row r="2778" spans="17:19" x14ac:dyDescent="0.3">
      <c r="Q2778" s="36"/>
      <c r="S2778" s="36"/>
    </row>
    <row r="2779" spans="17:19" x14ac:dyDescent="0.3">
      <c r="Q2779" s="36"/>
      <c r="S2779" s="36"/>
    </row>
    <row r="2780" spans="17:19" x14ac:dyDescent="0.3">
      <c r="Q2780" s="36"/>
      <c r="S2780" s="36"/>
    </row>
    <row r="2781" spans="17:19" x14ac:dyDescent="0.3">
      <c r="Q2781" s="36"/>
      <c r="S2781" s="36"/>
    </row>
    <row r="2782" spans="17:19" x14ac:dyDescent="0.3">
      <c r="Q2782" s="36"/>
      <c r="S2782" s="36"/>
    </row>
    <row r="2783" spans="17:19" x14ac:dyDescent="0.3">
      <c r="Q2783" s="36"/>
      <c r="S2783" s="36"/>
    </row>
    <row r="2784" spans="17:19" x14ac:dyDescent="0.3">
      <c r="Q2784" s="36"/>
      <c r="S2784" s="36"/>
    </row>
    <row r="2785" spans="17:19" x14ac:dyDescent="0.3">
      <c r="Q2785" s="36"/>
      <c r="S2785" s="36"/>
    </row>
    <row r="2786" spans="17:19" x14ac:dyDescent="0.3">
      <c r="Q2786" s="36"/>
      <c r="S2786" s="36"/>
    </row>
    <row r="2787" spans="17:19" x14ac:dyDescent="0.3">
      <c r="Q2787" s="36"/>
      <c r="S2787" s="36"/>
    </row>
    <row r="2788" spans="17:19" x14ac:dyDescent="0.3">
      <c r="Q2788" s="36"/>
      <c r="S2788" s="36"/>
    </row>
    <row r="2789" spans="17:19" x14ac:dyDescent="0.3">
      <c r="Q2789" s="36"/>
      <c r="S2789" s="36"/>
    </row>
    <row r="2790" spans="17:19" x14ac:dyDescent="0.3">
      <c r="Q2790" s="36"/>
      <c r="S2790" s="36"/>
    </row>
    <row r="2791" spans="17:19" x14ac:dyDescent="0.3">
      <c r="Q2791" s="36"/>
      <c r="S2791" s="36"/>
    </row>
    <row r="2792" spans="17:19" x14ac:dyDescent="0.3">
      <c r="Q2792" s="36"/>
      <c r="S2792" s="36"/>
    </row>
    <row r="2793" spans="17:19" x14ac:dyDescent="0.3">
      <c r="Q2793" s="36"/>
      <c r="S2793" s="36"/>
    </row>
    <row r="2794" spans="17:19" x14ac:dyDescent="0.3">
      <c r="Q2794" s="36"/>
      <c r="S2794" s="36"/>
    </row>
    <row r="2795" spans="17:19" x14ac:dyDescent="0.3">
      <c r="Q2795" s="36"/>
      <c r="S2795" s="36"/>
    </row>
    <row r="2796" spans="17:19" x14ac:dyDescent="0.3">
      <c r="Q2796" s="36"/>
      <c r="S2796" s="36"/>
    </row>
    <row r="2797" spans="17:19" x14ac:dyDescent="0.3">
      <c r="Q2797" s="36"/>
      <c r="S2797" s="36"/>
    </row>
    <row r="2798" spans="17:19" x14ac:dyDescent="0.3">
      <c r="Q2798" s="36"/>
      <c r="S2798" s="36"/>
    </row>
    <row r="2799" spans="17:19" x14ac:dyDescent="0.3">
      <c r="Q2799" s="36"/>
      <c r="S2799" s="36"/>
    </row>
    <row r="2800" spans="17:19" x14ac:dyDescent="0.3">
      <c r="Q2800" s="36"/>
      <c r="S2800" s="36"/>
    </row>
    <row r="2801" spans="17:19" x14ac:dyDescent="0.3">
      <c r="Q2801" s="36"/>
      <c r="S2801" s="36"/>
    </row>
    <row r="2802" spans="17:19" x14ac:dyDescent="0.3">
      <c r="Q2802" s="36"/>
      <c r="S2802" s="36"/>
    </row>
    <row r="2803" spans="17:19" x14ac:dyDescent="0.3">
      <c r="Q2803" s="36"/>
      <c r="S2803" s="36"/>
    </row>
    <row r="2804" spans="17:19" x14ac:dyDescent="0.3">
      <c r="Q2804" s="36"/>
      <c r="S2804" s="36"/>
    </row>
    <row r="2805" spans="17:19" x14ac:dyDescent="0.3">
      <c r="Q2805" s="36"/>
      <c r="S2805" s="36"/>
    </row>
    <row r="2806" spans="17:19" x14ac:dyDescent="0.3">
      <c r="Q2806" s="36"/>
      <c r="S2806" s="36"/>
    </row>
    <row r="2807" spans="17:19" x14ac:dyDescent="0.3">
      <c r="Q2807" s="36"/>
      <c r="S2807" s="36"/>
    </row>
    <row r="2808" spans="17:19" x14ac:dyDescent="0.3">
      <c r="Q2808" s="36"/>
      <c r="S2808" s="36"/>
    </row>
    <row r="2809" spans="17:19" x14ac:dyDescent="0.3">
      <c r="Q2809" s="36"/>
      <c r="S2809" s="36"/>
    </row>
    <row r="2810" spans="17:19" x14ac:dyDescent="0.3">
      <c r="Q2810" s="36"/>
      <c r="S2810" s="36"/>
    </row>
    <row r="2811" spans="17:19" x14ac:dyDescent="0.3">
      <c r="Q2811" s="36"/>
      <c r="S2811" s="36"/>
    </row>
    <row r="2812" spans="17:19" x14ac:dyDescent="0.3">
      <c r="Q2812" s="36"/>
      <c r="S2812" s="36"/>
    </row>
    <row r="2813" spans="17:19" x14ac:dyDescent="0.3">
      <c r="Q2813" s="36"/>
      <c r="S2813" s="36"/>
    </row>
    <row r="2814" spans="17:19" x14ac:dyDescent="0.3">
      <c r="Q2814" s="36"/>
      <c r="S2814" s="36"/>
    </row>
    <row r="2815" spans="17:19" x14ac:dyDescent="0.3">
      <c r="Q2815" s="36"/>
      <c r="S2815" s="36"/>
    </row>
    <row r="2816" spans="17:19" x14ac:dyDescent="0.3">
      <c r="Q2816" s="36"/>
      <c r="S2816" s="36"/>
    </row>
    <row r="2817" spans="17:19" x14ac:dyDescent="0.3">
      <c r="Q2817" s="36"/>
      <c r="S2817" s="36"/>
    </row>
    <row r="2818" spans="17:19" x14ac:dyDescent="0.3">
      <c r="Q2818" s="36"/>
      <c r="S2818" s="36"/>
    </row>
    <row r="2819" spans="17:19" x14ac:dyDescent="0.3">
      <c r="Q2819" s="36"/>
      <c r="S2819" s="36"/>
    </row>
    <row r="2820" spans="17:19" x14ac:dyDescent="0.3">
      <c r="Q2820" s="36"/>
      <c r="S2820" s="36"/>
    </row>
    <row r="2821" spans="17:19" x14ac:dyDescent="0.3">
      <c r="Q2821" s="36"/>
      <c r="S2821" s="36"/>
    </row>
    <row r="2822" spans="17:19" x14ac:dyDescent="0.3">
      <c r="Q2822" s="36"/>
      <c r="S2822" s="36"/>
    </row>
    <row r="2823" spans="17:19" x14ac:dyDescent="0.3">
      <c r="Q2823" s="36"/>
      <c r="S2823" s="36"/>
    </row>
    <row r="2824" spans="17:19" x14ac:dyDescent="0.3">
      <c r="Q2824" s="36"/>
      <c r="S2824" s="36"/>
    </row>
    <row r="2825" spans="17:19" x14ac:dyDescent="0.3">
      <c r="Q2825" s="36"/>
      <c r="S2825" s="36"/>
    </row>
    <row r="2826" spans="17:19" x14ac:dyDescent="0.3">
      <c r="Q2826" s="36"/>
      <c r="S2826" s="36"/>
    </row>
    <row r="2827" spans="17:19" x14ac:dyDescent="0.3">
      <c r="Q2827" s="36"/>
      <c r="S2827" s="36"/>
    </row>
    <row r="2828" spans="17:19" x14ac:dyDescent="0.3">
      <c r="Q2828" s="36"/>
      <c r="S2828" s="36"/>
    </row>
    <row r="2829" spans="17:19" x14ac:dyDescent="0.3">
      <c r="Q2829" s="36"/>
      <c r="S2829" s="36"/>
    </row>
    <row r="2830" spans="17:19" x14ac:dyDescent="0.3">
      <c r="Q2830" s="36"/>
      <c r="S2830" s="36"/>
    </row>
    <row r="2831" spans="17:19" x14ac:dyDescent="0.3">
      <c r="Q2831" s="36"/>
      <c r="S2831" s="36"/>
    </row>
    <row r="2832" spans="17:19" x14ac:dyDescent="0.3">
      <c r="Q2832" s="36"/>
      <c r="S2832" s="36"/>
    </row>
    <row r="2833" spans="17:19" x14ac:dyDescent="0.3">
      <c r="Q2833" s="36"/>
      <c r="S2833" s="36"/>
    </row>
    <row r="2834" spans="17:19" x14ac:dyDescent="0.3">
      <c r="Q2834" s="36"/>
      <c r="S2834" s="36"/>
    </row>
    <row r="2835" spans="17:19" x14ac:dyDescent="0.3">
      <c r="Q2835" s="36"/>
      <c r="S2835" s="36"/>
    </row>
    <row r="2836" spans="17:19" x14ac:dyDescent="0.3">
      <c r="Q2836" s="36"/>
      <c r="S2836" s="36"/>
    </row>
    <row r="2837" spans="17:19" x14ac:dyDescent="0.3">
      <c r="Q2837" s="36"/>
      <c r="S2837" s="36"/>
    </row>
    <row r="2838" spans="17:19" x14ac:dyDescent="0.3">
      <c r="Q2838" s="36"/>
      <c r="S2838" s="36"/>
    </row>
    <row r="2839" spans="17:19" x14ac:dyDescent="0.3">
      <c r="Q2839" s="36"/>
      <c r="S2839" s="36"/>
    </row>
    <row r="2840" spans="17:19" x14ac:dyDescent="0.3">
      <c r="Q2840" s="36"/>
      <c r="S2840" s="36"/>
    </row>
    <row r="2841" spans="17:19" x14ac:dyDescent="0.3">
      <c r="Q2841" s="36"/>
      <c r="S2841" s="36"/>
    </row>
    <row r="2842" spans="17:19" x14ac:dyDescent="0.3">
      <c r="Q2842" s="36"/>
      <c r="S2842" s="36"/>
    </row>
    <row r="2843" spans="17:19" x14ac:dyDescent="0.3">
      <c r="Q2843" s="36"/>
      <c r="S2843" s="36"/>
    </row>
    <row r="2844" spans="17:19" x14ac:dyDescent="0.3">
      <c r="Q2844" s="36"/>
      <c r="S2844" s="36"/>
    </row>
    <row r="2845" spans="17:19" x14ac:dyDescent="0.3">
      <c r="Q2845" s="36"/>
      <c r="S2845" s="36"/>
    </row>
    <row r="2846" spans="17:19" x14ac:dyDescent="0.3">
      <c r="Q2846" s="36"/>
      <c r="S2846" s="36"/>
    </row>
    <row r="2847" spans="17:19" x14ac:dyDescent="0.3">
      <c r="Q2847" s="36"/>
      <c r="S2847" s="36"/>
    </row>
    <row r="2848" spans="17:19" x14ac:dyDescent="0.3">
      <c r="Q2848" s="36"/>
      <c r="S2848" s="36"/>
    </row>
    <row r="2849" spans="17:19" x14ac:dyDescent="0.3">
      <c r="Q2849" s="36"/>
      <c r="S2849" s="36"/>
    </row>
    <row r="2850" spans="17:19" x14ac:dyDescent="0.3">
      <c r="Q2850" s="36"/>
      <c r="S2850" s="36"/>
    </row>
    <row r="2851" spans="17:19" x14ac:dyDescent="0.3">
      <c r="Q2851" s="36"/>
      <c r="S2851" s="36"/>
    </row>
    <row r="2852" spans="17:19" x14ac:dyDescent="0.3">
      <c r="Q2852" s="36"/>
      <c r="S2852" s="36"/>
    </row>
    <row r="2853" spans="17:19" x14ac:dyDescent="0.3">
      <c r="Q2853" s="36"/>
      <c r="S2853" s="36"/>
    </row>
    <row r="2854" spans="17:19" x14ac:dyDescent="0.3">
      <c r="Q2854" s="36"/>
      <c r="S2854" s="36"/>
    </row>
    <row r="2855" spans="17:19" x14ac:dyDescent="0.3">
      <c r="Q2855" s="36"/>
      <c r="S2855" s="36"/>
    </row>
    <row r="2856" spans="17:19" x14ac:dyDescent="0.3">
      <c r="Q2856" s="36"/>
      <c r="S2856" s="36"/>
    </row>
    <row r="2857" spans="17:19" x14ac:dyDescent="0.3">
      <c r="Q2857" s="36"/>
      <c r="S2857" s="36"/>
    </row>
    <row r="2858" spans="17:19" x14ac:dyDescent="0.3">
      <c r="Q2858" s="36"/>
      <c r="S2858" s="36"/>
    </row>
    <row r="2859" spans="17:19" x14ac:dyDescent="0.3">
      <c r="Q2859" s="36"/>
      <c r="S2859" s="36"/>
    </row>
    <row r="2860" spans="17:19" x14ac:dyDescent="0.3">
      <c r="Q2860" s="36"/>
      <c r="S2860" s="36"/>
    </row>
    <row r="2861" spans="17:19" x14ac:dyDescent="0.3">
      <c r="Q2861" s="36"/>
      <c r="S2861" s="36"/>
    </row>
    <row r="2862" spans="17:19" x14ac:dyDescent="0.3">
      <c r="Q2862" s="36"/>
      <c r="S2862" s="36"/>
    </row>
    <row r="2863" spans="17:19" x14ac:dyDescent="0.3">
      <c r="Q2863" s="36"/>
      <c r="S2863" s="36"/>
    </row>
    <row r="2864" spans="17:19" x14ac:dyDescent="0.3">
      <c r="Q2864" s="36"/>
      <c r="S2864" s="36"/>
    </row>
    <row r="2865" spans="17:19" x14ac:dyDescent="0.3">
      <c r="Q2865" s="36"/>
      <c r="S2865" s="36"/>
    </row>
    <row r="2866" spans="17:19" x14ac:dyDescent="0.3">
      <c r="Q2866" s="36"/>
      <c r="S2866" s="36"/>
    </row>
    <row r="2867" spans="17:19" x14ac:dyDescent="0.3">
      <c r="Q2867" s="36"/>
      <c r="S2867" s="36"/>
    </row>
    <row r="2868" spans="17:19" x14ac:dyDescent="0.3">
      <c r="Q2868" s="36"/>
      <c r="S2868" s="36"/>
    </row>
    <row r="2869" spans="17:19" x14ac:dyDescent="0.3">
      <c r="Q2869" s="36"/>
      <c r="S2869" s="36"/>
    </row>
    <row r="2870" spans="17:19" x14ac:dyDescent="0.3">
      <c r="Q2870" s="36"/>
      <c r="S2870" s="36"/>
    </row>
    <row r="2871" spans="17:19" x14ac:dyDescent="0.3">
      <c r="Q2871" s="36"/>
      <c r="S2871" s="36"/>
    </row>
    <row r="2872" spans="17:19" x14ac:dyDescent="0.3">
      <c r="Q2872" s="36"/>
      <c r="S2872" s="36"/>
    </row>
    <row r="2873" spans="17:19" x14ac:dyDescent="0.3">
      <c r="Q2873" s="36"/>
      <c r="S2873" s="36"/>
    </row>
    <row r="2874" spans="17:19" x14ac:dyDescent="0.3">
      <c r="Q2874" s="36"/>
      <c r="S2874" s="36"/>
    </row>
    <row r="2875" spans="17:19" x14ac:dyDescent="0.3">
      <c r="Q2875" s="36"/>
      <c r="S2875" s="36"/>
    </row>
    <row r="2876" spans="17:19" x14ac:dyDescent="0.3">
      <c r="Q2876" s="36"/>
      <c r="S2876" s="36"/>
    </row>
    <row r="2877" spans="17:19" x14ac:dyDescent="0.3">
      <c r="Q2877" s="36"/>
      <c r="S2877" s="36"/>
    </row>
    <row r="2878" spans="17:19" x14ac:dyDescent="0.3">
      <c r="Q2878" s="36"/>
      <c r="S2878" s="36"/>
    </row>
    <row r="2879" spans="17:19" x14ac:dyDescent="0.3">
      <c r="Q2879" s="36"/>
      <c r="S2879" s="36"/>
    </row>
    <row r="2880" spans="17:19" x14ac:dyDescent="0.3">
      <c r="Q2880" s="36"/>
      <c r="S2880" s="36"/>
    </row>
    <row r="2881" spans="17:19" x14ac:dyDescent="0.3">
      <c r="Q2881" s="36"/>
      <c r="S2881" s="36"/>
    </row>
    <row r="2882" spans="17:19" x14ac:dyDescent="0.3">
      <c r="Q2882" s="36"/>
      <c r="S2882" s="36"/>
    </row>
    <row r="2883" spans="17:19" x14ac:dyDescent="0.3">
      <c r="Q2883" s="36"/>
      <c r="S2883" s="36"/>
    </row>
    <row r="2884" spans="17:19" x14ac:dyDescent="0.3">
      <c r="Q2884" s="36"/>
      <c r="S2884" s="36"/>
    </row>
    <row r="2885" spans="17:19" x14ac:dyDescent="0.3">
      <c r="Q2885" s="36"/>
      <c r="S2885" s="36"/>
    </row>
    <row r="2886" spans="17:19" x14ac:dyDescent="0.3">
      <c r="Q2886" s="36"/>
      <c r="S2886" s="36"/>
    </row>
    <row r="2887" spans="17:19" x14ac:dyDescent="0.3">
      <c r="Q2887" s="36"/>
      <c r="S2887" s="36"/>
    </row>
    <row r="2888" spans="17:19" x14ac:dyDescent="0.3">
      <c r="Q2888" s="36"/>
      <c r="S2888" s="36"/>
    </row>
    <row r="2889" spans="17:19" x14ac:dyDescent="0.3">
      <c r="Q2889" s="36"/>
      <c r="S2889" s="36"/>
    </row>
    <row r="2890" spans="17:19" x14ac:dyDescent="0.3">
      <c r="Q2890" s="36"/>
      <c r="S2890" s="36"/>
    </row>
    <row r="2891" spans="17:19" x14ac:dyDescent="0.3">
      <c r="Q2891" s="36"/>
      <c r="S2891" s="36"/>
    </row>
    <row r="2892" spans="17:19" x14ac:dyDescent="0.3">
      <c r="Q2892" s="36"/>
      <c r="S2892" s="36"/>
    </row>
    <row r="2893" spans="17:19" x14ac:dyDescent="0.3">
      <c r="Q2893" s="36"/>
      <c r="S2893" s="36"/>
    </row>
    <row r="2894" spans="17:19" x14ac:dyDescent="0.3">
      <c r="Q2894" s="36"/>
      <c r="S2894" s="36"/>
    </row>
    <row r="2895" spans="17:19" x14ac:dyDescent="0.3">
      <c r="Q2895" s="36"/>
      <c r="S2895" s="36"/>
    </row>
    <row r="2896" spans="17:19" x14ac:dyDescent="0.3">
      <c r="Q2896" s="36"/>
      <c r="S2896" s="36"/>
    </row>
    <row r="2897" spans="17:19" x14ac:dyDescent="0.3">
      <c r="Q2897" s="36"/>
      <c r="S2897" s="36"/>
    </row>
    <row r="2898" spans="17:19" x14ac:dyDescent="0.3">
      <c r="Q2898" s="36"/>
      <c r="S2898" s="36"/>
    </row>
    <row r="2899" spans="17:19" x14ac:dyDescent="0.3">
      <c r="Q2899" s="36"/>
      <c r="S2899" s="36"/>
    </row>
    <row r="2900" spans="17:19" x14ac:dyDescent="0.3">
      <c r="Q2900" s="36"/>
      <c r="S2900" s="36"/>
    </row>
    <row r="2901" spans="17:19" x14ac:dyDescent="0.3">
      <c r="Q2901" s="36"/>
      <c r="S2901" s="36"/>
    </row>
    <row r="2902" spans="17:19" x14ac:dyDescent="0.3">
      <c r="Q2902" s="36"/>
      <c r="S2902" s="36"/>
    </row>
    <row r="2903" spans="17:19" x14ac:dyDescent="0.3">
      <c r="Q2903" s="36"/>
      <c r="S2903" s="36"/>
    </row>
    <row r="2904" spans="17:19" x14ac:dyDescent="0.3">
      <c r="Q2904" s="36"/>
      <c r="S2904" s="36"/>
    </row>
    <row r="2905" spans="17:19" x14ac:dyDescent="0.3">
      <c r="Q2905" s="36"/>
      <c r="S2905" s="36"/>
    </row>
    <row r="2906" spans="17:19" x14ac:dyDescent="0.3">
      <c r="Q2906" s="36"/>
      <c r="S2906" s="36"/>
    </row>
    <row r="2907" spans="17:19" x14ac:dyDescent="0.3">
      <c r="Q2907" s="36"/>
      <c r="S2907" s="36"/>
    </row>
    <row r="2908" spans="17:19" x14ac:dyDescent="0.3">
      <c r="Q2908" s="36"/>
      <c r="S2908" s="36"/>
    </row>
    <row r="2909" spans="17:19" x14ac:dyDescent="0.3">
      <c r="Q2909" s="36"/>
      <c r="S2909" s="36"/>
    </row>
    <row r="2910" spans="17:19" x14ac:dyDescent="0.3">
      <c r="Q2910" s="36"/>
      <c r="S2910" s="36"/>
    </row>
    <row r="2911" spans="17:19" x14ac:dyDescent="0.3">
      <c r="Q2911" s="36"/>
      <c r="S2911" s="36"/>
    </row>
    <row r="2912" spans="17:19" x14ac:dyDescent="0.3">
      <c r="Q2912" s="36"/>
      <c r="S2912" s="36"/>
    </row>
    <row r="2913" spans="17:19" x14ac:dyDescent="0.3">
      <c r="Q2913" s="36"/>
      <c r="S2913" s="36"/>
    </row>
    <row r="2914" spans="17:19" x14ac:dyDescent="0.3">
      <c r="Q2914" s="36"/>
      <c r="S2914" s="36"/>
    </row>
    <row r="2915" spans="17:19" x14ac:dyDescent="0.3">
      <c r="Q2915" s="36"/>
      <c r="S2915" s="36"/>
    </row>
    <row r="2916" spans="17:19" x14ac:dyDescent="0.3">
      <c r="Q2916" s="36"/>
      <c r="S2916" s="36"/>
    </row>
    <row r="2917" spans="17:19" x14ac:dyDescent="0.3">
      <c r="Q2917" s="36"/>
      <c r="S2917" s="36"/>
    </row>
    <row r="2918" spans="17:19" x14ac:dyDescent="0.3">
      <c r="Q2918" s="36"/>
      <c r="S2918" s="36"/>
    </row>
    <row r="2919" spans="17:19" x14ac:dyDescent="0.3">
      <c r="Q2919" s="36"/>
      <c r="S2919" s="36"/>
    </row>
    <row r="2920" spans="17:19" x14ac:dyDescent="0.3">
      <c r="Q2920" s="36"/>
      <c r="S2920" s="36"/>
    </row>
    <row r="2921" spans="17:19" x14ac:dyDescent="0.3">
      <c r="Q2921" s="36"/>
      <c r="S2921" s="36"/>
    </row>
    <row r="2922" spans="17:19" x14ac:dyDescent="0.3">
      <c r="Q2922" s="36"/>
      <c r="S2922" s="36"/>
    </row>
    <row r="2923" spans="17:19" x14ac:dyDescent="0.3">
      <c r="Q2923" s="36"/>
      <c r="S2923" s="36"/>
    </row>
    <row r="2924" spans="17:19" x14ac:dyDescent="0.3">
      <c r="Q2924" s="36"/>
      <c r="S2924" s="36"/>
    </row>
    <row r="2925" spans="17:19" x14ac:dyDescent="0.3">
      <c r="Q2925" s="36"/>
      <c r="S2925" s="36"/>
    </row>
    <row r="2926" spans="17:19" x14ac:dyDescent="0.3">
      <c r="Q2926" s="36"/>
      <c r="S2926" s="36"/>
    </row>
    <row r="2927" spans="17:19" x14ac:dyDescent="0.3">
      <c r="Q2927" s="36"/>
      <c r="S2927" s="36"/>
    </row>
    <row r="2928" spans="17:19" x14ac:dyDescent="0.3">
      <c r="Q2928" s="36"/>
      <c r="S2928" s="36"/>
    </row>
    <row r="2929" spans="17:19" x14ac:dyDescent="0.3">
      <c r="Q2929" s="36"/>
      <c r="S2929" s="36"/>
    </row>
    <row r="2930" spans="17:19" x14ac:dyDescent="0.3">
      <c r="Q2930" s="36"/>
      <c r="S2930" s="36"/>
    </row>
    <row r="2931" spans="17:19" x14ac:dyDescent="0.3">
      <c r="Q2931" s="36"/>
      <c r="S2931" s="36"/>
    </row>
    <row r="2932" spans="17:19" x14ac:dyDescent="0.3">
      <c r="Q2932" s="36"/>
      <c r="S2932" s="36"/>
    </row>
    <row r="2933" spans="17:19" x14ac:dyDescent="0.3">
      <c r="Q2933" s="36"/>
      <c r="S2933" s="36"/>
    </row>
    <row r="2934" spans="17:19" x14ac:dyDescent="0.3">
      <c r="Q2934" s="36"/>
      <c r="S2934" s="36"/>
    </row>
    <row r="2935" spans="17:19" x14ac:dyDescent="0.3">
      <c r="Q2935" s="36"/>
      <c r="S2935" s="36"/>
    </row>
    <row r="2936" spans="17:19" x14ac:dyDescent="0.3">
      <c r="Q2936" s="36"/>
      <c r="S2936" s="36"/>
    </row>
    <row r="2937" spans="17:19" x14ac:dyDescent="0.3">
      <c r="Q2937" s="36"/>
      <c r="S2937" s="36"/>
    </row>
    <row r="2938" spans="17:19" x14ac:dyDescent="0.3">
      <c r="S2938" s="36"/>
    </row>
    <row r="2939" spans="17:19" x14ac:dyDescent="0.3">
      <c r="S2939" s="36"/>
    </row>
    <row r="2940" spans="17:19" x14ac:dyDescent="0.3">
      <c r="S2940" s="36"/>
    </row>
    <row r="2941" spans="17:19" x14ac:dyDescent="0.3">
      <c r="S2941" s="36"/>
    </row>
    <row r="2942" spans="17:19" x14ac:dyDescent="0.3">
      <c r="S2942" s="36"/>
    </row>
    <row r="2943" spans="17:19" x14ac:dyDescent="0.3">
      <c r="S2943" s="36"/>
    </row>
    <row r="2944" spans="17:19" x14ac:dyDescent="0.3">
      <c r="S2944" s="36"/>
    </row>
    <row r="2945" spans="19:19" x14ac:dyDescent="0.3">
      <c r="S2945" s="36"/>
    </row>
    <row r="2946" spans="19:19" x14ac:dyDescent="0.3">
      <c r="S2946" s="36"/>
    </row>
    <row r="2947" spans="19:19" x14ac:dyDescent="0.3">
      <c r="S2947" s="36"/>
    </row>
    <row r="2948" spans="19:19" x14ac:dyDescent="0.3">
      <c r="S2948" s="36"/>
    </row>
    <row r="2949" spans="19:19" x14ac:dyDescent="0.3">
      <c r="S2949" s="36"/>
    </row>
    <row r="2950" spans="19:19" x14ac:dyDescent="0.3">
      <c r="S2950" s="36"/>
    </row>
    <row r="2951" spans="19:19" x14ac:dyDescent="0.3">
      <c r="S2951" s="36"/>
    </row>
    <row r="2952" spans="19:19" x14ac:dyDescent="0.3">
      <c r="S2952" s="36"/>
    </row>
    <row r="2953" spans="19:19" x14ac:dyDescent="0.3">
      <c r="S2953" s="36"/>
    </row>
    <row r="2954" spans="19:19" x14ac:dyDescent="0.3">
      <c r="S2954" s="36"/>
    </row>
    <row r="2955" spans="19:19" x14ac:dyDescent="0.3">
      <c r="S2955" s="36"/>
    </row>
    <row r="2956" spans="19:19" x14ac:dyDescent="0.3">
      <c r="S2956" s="36"/>
    </row>
    <row r="2957" spans="19:19" x14ac:dyDescent="0.3">
      <c r="S2957" s="36"/>
    </row>
    <row r="2958" spans="19:19" x14ac:dyDescent="0.3">
      <c r="S2958" s="36"/>
    </row>
    <row r="2959" spans="19:19" x14ac:dyDescent="0.3">
      <c r="S2959" s="36"/>
    </row>
    <row r="2960" spans="19:19" x14ac:dyDescent="0.3">
      <c r="S2960" s="36"/>
    </row>
    <row r="2961" spans="19:19" x14ac:dyDescent="0.3">
      <c r="S2961" s="36"/>
    </row>
    <row r="2962" spans="19:19" x14ac:dyDescent="0.3">
      <c r="S2962" s="36"/>
    </row>
    <row r="2963" spans="19:19" x14ac:dyDescent="0.3">
      <c r="S2963" s="36"/>
    </row>
    <row r="2964" spans="19:19" x14ac:dyDescent="0.3">
      <c r="S2964" s="36"/>
    </row>
    <row r="2965" spans="19:19" x14ac:dyDescent="0.3">
      <c r="S2965" s="36"/>
    </row>
    <row r="2966" spans="19:19" x14ac:dyDescent="0.3">
      <c r="S2966" s="36"/>
    </row>
    <row r="2967" spans="19:19" x14ac:dyDescent="0.3">
      <c r="S2967" s="36"/>
    </row>
    <row r="2968" spans="19:19" x14ac:dyDescent="0.3">
      <c r="S2968" s="36"/>
    </row>
    <row r="2969" spans="19:19" x14ac:dyDescent="0.3">
      <c r="S2969" s="36"/>
    </row>
    <row r="2970" spans="19:19" x14ac:dyDescent="0.3">
      <c r="S2970" s="36"/>
    </row>
    <row r="2971" spans="19:19" x14ac:dyDescent="0.3">
      <c r="S2971" s="36"/>
    </row>
    <row r="2972" spans="19:19" x14ac:dyDescent="0.3">
      <c r="S2972" s="36"/>
    </row>
    <row r="2973" spans="19:19" x14ac:dyDescent="0.3">
      <c r="S2973" s="36"/>
    </row>
    <row r="2974" spans="19:19" x14ac:dyDescent="0.3">
      <c r="S2974" s="36"/>
    </row>
    <row r="2975" spans="19:19" x14ac:dyDescent="0.3">
      <c r="S2975" s="36"/>
    </row>
    <row r="2976" spans="19:19" x14ac:dyDescent="0.3">
      <c r="S2976" s="36"/>
    </row>
    <row r="2977" spans="19:19" x14ac:dyDescent="0.3">
      <c r="S2977" s="36"/>
    </row>
    <row r="2978" spans="19:19" x14ac:dyDescent="0.3">
      <c r="S2978" s="36"/>
    </row>
    <row r="2979" spans="19:19" x14ac:dyDescent="0.3">
      <c r="S2979" s="36"/>
    </row>
    <row r="2980" spans="19:19" x14ac:dyDescent="0.3">
      <c r="S2980" s="36"/>
    </row>
    <row r="2981" spans="19:19" x14ac:dyDescent="0.3">
      <c r="S2981" s="36"/>
    </row>
    <row r="2982" spans="19:19" x14ac:dyDescent="0.3">
      <c r="S2982" s="36"/>
    </row>
    <row r="2983" spans="19:19" x14ac:dyDescent="0.3">
      <c r="S2983" s="36"/>
    </row>
    <row r="2984" spans="19:19" x14ac:dyDescent="0.3">
      <c r="S2984" s="36"/>
    </row>
    <row r="2985" spans="19:19" x14ac:dyDescent="0.3">
      <c r="S2985" s="36"/>
    </row>
    <row r="2986" spans="19:19" x14ac:dyDescent="0.3">
      <c r="S2986" s="36"/>
    </row>
    <row r="2987" spans="19:19" x14ac:dyDescent="0.3">
      <c r="S2987" s="36"/>
    </row>
    <row r="2988" spans="19:19" x14ac:dyDescent="0.3">
      <c r="S2988" s="36"/>
    </row>
    <row r="2989" spans="19:19" x14ac:dyDescent="0.3">
      <c r="S2989" s="36"/>
    </row>
    <row r="2990" spans="19:19" x14ac:dyDescent="0.3">
      <c r="S2990" s="36"/>
    </row>
    <row r="2991" spans="19:19" x14ac:dyDescent="0.3">
      <c r="S2991" s="36"/>
    </row>
    <row r="2992" spans="19:19" x14ac:dyDescent="0.3">
      <c r="S2992" s="36"/>
    </row>
    <row r="2993" spans="19:19" x14ac:dyDescent="0.3">
      <c r="S2993" s="36"/>
    </row>
    <row r="2994" spans="19:19" x14ac:dyDescent="0.3">
      <c r="S2994" s="36"/>
    </row>
    <row r="2995" spans="19:19" x14ac:dyDescent="0.3">
      <c r="S2995" s="36"/>
    </row>
    <row r="2996" spans="19:19" x14ac:dyDescent="0.3">
      <c r="S2996" s="36"/>
    </row>
    <row r="2997" spans="19:19" x14ac:dyDescent="0.3">
      <c r="S2997" s="36"/>
    </row>
    <row r="2998" spans="19:19" x14ac:dyDescent="0.3">
      <c r="S2998" s="36"/>
    </row>
    <row r="2999" spans="19:19" x14ac:dyDescent="0.3">
      <c r="S2999" s="36"/>
    </row>
    <row r="3000" spans="19:19" x14ac:dyDescent="0.3">
      <c r="S3000" s="36"/>
    </row>
    <row r="3001" spans="19:19" x14ac:dyDescent="0.3">
      <c r="S3001" s="36"/>
    </row>
    <row r="3002" spans="19:19" x14ac:dyDescent="0.3">
      <c r="S3002" s="36"/>
    </row>
    <row r="3003" spans="19:19" x14ac:dyDescent="0.3">
      <c r="S3003" s="36"/>
    </row>
    <row r="3004" spans="19:19" x14ac:dyDescent="0.3">
      <c r="S3004" s="36"/>
    </row>
    <row r="3005" spans="19:19" x14ac:dyDescent="0.3">
      <c r="S3005" s="36"/>
    </row>
    <row r="3006" spans="19:19" x14ac:dyDescent="0.3">
      <c r="S3006" s="36"/>
    </row>
    <row r="3007" spans="19:19" x14ac:dyDescent="0.3">
      <c r="S3007" s="36"/>
    </row>
    <row r="3008" spans="19:19" x14ac:dyDescent="0.3">
      <c r="S3008" s="36"/>
    </row>
    <row r="3009" spans="19:19" x14ac:dyDescent="0.3">
      <c r="S3009" s="36"/>
    </row>
    <row r="3010" spans="19:19" x14ac:dyDescent="0.3">
      <c r="S3010" s="36"/>
    </row>
    <row r="3011" spans="19:19" x14ac:dyDescent="0.3">
      <c r="S3011" s="36"/>
    </row>
    <row r="3012" spans="19:19" x14ac:dyDescent="0.3">
      <c r="S3012" s="36"/>
    </row>
    <row r="3013" spans="19:19" x14ac:dyDescent="0.3">
      <c r="S3013" s="36"/>
    </row>
    <row r="3014" spans="19:19" x14ac:dyDescent="0.3">
      <c r="S3014" s="36"/>
    </row>
    <row r="3015" spans="19:19" x14ac:dyDescent="0.3">
      <c r="S3015" s="36"/>
    </row>
    <row r="3016" spans="19:19" x14ac:dyDescent="0.3">
      <c r="S3016" s="36"/>
    </row>
    <row r="3017" spans="19:19" x14ac:dyDescent="0.3">
      <c r="S3017" s="36"/>
    </row>
    <row r="3018" spans="19:19" x14ac:dyDescent="0.3">
      <c r="S3018" s="36"/>
    </row>
    <row r="3019" spans="19:19" x14ac:dyDescent="0.3">
      <c r="S3019" s="36"/>
    </row>
    <row r="3020" spans="19:19" x14ac:dyDescent="0.3">
      <c r="S3020" s="36"/>
    </row>
    <row r="3021" spans="19:19" x14ac:dyDescent="0.3">
      <c r="S3021" s="36"/>
    </row>
    <row r="3022" spans="19:19" x14ac:dyDescent="0.3">
      <c r="S3022" s="36"/>
    </row>
    <row r="3023" spans="19:19" x14ac:dyDescent="0.3">
      <c r="S3023" s="36"/>
    </row>
    <row r="3024" spans="19:19" x14ac:dyDescent="0.3">
      <c r="S3024" s="36"/>
    </row>
    <row r="3025" spans="19:19" x14ac:dyDescent="0.3">
      <c r="S3025" s="36"/>
    </row>
    <row r="3026" spans="19:19" x14ac:dyDescent="0.3">
      <c r="S3026" s="36"/>
    </row>
    <row r="3027" spans="19:19" x14ac:dyDescent="0.3">
      <c r="S3027" s="36"/>
    </row>
    <row r="3028" spans="19:19" x14ac:dyDescent="0.3">
      <c r="S3028" s="36"/>
    </row>
    <row r="3029" spans="19:19" x14ac:dyDescent="0.3">
      <c r="S3029" s="36"/>
    </row>
    <row r="3030" spans="19:19" x14ac:dyDescent="0.3">
      <c r="S3030" s="36"/>
    </row>
    <row r="3031" spans="19:19" x14ac:dyDescent="0.3">
      <c r="S3031" s="36"/>
    </row>
    <row r="3032" spans="19:19" x14ac:dyDescent="0.3">
      <c r="S3032" s="36"/>
    </row>
    <row r="3033" spans="19:19" x14ac:dyDescent="0.3">
      <c r="S3033" s="36"/>
    </row>
    <row r="3034" spans="19:19" x14ac:dyDescent="0.3">
      <c r="S3034" s="36"/>
    </row>
    <row r="3035" spans="19:19" x14ac:dyDescent="0.3">
      <c r="S3035" s="36"/>
    </row>
    <row r="3036" spans="19:19" x14ac:dyDescent="0.3">
      <c r="S3036" s="36"/>
    </row>
    <row r="3037" spans="19:19" x14ac:dyDescent="0.3">
      <c r="S3037" s="36"/>
    </row>
    <row r="3038" spans="19:19" x14ac:dyDescent="0.3">
      <c r="S3038" s="36"/>
    </row>
    <row r="3039" spans="19:19" x14ac:dyDescent="0.3">
      <c r="S3039" s="36"/>
    </row>
    <row r="3040" spans="19:19" x14ac:dyDescent="0.3">
      <c r="S3040" s="36"/>
    </row>
    <row r="3041" spans="19:19" x14ac:dyDescent="0.3">
      <c r="S3041" s="36"/>
    </row>
    <row r="3042" spans="19:19" x14ac:dyDescent="0.3">
      <c r="S3042" s="36"/>
    </row>
    <row r="3043" spans="19:19" x14ac:dyDescent="0.3">
      <c r="S3043" s="36"/>
    </row>
    <row r="3044" spans="19:19" x14ac:dyDescent="0.3">
      <c r="S3044" s="36"/>
    </row>
    <row r="3045" spans="19:19" x14ac:dyDescent="0.3">
      <c r="S3045" s="36"/>
    </row>
    <row r="3046" spans="19:19" x14ac:dyDescent="0.3">
      <c r="S3046" s="36"/>
    </row>
    <row r="3047" spans="19:19" x14ac:dyDescent="0.3">
      <c r="S3047" s="36"/>
    </row>
    <row r="3048" spans="19:19" x14ac:dyDescent="0.3">
      <c r="S3048" s="36"/>
    </row>
    <row r="3049" spans="19:19" x14ac:dyDescent="0.3">
      <c r="S3049" s="36"/>
    </row>
    <row r="3050" spans="19:19" x14ac:dyDescent="0.3">
      <c r="S3050" s="36"/>
    </row>
    <row r="3051" spans="19:19" x14ac:dyDescent="0.3">
      <c r="S3051" s="36"/>
    </row>
    <row r="3052" spans="19:19" x14ac:dyDescent="0.3">
      <c r="S3052" s="36"/>
    </row>
    <row r="3053" spans="19:19" x14ac:dyDescent="0.3">
      <c r="S3053" s="36"/>
    </row>
    <row r="3054" spans="19:19" x14ac:dyDescent="0.3">
      <c r="S3054" s="36"/>
    </row>
    <row r="3055" spans="19:19" x14ac:dyDescent="0.3">
      <c r="S3055" s="36"/>
    </row>
    <row r="3056" spans="19:19" x14ac:dyDescent="0.3">
      <c r="S3056" s="36"/>
    </row>
    <row r="3057" spans="19:19" x14ac:dyDescent="0.3">
      <c r="S3057" s="36"/>
    </row>
    <row r="3058" spans="19:19" x14ac:dyDescent="0.3">
      <c r="S3058" s="36"/>
    </row>
    <row r="3059" spans="19:19" x14ac:dyDescent="0.3">
      <c r="S3059" s="36"/>
    </row>
    <row r="3060" spans="19:19" x14ac:dyDescent="0.3">
      <c r="S3060" s="36"/>
    </row>
    <row r="3061" spans="19:19" x14ac:dyDescent="0.3">
      <c r="S3061" s="36"/>
    </row>
    <row r="3062" spans="19:19" x14ac:dyDescent="0.3">
      <c r="S3062" s="36"/>
    </row>
    <row r="3063" spans="19:19" x14ac:dyDescent="0.3">
      <c r="S3063" s="36"/>
    </row>
    <row r="3064" spans="19:19" x14ac:dyDescent="0.3">
      <c r="S3064" s="36"/>
    </row>
    <row r="3065" spans="19:19" x14ac:dyDescent="0.3">
      <c r="S3065" s="36"/>
    </row>
    <row r="3066" spans="19:19" x14ac:dyDescent="0.3">
      <c r="S3066" s="36"/>
    </row>
    <row r="3067" spans="19:19" x14ac:dyDescent="0.3">
      <c r="S3067" s="36"/>
    </row>
    <row r="3068" spans="19:19" x14ac:dyDescent="0.3">
      <c r="S3068" s="36"/>
    </row>
    <row r="3069" spans="19:19" x14ac:dyDescent="0.3">
      <c r="S3069" s="36"/>
    </row>
    <row r="3070" spans="19:19" x14ac:dyDescent="0.3">
      <c r="S3070" s="36"/>
    </row>
    <row r="3071" spans="19:19" x14ac:dyDescent="0.3">
      <c r="S3071" s="36"/>
    </row>
    <row r="3072" spans="19:19" x14ac:dyDescent="0.3">
      <c r="S3072" s="36"/>
    </row>
    <row r="3073" spans="19:19" x14ac:dyDescent="0.3">
      <c r="S3073" s="36"/>
    </row>
    <row r="3074" spans="19:19" x14ac:dyDescent="0.3">
      <c r="S3074" s="36"/>
    </row>
    <row r="3075" spans="19:19" x14ac:dyDescent="0.3">
      <c r="S3075" s="36"/>
    </row>
    <row r="3076" spans="19:19" x14ac:dyDescent="0.3">
      <c r="S3076" s="36"/>
    </row>
    <row r="3077" spans="19:19" x14ac:dyDescent="0.3">
      <c r="S3077" s="36"/>
    </row>
    <row r="3078" spans="19:19" x14ac:dyDescent="0.3">
      <c r="S3078" s="36"/>
    </row>
    <row r="3079" spans="19:19" x14ac:dyDescent="0.3">
      <c r="S3079" s="36"/>
    </row>
    <row r="3080" spans="19:19" x14ac:dyDescent="0.3">
      <c r="S3080" s="36"/>
    </row>
    <row r="3081" spans="19:19" x14ac:dyDescent="0.3">
      <c r="S3081" s="36"/>
    </row>
    <row r="3082" spans="19:19" x14ac:dyDescent="0.3">
      <c r="S3082" s="36"/>
    </row>
    <row r="3083" spans="19:19" x14ac:dyDescent="0.3">
      <c r="S3083" s="36"/>
    </row>
    <row r="3084" spans="19:19" x14ac:dyDescent="0.3">
      <c r="S3084" s="36"/>
    </row>
    <row r="3085" spans="19:19" x14ac:dyDescent="0.3">
      <c r="S3085" s="36"/>
    </row>
    <row r="3086" spans="19:19" x14ac:dyDescent="0.3">
      <c r="S3086" s="36"/>
    </row>
    <row r="3087" spans="19:19" x14ac:dyDescent="0.3">
      <c r="S3087" s="36"/>
    </row>
    <row r="3088" spans="19:19" x14ac:dyDescent="0.3">
      <c r="S3088" s="36"/>
    </row>
    <row r="3089" spans="19:19" x14ac:dyDescent="0.3">
      <c r="S3089" s="36"/>
    </row>
    <row r="3090" spans="19:19" x14ac:dyDescent="0.3">
      <c r="S3090" s="36"/>
    </row>
    <row r="3091" spans="19:19" x14ac:dyDescent="0.3">
      <c r="S3091" s="36"/>
    </row>
    <row r="3092" spans="19:19" x14ac:dyDescent="0.3">
      <c r="S3092" s="36"/>
    </row>
    <row r="3093" spans="19:19" x14ac:dyDescent="0.3">
      <c r="S3093" s="36"/>
    </row>
    <row r="3094" spans="19:19" x14ac:dyDescent="0.3">
      <c r="S3094" s="36"/>
    </row>
    <row r="3095" spans="19:19" x14ac:dyDescent="0.3">
      <c r="S3095" s="36"/>
    </row>
    <row r="3096" spans="19:19" x14ac:dyDescent="0.3">
      <c r="S3096" s="36"/>
    </row>
    <row r="3097" spans="19:19" x14ac:dyDescent="0.3">
      <c r="S3097" s="36"/>
    </row>
    <row r="3098" spans="19:19" x14ac:dyDescent="0.3">
      <c r="S3098" s="36"/>
    </row>
    <row r="3099" spans="19:19" x14ac:dyDescent="0.3">
      <c r="S3099" s="36"/>
    </row>
    <row r="3100" spans="19:19" x14ac:dyDescent="0.3">
      <c r="S3100" s="36"/>
    </row>
    <row r="3101" spans="19:19" x14ac:dyDescent="0.3">
      <c r="S3101" s="36"/>
    </row>
    <row r="3102" spans="19:19" x14ac:dyDescent="0.3">
      <c r="S3102" s="36"/>
    </row>
    <row r="3103" spans="19:19" x14ac:dyDescent="0.3">
      <c r="S3103" s="36"/>
    </row>
    <row r="3104" spans="19:19" x14ac:dyDescent="0.3">
      <c r="S3104" s="36"/>
    </row>
    <row r="3105" spans="19:19" x14ac:dyDescent="0.3">
      <c r="S3105" s="36"/>
    </row>
    <row r="3106" spans="19:19" x14ac:dyDescent="0.3">
      <c r="S3106" s="36"/>
    </row>
    <row r="3107" spans="19:19" x14ac:dyDescent="0.3">
      <c r="S3107" s="36"/>
    </row>
    <row r="3108" spans="19:19" x14ac:dyDescent="0.3">
      <c r="S3108" s="36"/>
    </row>
    <row r="3109" spans="19:19" x14ac:dyDescent="0.3">
      <c r="S3109" s="36"/>
    </row>
    <row r="3110" spans="19:19" x14ac:dyDescent="0.3">
      <c r="S3110" s="36"/>
    </row>
    <row r="3111" spans="19:19" x14ac:dyDescent="0.3">
      <c r="S3111" s="36"/>
    </row>
    <row r="3112" spans="19:19" x14ac:dyDescent="0.3">
      <c r="S3112" s="36"/>
    </row>
    <row r="3113" spans="19:19" x14ac:dyDescent="0.3">
      <c r="S3113" s="36"/>
    </row>
    <row r="3114" spans="19:19" x14ac:dyDescent="0.3">
      <c r="S3114" s="36"/>
    </row>
    <row r="3115" spans="19:19" x14ac:dyDescent="0.3">
      <c r="S3115" s="36"/>
    </row>
    <row r="3116" spans="19:19" x14ac:dyDescent="0.3">
      <c r="S3116" s="36"/>
    </row>
    <row r="3117" spans="19:19" x14ac:dyDescent="0.3">
      <c r="S3117" s="36"/>
    </row>
    <row r="3118" spans="19:19" x14ac:dyDescent="0.3">
      <c r="S3118" s="36"/>
    </row>
    <row r="3119" spans="19:19" x14ac:dyDescent="0.3">
      <c r="S3119" s="36"/>
    </row>
    <row r="3120" spans="19:19" x14ac:dyDescent="0.3">
      <c r="S3120" s="36"/>
    </row>
    <row r="3121" spans="19:19" x14ac:dyDescent="0.3">
      <c r="S3121" s="36"/>
    </row>
    <row r="3122" spans="19:19" x14ac:dyDescent="0.3">
      <c r="S3122" s="36"/>
    </row>
    <row r="3123" spans="19:19" x14ac:dyDescent="0.3">
      <c r="S3123" s="36"/>
    </row>
    <row r="3124" spans="19:19" x14ac:dyDescent="0.3">
      <c r="S3124" s="36"/>
    </row>
    <row r="3125" spans="19:19" x14ac:dyDescent="0.3">
      <c r="S3125" s="36"/>
    </row>
    <row r="3126" spans="19:19" x14ac:dyDescent="0.3">
      <c r="S3126" s="36"/>
    </row>
    <row r="3127" spans="19:19" x14ac:dyDescent="0.3">
      <c r="S3127" s="36"/>
    </row>
    <row r="3128" spans="19:19" x14ac:dyDescent="0.3">
      <c r="S3128" s="36"/>
    </row>
    <row r="3129" spans="19:19" x14ac:dyDescent="0.3">
      <c r="S3129" s="36"/>
    </row>
    <row r="3130" spans="19:19" x14ac:dyDescent="0.3">
      <c r="S3130" s="36"/>
    </row>
    <row r="3131" spans="19:19" x14ac:dyDescent="0.3">
      <c r="S3131" s="36"/>
    </row>
    <row r="3132" spans="19:19" x14ac:dyDescent="0.3">
      <c r="S3132" s="36"/>
    </row>
    <row r="3133" spans="19:19" x14ac:dyDescent="0.3">
      <c r="S3133" s="36"/>
    </row>
    <row r="3134" spans="19:19" x14ac:dyDescent="0.3">
      <c r="S3134" s="36"/>
    </row>
    <row r="3135" spans="19:19" x14ac:dyDescent="0.3">
      <c r="S3135" s="36"/>
    </row>
    <row r="3136" spans="19:19" x14ac:dyDescent="0.3">
      <c r="S3136" s="36"/>
    </row>
    <row r="3137" spans="19:19" x14ac:dyDescent="0.3">
      <c r="S3137" s="36"/>
    </row>
    <row r="3138" spans="19:19" x14ac:dyDescent="0.3">
      <c r="S3138" s="36"/>
    </row>
    <row r="3139" spans="19:19" x14ac:dyDescent="0.3">
      <c r="S3139" s="36"/>
    </row>
    <row r="3140" spans="19:19" x14ac:dyDescent="0.3">
      <c r="S3140" s="36"/>
    </row>
    <row r="3141" spans="19:19" x14ac:dyDescent="0.3">
      <c r="S3141" s="36"/>
    </row>
    <row r="3142" spans="19:19" x14ac:dyDescent="0.3">
      <c r="S3142" s="36"/>
    </row>
    <row r="3143" spans="19:19" x14ac:dyDescent="0.3">
      <c r="S3143" s="36"/>
    </row>
    <row r="3144" spans="19:19" x14ac:dyDescent="0.3">
      <c r="S3144" s="36"/>
    </row>
    <row r="3145" spans="19:19" x14ac:dyDescent="0.3">
      <c r="S3145" s="36"/>
    </row>
    <row r="3146" spans="19:19" x14ac:dyDescent="0.3">
      <c r="S3146" s="36"/>
    </row>
    <row r="3147" spans="19:19" x14ac:dyDescent="0.3">
      <c r="S3147" s="36"/>
    </row>
    <row r="3148" spans="19:19" x14ac:dyDescent="0.3">
      <c r="S3148" s="36"/>
    </row>
    <row r="3149" spans="19:19" x14ac:dyDescent="0.3">
      <c r="S3149" s="36"/>
    </row>
    <row r="3150" spans="19:19" x14ac:dyDescent="0.3">
      <c r="S3150" s="36"/>
    </row>
    <row r="3151" spans="19:19" x14ac:dyDescent="0.3">
      <c r="S3151" s="36"/>
    </row>
    <row r="3152" spans="19:19" x14ac:dyDescent="0.3">
      <c r="S3152" s="36"/>
    </row>
    <row r="3153" spans="19:19" x14ac:dyDescent="0.3">
      <c r="S3153" s="36"/>
    </row>
    <row r="3154" spans="19:19" x14ac:dyDescent="0.3">
      <c r="S3154" s="36"/>
    </row>
    <row r="3155" spans="19:19" x14ac:dyDescent="0.3">
      <c r="S3155" s="36"/>
    </row>
    <row r="3156" spans="19:19" x14ac:dyDescent="0.3">
      <c r="S3156" s="36"/>
    </row>
    <row r="3157" spans="19:19" x14ac:dyDescent="0.3">
      <c r="S3157" s="36"/>
    </row>
    <row r="3158" spans="19:19" x14ac:dyDescent="0.3">
      <c r="S3158" s="36"/>
    </row>
    <row r="3159" spans="19:19" x14ac:dyDescent="0.3">
      <c r="S3159" s="36"/>
    </row>
    <row r="3160" spans="19:19" x14ac:dyDescent="0.3">
      <c r="S3160" s="36"/>
    </row>
    <row r="3161" spans="19:19" x14ac:dyDescent="0.3">
      <c r="S3161" s="36"/>
    </row>
    <row r="3162" spans="19:19" x14ac:dyDescent="0.3">
      <c r="S3162" s="36"/>
    </row>
    <row r="3163" spans="19:19" x14ac:dyDescent="0.3">
      <c r="S3163" s="36"/>
    </row>
    <row r="3164" spans="19:19" x14ac:dyDescent="0.3">
      <c r="S3164" s="36"/>
    </row>
    <row r="3165" spans="19:19" x14ac:dyDescent="0.3">
      <c r="S3165" s="36"/>
    </row>
    <row r="3166" spans="19:19" x14ac:dyDescent="0.3">
      <c r="S3166" s="36"/>
    </row>
    <row r="3167" spans="19:19" x14ac:dyDescent="0.3">
      <c r="S3167" s="36"/>
    </row>
    <row r="3168" spans="19:19" x14ac:dyDescent="0.3">
      <c r="S3168" s="36"/>
    </row>
    <row r="3169" spans="19:19" x14ac:dyDescent="0.3">
      <c r="S3169" s="36"/>
    </row>
    <row r="3170" spans="19:19" x14ac:dyDescent="0.3">
      <c r="S3170" s="36"/>
    </row>
    <row r="3171" spans="19:19" x14ac:dyDescent="0.3">
      <c r="S3171" s="36"/>
    </row>
    <row r="3172" spans="19:19" x14ac:dyDescent="0.3">
      <c r="S3172" s="36"/>
    </row>
    <row r="3173" spans="19:19" x14ac:dyDescent="0.3">
      <c r="S3173" s="36"/>
    </row>
    <row r="3174" spans="19:19" x14ac:dyDescent="0.3">
      <c r="S3174" s="36"/>
    </row>
    <row r="3175" spans="19:19" x14ac:dyDescent="0.3">
      <c r="S3175" s="36"/>
    </row>
    <row r="3176" spans="19:19" x14ac:dyDescent="0.3">
      <c r="S3176" s="36"/>
    </row>
    <row r="3177" spans="19:19" x14ac:dyDescent="0.3">
      <c r="S3177" s="36"/>
    </row>
    <row r="3178" spans="19:19" x14ac:dyDescent="0.3">
      <c r="S3178" s="36"/>
    </row>
    <row r="3179" spans="19:19" x14ac:dyDescent="0.3">
      <c r="S3179" s="36"/>
    </row>
    <row r="3180" spans="19:19" x14ac:dyDescent="0.3">
      <c r="S3180" s="36"/>
    </row>
    <row r="3181" spans="19:19" x14ac:dyDescent="0.3">
      <c r="S3181" s="36"/>
    </row>
    <row r="3182" spans="19:19" x14ac:dyDescent="0.3">
      <c r="S3182" s="36"/>
    </row>
    <row r="3183" spans="19:19" x14ac:dyDescent="0.3">
      <c r="S3183" s="36"/>
    </row>
    <row r="3184" spans="19:19" x14ac:dyDescent="0.3">
      <c r="S3184" s="36"/>
    </row>
    <row r="3185" spans="19:19" x14ac:dyDescent="0.3">
      <c r="S3185" s="36"/>
    </row>
    <row r="3186" spans="19:19" x14ac:dyDescent="0.3">
      <c r="S3186" s="36"/>
    </row>
    <row r="3187" spans="19:19" x14ac:dyDescent="0.3">
      <c r="S3187" s="36"/>
    </row>
    <row r="3188" spans="19:19" x14ac:dyDescent="0.3">
      <c r="S3188" s="36"/>
    </row>
    <row r="3189" spans="19:19" x14ac:dyDescent="0.3">
      <c r="S3189" s="36"/>
    </row>
    <row r="3190" spans="19:19" x14ac:dyDescent="0.3">
      <c r="S3190" s="36"/>
    </row>
    <row r="3191" spans="19:19" x14ac:dyDescent="0.3">
      <c r="S3191" s="36"/>
    </row>
    <row r="3192" spans="19:19" x14ac:dyDescent="0.3">
      <c r="S3192" s="36"/>
    </row>
    <row r="3193" spans="19:19" x14ac:dyDescent="0.3">
      <c r="S3193" s="36"/>
    </row>
    <row r="3194" spans="19:19" x14ac:dyDescent="0.3">
      <c r="S3194" s="36"/>
    </row>
    <row r="3195" spans="19:19" x14ac:dyDescent="0.3">
      <c r="S3195" s="36"/>
    </row>
    <row r="3196" spans="19:19" x14ac:dyDescent="0.3">
      <c r="S3196" s="36"/>
    </row>
    <row r="3197" spans="19:19" x14ac:dyDescent="0.3">
      <c r="S3197" s="36"/>
    </row>
    <row r="3198" spans="19:19" x14ac:dyDescent="0.3">
      <c r="S3198" s="36"/>
    </row>
    <row r="3199" spans="19:19" x14ac:dyDescent="0.3">
      <c r="S3199" s="36"/>
    </row>
    <row r="3200" spans="19:19" x14ac:dyDescent="0.3">
      <c r="S3200" s="36"/>
    </row>
    <row r="3201" spans="19:19" x14ac:dyDescent="0.3">
      <c r="S3201" s="36"/>
    </row>
    <row r="3202" spans="19:19" x14ac:dyDescent="0.3">
      <c r="S3202" s="36"/>
    </row>
    <row r="3203" spans="19:19" x14ac:dyDescent="0.3">
      <c r="S3203" s="36"/>
    </row>
    <row r="3204" spans="19:19" x14ac:dyDescent="0.3">
      <c r="S3204" s="36"/>
    </row>
    <row r="3205" spans="19:19" x14ac:dyDescent="0.3">
      <c r="S3205" s="36"/>
    </row>
    <row r="3206" spans="19:19" x14ac:dyDescent="0.3">
      <c r="S3206" s="36"/>
    </row>
    <row r="3207" spans="19:19" x14ac:dyDescent="0.3">
      <c r="S3207" s="36"/>
    </row>
    <row r="3208" spans="19:19" x14ac:dyDescent="0.3">
      <c r="S3208" s="36"/>
    </row>
    <row r="3209" spans="19:19" x14ac:dyDescent="0.3">
      <c r="S3209" s="36"/>
    </row>
    <row r="3210" spans="19:19" x14ac:dyDescent="0.3">
      <c r="S3210" s="36"/>
    </row>
    <row r="3211" spans="19:19" x14ac:dyDescent="0.3">
      <c r="S3211" s="36"/>
    </row>
    <row r="3212" spans="19:19" x14ac:dyDescent="0.3">
      <c r="S3212" s="36"/>
    </row>
    <row r="3213" spans="19:19" x14ac:dyDescent="0.3">
      <c r="S3213" s="36"/>
    </row>
    <row r="3214" spans="19:19" x14ac:dyDescent="0.3">
      <c r="S3214" s="36"/>
    </row>
    <row r="3215" spans="19:19" x14ac:dyDescent="0.3">
      <c r="S3215" s="36"/>
    </row>
    <row r="3216" spans="19:19" x14ac:dyDescent="0.3">
      <c r="S3216" s="36"/>
    </row>
    <row r="3217" spans="19:19" x14ac:dyDescent="0.3">
      <c r="S3217" s="36"/>
    </row>
    <row r="3218" spans="19:19" x14ac:dyDescent="0.3">
      <c r="S3218" s="36"/>
    </row>
    <row r="3219" spans="19:19" x14ac:dyDescent="0.3">
      <c r="S3219" s="36"/>
    </row>
    <row r="3220" spans="19:19" x14ac:dyDescent="0.3">
      <c r="S3220" s="36"/>
    </row>
    <row r="3221" spans="19:19" x14ac:dyDescent="0.3">
      <c r="S3221" s="36"/>
    </row>
    <row r="3222" spans="19:19" x14ac:dyDescent="0.3">
      <c r="S3222" s="36"/>
    </row>
    <row r="3223" spans="19:19" x14ac:dyDescent="0.3">
      <c r="S3223" s="36"/>
    </row>
    <row r="3224" spans="19:19" x14ac:dyDescent="0.3">
      <c r="S3224" s="36"/>
    </row>
    <row r="3225" spans="19:19" x14ac:dyDescent="0.3">
      <c r="S3225" s="36"/>
    </row>
    <row r="3226" spans="19:19" x14ac:dyDescent="0.3">
      <c r="S3226" s="36"/>
    </row>
    <row r="3227" spans="19:19" x14ac:dyDescent="0.3">
      <c r="S3227" s="36"/>
    </row>
    <row r="3228" spans="19:19" x14ac:dyDescent="0.3">
      <c r="S3228" s="36"/>
    </row>
    <row r="3229" spans="19:19" x14ac:dyDescent="0.3">
      <c r="S3229" s="36"/>
    </row>
    <row r="3230" spans="19:19" x14ac:dyDescent="0.3">
      <c r="S3230" s="36"/>
    </row>
    <row r="3231" spans="19:19" x14ac:dyDescent="0.3">
      <c r="S3231" s="36"/>
    </row>
    <row r="3232" spans="19:19" x14ac:dyDescent="0.3">
      <c r="S3232" s="36"/>
    </row>
    <row r="3233" spans="19:19" x14ac:dyDescent="0.3">
      <c r="S3233" s="36"/>
    </row>
    <row r="3234" spans="19:19" x14ac:dyDescent="0.3">
      <c r="S3234" s="36"/>
    </row>
    <row r="3235" spans="19:19" x14ac:dyDescent="0.3">
      <c r="S3235" s="36"/>
    </row>
    <row r="3236" spans="19:19" x14ac:dyDescent="0.3">
      <c r="S3236" s="36"/>
    </row>
    <row r="3237" spans="19:19" x14ac:dyDescent="0.3">
      <c r="S3237" s="36"/>
    </row>
    <row r="3238" spans="19:19" x14ac:dyDescent="0.3">
      <c r="S3238" s="36"/>
    </row>
    <row r="3239" spans="19:19" x14ac:dyDescent="0.3">
      <c r="S3239" s="36"/>
    </row>
    <row r="3240" spans="19:19" x14ac:dyDescent="0.3">
      <c r="S3240" s="36"/>
    </row>
    <row r="3241" spans="19:19" x14ac:dyDescent="0.3">
      <c r="S3241" s="36"/>
    </row>
    <row r="3242" spans="19:19" x14ac:dyDescent="0.3">
      <c r="S3242" s="36"/>
    </row>
    <row r="3243" spans="19:19" x14ac:dyDescent="0.3">
      <c r="S3243" s="36"/>
    </row>
    <row r="3244" spans="19:19" x14ac:dyDescent="0.3">
      <c r="S3244" s="36"/>
    </row>
    <row r="3245" spans="19:19" x14ac:dyDescent="0.3">
      <c r="S3245" s="36"/>
    </row>
    <row r="3246" spans="19:19" x14ac:dyDescent="0.3">
      <c r="S3246" s="36"/>
    </row>
    <row r="3247" spans="19:19" x14ac:dyDescent="0.3">
      <c r="S3247" s="36"/>
    </row>
    <row r="3248" spans="19:19" x14ac:dyDescent="0.3">
      <c r="S3248" s="36"/>
    </row>
    <row r="3249" spans="19:19" x14ac:dyDescent="0.3">
      <c r="S3249" s="36"/>
    </row>
    <row r="3250" spans="19:19" x14ac:dyDescent="0.3">
      <c r="S3250" s="36"/>
    </row>
    <row r="3251" spans="19:19" x14ac:dyDescent="0.3">
      <c r="S3251" s="36"/>
    </row>
    <row r="3252" spans="19:19" x14ac:dyDescent="0.3">
      <c r="S3252" s="36"/>
    </row>
    <row r="3253" spans="19:19" x14ac:dyDescent="0.3">
      <c r="S3253" s="36"/>
    </row>
    <row r="3254" spans="19:19" x14ac:dyDescent="0.3">
      <c r="S3254" s="36"/>
    </row>
    <row r="3255" spans="19:19" x14ac:dyDescent="0.3">
      <c r="S3255" s="36"/>
    </row>
    <row r="3256" spans="19:19" x14ac:dyDescent="0.3">
      <c r="S3256" s="36"/>
    </row>
    <row r="3257" spans="19:19" x14ac:dyDescent="0.3">
      <c r="S3257" s="36"/>
    </row>
    <row r="3258" spans="19:19" x14ac:dyDescent="0.3">
      <c r="S3258" s="36"/>
    </row>
    <row r="3259" spans="19:19" x14ac:dyDescent="0.3">
      <c r="S3259" s="36"/>
    </row>
    <row r="3260" spans="19:19" x14ac:dyDescent="0.3">
      <c r="S3260" s="36"/>
    </row>
    <row r="3261" spans="19:19" x14ac:dyDescent="0.3">
      <c r="S3261" s="36"/>
    </row>
    <row r="3262" spans="19:19" x14ac:dyDescent="0.3">
      <c r="S3262" s="36"/>
    </row>
    <row r="3263" spans="19:19" x14ac:dyDescent="0.3">
      <c r="S3263" s="36"/>
    </row>
    <row r="3264" spans="19:19" x14ac:dyDescent="0.3">
      <c r="S3264" s="36"/>
    </row>
    <row r="3265" spans="19:19" x14ac:dyDescent="0.3">
      <c r="S3265" s="36"/>
    </row>
    <row r="3266" spans="19:19" x14ac:dyDescent="0.3">
      <c r="S3266" s="36"/>
    </row>
    <row r="3267" spans="19:19" x14ac:dyDescent="0.3">
      <c r="S3267" s="36"/>
    </row>
    <row r="3268" spans="19:19" x14ac:dyDescent="0.3">
      <c r="S3268" s="36"/>
    </row>
    <row r="3269" spans="19:19" x14ac:dyDescent="0.3">
      <c r="S3269" s="36"/>
    </row>
    <row r="3270" spans="19:19" x14ac:dyDescent="0.3">
      <c r="S3270" s="36"/>
    </row>
    <row r="3271" spans="19:19" x14ac:dyDescent="0.3">
      <c r="S3271" s="36"/>
    </row>
    <row r="3272" spans="19:19" x14ac:dyDescent="0.3">
      <c r="S3272" s="36"/>
    </row>
    <row r="3273" spans="19:19" x14ac:dyDescent="0.3">
      <c r="S3273" s="36"/>
    </row>
    <row r="3274" spans="19:19" x14ac:dyDescent="0.3">
      <c r="S3274" s="36"/>
    </row>
    <row r="3275" spans="19:19" x14ac:dyDescent="0.3">
      <c r="S3275" s="36"/>
    </row>
    <row r="3276" spans="19:19" x14ac:dyDescent="0.3">
      <c r="S3276" s="36"/>
    </row>
    <row r="3277" spans="19:19" x14ac:dyDescent="0.3">
      <c r="S3277" s="36"/>
    </row>
    <row r="3278" spans="19:19" x14ac:dyDescent="0.3">
      <c r="S3278" s="36"/>
    </row>
    <row r="3279" spans="19:19" x14ac:dyDescent="0.3">
      <c r="S3279" s="36"/>
    </row>
    <row r="3280" spans="19:19" x14ac:dyDescent="0.3">
      <c r="S3280" s="36"/>
    </row>
    <row r="3281" spans="19:19" x14ac:dyDescent="0.3">
      <c r="S3281" s="36"/>
    </row>
    <row r="3282" spans="19:19" x14ac:dyDescent="0.3">
      <c r="S3282" s="36"/>
    </row>
    <row r="3283" spans="19:19" x14ac:dyDescent="0.3">
      <c r="S3283" s="36"/>
    </row>
    <row r="3284" spans="19:19" x14ac:dyDescent="0.3">
      <c r="S3284" s="36"/>
    </row>
    <row r="3285" spans="19:19" x14ac:dyDescent="0.3">
      <c r="S3285" s="36"/>
    </row>
    <row r="3286" spans="19:19" x14ac:dyDescent="0.3">
      <c r="S3286" s="36"/>
    </row>
    <row r="3287" spans="19:19" x14ac:dyDescent="0.3">
      <c r="S3287" s="36"/>
    </row>
    <row r="3288" spans="19:19" x14ac:dyDescent="0.3">
      <c r="S3288" s="36"/>
    </row>
    <row r="3289" spans="19:19" x14ac:dyDescent="0.3">
      <c r="S3289" s="36"/>
    </row>
    <row r="3290" spans="19:19" x14ac:dyDescent="0.3">
      <c r="S3290" s="36"/>
    </row>
    <row r="3291" spans="19:19" x14ac:dyDescent="0.3">
      <c r="S3291" s="36"/>
    </row>
    <row r="3292" spans="19:19" x14ac:dyDescent="0.3">
      <c r="S3292" s="36"/>
    </row>
    <row r="3293" spans="19:19" x14ac:dyDescent="0.3">
      <c r="S3293" s="36"/>
    </row>
    <row r="3294" spans="19:19" x14ac:dyDescent="0.3">
      <c r="S3294" s="36"/>
    </row>
    <row r="3295" spans="19:19" x14ac:dyDescent="0.3">
      <c r="S3295" s="36"/>
    </row>
    <row r="3296" spans="19:19" x14ac:dyDescent="0.3">
      <c r="S3296" s="36"/>
    </row>
    <row r="3297" spans="19:19" x14ac:dyDescent="0.3">
      <c r="S3297" s="36"/>
    </row>
    <row r="3298" spans="19:19" x14ac:dyDescent="0.3">
      <c r="S3298" s="36"/>
    </row>
    <row r="3299" spans="19:19" x14ac:dyDescent="0.3">
      <c r="S3299" s="36"/>
    </row>
    <row r="3300" spans="19:19" x14ac:dyDescent="0.3">
      <c r="S3300" s="36"/>
    </row>
    <row r="3301" spans="19:19" x14ac:dyDescent="0.3">
      <c r="S3301" s="36"/>
    </row>
    <row r="3302" spans="19:19" x14ac:dyDescent="0.3">
      <c r="S3302" s="36"/>
    </row>
    <row r="3303" spans="19:19" x14ac:dyDescent="0.3">
      <c r="S3303" s="36"/>
    </row>
    <row r="3304" spans="19:19" x14ac:dyDescent="0.3">
      <c r="S3304" s="36"/>
    </row>
    <row r="3305" spans="19:19" x14ac:dyDescent="0.3">
      <c r="S3305" s="36"/>
    </row>
    <row r="3306" spans="19:19" x14ac:dyDescent="0.3">
      <c r="S3306" s="36"/>
    </row>
    <row r="3307" spans="19:19" x14ac:dyDescent="0.3">
      <c r="S3307" s="36"/>
    </row>
    <row r="3308" spans="19:19" x14ac:dyDescent="0.3">
      <c r="S3308" s="36"/>
    </row>
    <row r="3309" spans="19:19" x14ac:dyDescent="0.3">
      <c r="S3309" s="36"/>
    </row>
    <row r="3310" spans="19:19" x14ac:dyDescent="0.3">
      <c r="S3310" s="36"/>
    </row>
    <row r="3311" spans="19:19" x14ac:dyDescent="0.3">
      <c r="S3311" s="36"/>
    </row>
    <row r="3312" spans="19:19" x14ac:dyDescent="0.3">
      <c r="S3312" s="36"/>
    </row>
    <row r="3313" spans="19:19" x14ac:dyDescent="0.3">
      <c r="S3313" s="36"/>
    </row>
    <row r="3314" spans="19:19" x14ac:dyDescent="0.3">
      <c r="S3314" s="36"/>
    </row>
    <row r="3315" spans="19:19" x14ac:dyDescent="0.3">
      <c r="S3315" s="36"/>
    </row>
    <row r="3316" spans="19:19" x14ac:dyDescent="0.3">
      <c r="S3316" s="36"/>
    </row>
    <row r="3317" spans="19:19" x14ac:dyDescent="0.3">
      <c r="S3317" s="36"/>
    </row>
    <row r="3318" spans="19:19" x14ac:dyDescent="0.3">
      <c r="S3318" s="36"/>
    </row>
    <row r="3319" spans="19:19" x14ac:dyDescent="0.3">
      <c r="S3319" s="36"/>
    </row>
    <row r="3320" spans="19:19" x14ac:dyDescent="0.3">
      <c r="S3320" s="36"/>
    </row>
    <row r="3321" spans="19:19" x14ac:dyDescent="0.3">
      <c r="S3321" s="36"/>
    </row>
    <row r="3322" spans="19:19" x14ac:dyDescent="0.3">
      <c r="S3322" s="36"/>
    </row>
    <row r="3323" spans="19:19" x14ac:dyDescent="0.3">
      <c r="S3323" s="36"/>
    </row>
    <row r="3324" spans="19:19" x14ac:dyDescent="0.3">
      <c r="S3324" s="36"/>
    </row>
    <row r="3325" spans="19:19" x14ac:dyDescent="0.3">
      <c r="S3325" s="36"/>
    </row>
    <row r="3326" spans="19:19" x14ac:dyDescent="0.3">
      <c r="S3326" s="36"/>
    </row>
    <row r="3327" spans="19:19" x14ac:dyDescent="0.3">
      <c r="S3327" s="36"/>
    </row>
    <row r="3328" spans="19:19" x14ac:dyDescent="0.3">
      <c r="S3328" s="36"/>
    </row>
    <row r="3329" spans="19:19" x14ac:dyDescent="0.3">
      <c r="S3329" s="36"/>
    </row>
    <row r="3330" spans="19:19" x14ac:dyDescent="0.3">
      <c r="S3330" s="36"/>
    </row>
    <row r="3331" spans="19:19" x14ac:dyDescent="0.3">
      <c r="S3331" s="36"/>
    </row>
    <row r="3332" spans="19:19" x14ac:dyDescent="0.3">
      <c r="S3332" s="36"/>
    </row>
    <row r="3333" spans="19:19" x14ac:dyDescent="0.3">
      <c r="S3333" s="36"/>
    </row>
    <row r="3334" spans="19:19" x14ac:dyDescent="0.3">
      <c r="S3334" s="36"/>
    </row>
    <row r="3335" spans="19:19" x14ac:dyDescent="0.3">
      <c r="S3335" s="36"/>
    </row>
    <row r="3336" spans="19:19" x14ac:dyDescent="0.3">
      <c r="S3336" s="36"/>
    </row>
    <row r="3337" spans="19:19" x14ac:dyDescent="0.3">
      <c r="S3337" s="36"/>
    </row>
    <row r="3338" spans="19:19" x14ac:dyDescent="0.3">
      <c r="S3338" s="36"/>
    </row>
    <row r="3339" spans="19:19" x14ac:dyDescent="0.3">
      <c r="S3339" s="36"/>
    </row>
    <row r="3340" spans="19:19" x14ac:dyDescent="0.3">
      <c r="S3340" s="36"/>
    </row>
    <row r="3341" spans="19:19" x14ac:dyDescent="0.3">
      <c r="S3341" s="36"/>
    </row>
    <row r="3342" spans="19:19" x14ac:dyDescent="0.3">
      <c r="S3342" s="36"/>
    </row>
    <row r="3343" spans="19:19" x14ac:dyDescent="0.3">
      <c r="S3343" s="36"/>
    </row>
    <row r="3344" spans="19:19" x14ac:dyDescent="0.3">
      <c r="S3344" s="36"/>
    </row>
    <row r="3345" spans="19:19" x14ac:dyDescent="0.3">
      <c r="S3345" s="36"/>
    </row>
    <row r="3346" spans="19:19" x14ac:dyDescent="0.3">
      <c r="S3346" s="36"/>
    </row>
    <row r="3347" spans="19:19" x14ac:dyDescent="0.3">
      <c r="S3347" s="36"/>
    </row>
    <row r="3348" spans="19:19" x14ac:dyDescent="0.3">
      <c r="S3348" s="36"/>
    </row>
    <row r="3349" spans="19:19" x14ac:dyDescent="0.3">
      <c r="S3349" s="36"/>
    </row>
    <row r="3350" spans="19:19" x14ac:dyDescent="0.3">
      <c r="S3350" s="36"/>
    </row>
    <row r="3351" spans="19:19" x14ac:dyDescent="0.3">
      <c r="S3351" s="36"/>
    </row>
    <row r="3352" spans="19:19" x14ac:dyDescent="0.3">
      <c r="S3352" s="36"/>
    </row>
    <row r="3353" spans="19:19" x14ac:dyDescent="0.3">
      <c r="S3353" s="36"/>
    </row>
    <row r="3354" spans="19:19" x14ac:dyDescent="0.3">
      <c r="S3354" s="36"/>
    </row>
    <row r="3355" spans="19:19" x14ac:dyDescent="0.3">
      <c r="S3355" s="36"/>
    </row>
    <row r="3356" spans="19:19" x14ac:dyDescent="0.3">
      <c r="S3356" s="36"/>
    </row>
    <row r="3357" spans="19:19" x14ac:dyDescent="0.3">
      <c r="S3357" s="36"/>
    </row>
    <row r="3358" spans="19:19" x14ac:dyDescent="0.3">
      <c r="S3358" s="36"/>
    </row>
    <row r="3359" spans="19:19" x14ac:dyDescent="0.3">
      <c r="S3359" s="36"/>
    </row>
    <row r="3360" spans="19:19" x14ac:dyDescent="0.3">
      <c r="S3360" s="36"/>
    </row>
    <row r="3361" spans="19:19" x14ac:dyDescent="0.3">
      <c r="S3361" s="36"/>
    </row>
    <row r="3362" spans="19:19" x14ac:dyDescent="0.3">
      <c r="S3362" s="36"/>
    </row>
    <row r="3363" spans="19:19" x14ac:dyDescent="0.3">
      <c r="S3363" s="36"/>
    </row>
    <row r="3364" spans="19:19" x14ac:dyDescent="0.3">
      <c r="S3364" s="36"/>
    </row>
    <row r="3365" spans="19:19" x14ac:dyDescent="0.3">
      <c r="S3365" s="36"/>
    </row>
    <row r="3366" spans="19:19" x14ac:dyDescent="0.3">
      <c r="S3366" s="36"/>
    </row>
    <row r="3367" spans="19:19" x14ac:dyDescent="0.3">
      <c r="S3367" s="36"/>
    </row>
    <row r="3368" spans="19:19" x14ac:dyDescent="0.3">
      <c r="S3368" s="36"/>
    </row>
    <row r="3369" spans="19:19" x14ac:dyDescent="0.3">
      <c r="S3369" s="36"/>
    </row>
    <row r="3370" spans="19:19" x14ac:dyDescent="0.3">
      <c r="S3370" s="36"/>
    </row>
    <row r="3371" spans="19:19" x14ac:dyDescent="0.3">
      <c r="S3371" s="36"/>
    </row>
    <row r="3372" spans="19:19" x14ac:dyDescent="0.3">
      <c r="S3372" s="36"/>
    </row>
    <row r="3373" spans="19:19" x14ac:dyDescent="0.3">
      <c r="S3373" s="36"/>
    </row>
    <row r="3374" spans="19:19" x14ac:dyDescent="0.3">
      <c r="S3374" s="36"/>
    </row>
    <row r="3375" spans="19:19" x14ac:dyDescent="0.3">
      <c r="S3375" s="36"/>
    </row>
    <row r="3376" spans="19:19" x14ac:dyDescent="0.3">
      <c r="S3376" s="36"/>
    </row>
    <row r="3377" spans="19:19" x14ac:dyDescent="0.3">
      <c r="S3377" s="36"/>
    </row>
    <row r="3378" spans="19:19" x14ac:dyDescent="0.3">
      <c r="S3378" s="36"/>
    </row>
    <row r="3379" spans="19:19" x14ac:dyDescent="0.3">
      <c r="S3379" s="36"/>
    </row>
    <row r="3380" spans="19:19" x14ac:dyDescent="0.3">
      <c r="S3380" s="36"/>
    </row>
    <row r="3381" spans="19:19" x14ac:dyDescent="0.3">
      <c r="S3381" s="36"/>
    </row>
    <row r="3382" spans="19:19" x14ac:dyDescent="0.3">
      <c r="S3382" s="36"/>
    </row>
    <row r="3383" spans="19:19" x14ac:dyDescent="0.3">
      <c r="S3383" s="36"/>
    </row>
    <row r="3384" spans="19:19" x14ac:dyDescent="0.3">
      <c r="S3384" s="36"/>
    </row>
    <row r="3385" spans="19:19" x14ac:dyDescent="0.3">
      <c r="S3385" s="36"/>
    </row>
    <row r="3386" spans="19:19" x14ac:dyDescent="0.3">
      <c r="S3386" s="36"/>
    </row>
    <row r="3387" spans="19:19" x14ac:dyDescent="0.3">
      <c r="S3387" s="36"/>
    </row>
    <row r="3388" spans="19:19" x14ac:dyDescent="0.3">
      <c r="S3388" s="36"/>
    </row>
    <row r="3389" spans="19:19" x14ac:dyDescent="0.3">
      <c r="S3389" s="36"/>
    </row>
    <row r="3390" spans="19:19" x14ac:dyDescent="0.3">
      <c r="S3390" s="36"/>
    </row>
    <row r="3391" spans="19:19" x14ac:dyDescent="0.3">
      <c r="S3391" s="36"/>
    </row>
    <row r="3392" spans="19:19" x14ac:dyDescent="0.3">
      <c r="S3392" s="36"/>
    </row>
    <row r="3393" spans="19:19" x14ac:dyDescent="0.3">
      <c r="S3393" s="36"/>
    </row>
    <row r="3394" spans="19:19" x14ac:dyDescent="0.3">
      <c r="S3394" s="36"/>
    </row>
    <row r="3395" spans="19:19" x14ac:dyDescent="0.3">
      <c r="S3395" s="36"/>
    </row>
    <row r="3396" spans="19:19" x14ac:dyDescent="0.3">
      <c r="S3396" s="36"/>
    </row>
    <row r="3397" spans="19:19" x14ac:dyDescent="0.3">
      <c r="S3397" s="36"/>
    </row>
    <row r="3398" spans="19:19" x14ac:dyDescent="0.3">
      <c r="S3398" s="36"/>
    </row>
    <row r="3399" spans="19:19" x14ac:dyDescent="0.3">
      <c r="S3399" s="36"/>
    </row>
    <row r="3400" spans="19:19" x14ac:dyDescent="0.3">
      <c r="S3400" s="36"/>
    </row>
    <row r="3401" spans="19:19" x14ac:dyDescent="0.3">
      <c r="S3401" s="36"/>
    </row>
    <row r="3402" spans="19:19" x14ac:dyDescent="0.3">
      <c r="S3402" s="36"/>
    </row>
    <row r="3403" spans="19:19" x14ac:dyDescent="0.3">
      <c r="S3403" s="36"/>
    </row>
    <row r="3404" spans="19:19" x14ac:dyDescent="0.3">
      <c r="S3404" s="36"/>
    </row>
    <row r="3405" spans="19:19" x14ac:dyDescent="0.3">
      <c r="S3405" s="36"/>
    </row>
    <row r="3406" spans="19:19" x14ac:dyDescent="0.3">
      <c r="S3406" s="36"/>
    </row>
    <row r="3407" spans="19:19" x14ac:dyDescent="0.3">
      <c r="S3407" s="36"/>
    </row>
    <row r="3408" spans="19:19" x14ac:dyDescent="0.3">
      <c r="S3408" s="36"/>
    </row>
    <row r="3409" spans="19:19" x14ac:dyDescent="0.3">
      <c r="S3409" s="36"/>
    </row>
    <row r="3410" spans="19:19" x14ac:dyDescent="0.3">
      <c r="S3410" s="36"/>
    </row>
    <row r="3411" spans="19:19" x14ac:dyDescent="0.3">
      <c r="S3411" s="36"/>
    </row>
    <row r="3412" spans="19:19" x14ac:dyDescent="0.3">
      <c r="S3412" s="36"/>
    </row>
    <row r="3413" spans="19:19" x14ac:dyDescent="0.3">
      <c r="S3413" s="36"/>
    </row>
    <row r="3414" spans="19:19" x14ac:dyDescent="0.3">
      <c r="S3414" s="36"/>
    </row>
    <row r="3415" spans="19:19" x14ac:dyDescent="0.3">
      <c r="S3415" s="36"/>
    </row>
    <row r="3416" spans="19:19" x14ac:dyDescent="0.3">
      <c r="S3416" s="36"/>
    </row>
    <row r="3417" spans="19:19" x14ac:dyDescent="0.3">
      <c r="S3417" s="36"/>
    </row>
    <row r="3418" spans="19:19" x14ac:dyDescent="0.3">
      <c r="S3418" s="36"/>
    </row>
    <row r="3419" spans="19:19" x14ac:dyDescent="0.3">
      <c r="S3419" s="36"/>
    </row>
    <row r="3420" spans="19:19" x14ac:dyDescent="0.3">
      <c r="S3420" s="36"/>
    </row>
    <row r="3421" spans="19:19" x14ac:dyDescent="0.3">
      <c r="S3421" s="36"/>
    </row>
    <row r="3422" spans="19:19" x14ac:dyDescent="0.3">
      <c r="S3422" s="36"/>
    </row>
    <row r="3423" spans="19:19" x14ac:dyDescent="0.3">
      <c r="S3423" s="36"/>
    </row>
    <row r="3424" spans="19:19" x14ac:dyDescent="0.3">
      <c r="S3424" s="36"/>
    </row>
    <row r="3425" spans="19:19" x14ac:dyDescent="0.3">
      <c r="S3425" s="36"/>
    </row>
    <row r="3426" spans="19:19" x14ac:dyDescent="0.3">
      <c r="S3426" s="36"/>
    </row>
    <row r="3427" spans="19:19" x14ac:dyDescent="0.3">
      <c r="S3427" s="36"/>
    </row>
    <row r="3428" spans="19:19" x14ac:dyDescent="0.3">
      <c r="S3428" s="36"/>
    </row>
    <row r="3429" spans="19:19" x14ac:dyDescent="0.3">
      <c r="S3429" s="36"/>
    </row>
    <row r="3430" spans="19:19" x14ac:dyDescent="0.3">
      <c r="S3430" s="36"/>
    </row>
    <row r="3431" spans="19:19" x14ac:dyDescent="0.3">
      <c r="S3431" s="36"/>
    </row>
    <row r="3432" spans="19:19" x14ac:dyDescent="0.3">
      <c r="S3432" s="36"/>
    </row>
    <row r="3433" spans="19:19" x14ac:dyDescent="0.3">
      <c r="S3433" s="36"/>
    </row>
    <row r="3434" spans="19:19" x14ac:dyDescent="0.3">
      <c r="S3434" s="36"/>
    </row>
    <row r="3435" spans="19:19" x14ac:dyDescent="0.3">
      <c r="S3435" s="36"/>
    </row>
    <row r="3436" spans="19:19" x14ac:dyDescent="0.3">
      <c r="S3436" s="36"/>
    </row>
    <row r="3437" spans="19:19" x14ac:dyDescent="0.3">
      <c r="S3437" s="36"/>
    </row>
    <row r="3438" spans="19:19" x14ac:dyDescent="0.3">
      <c r="S3438" s="36"/>
    </row>
    <row r="3439" spans="19:19" x14ac:dyDescent="0.3">
      <c r="S3439" s="36"/>
    </row>
    <row r="3440" spans="19:19" x14ac:dyDescent="0.3">
      <c r="S3440" s="36"/>
    </row>
    <row r="3441" spans="19:19" x14ac:dyDescent="0.3">
      <c r="S3441" s="36"/>
    </row>
    <row r="3442" spans="19:19" x14ac:dyDescent="0.3">
      <c r="S3442" s="36"/>
    </row>
    <row r="3443" spans="19:19" x14ac:dyDescent="0.3">
      <c r="S3443" s="36"/>
    </row>
    <row r="3444" spans="19:19" x14ac:dyDescent="0.3">
      <c r="S3444" s="36"/>
    </row>
    <row r="3445" spans="19:19" x14ac:dyDescent="0.3">
      <c r="S3445" s="36"/>
    </row>
    <row r="3446" spans="19:19" x14ac:dyDescent="0.3">
      <c r="S3446" s="36"/>
    </row>
    <row r="3447" spans="19:19" x14ac:dyDescent="0.3">
      <c r="S3447" s="36"/>
    </row>
    <row r="3448" spans="19:19" x14ac:dyDescent="0.3">
      <c r="S3448" s="36"/>
    </row>
    <row r="3449" spans="19:19" x14ac:dyDescent="0.3">
      <c r="S3449" s="36"/>
    </row>
    <row r="3450" spans="19:19" x14ac:dyDescent="0.3">
      <c r="S3450" s="36"/>
    </row>
    <row r="3451" spans="19:19" x14ac:dyDescent="0.3">
      <c r="S3451" s="36"/>
    </row>
    <row r="3452" spans="19:19" x14ac:dyDescent="0.3">
      <c r="S3452" s="36"/>
    </row>
    <row r="3453" spans="19:19" x14ac:dyDescent="0.3">
      <c r="S3453" s="36"/>
    </row>
    <row r="3454" spans="19:19" x14ac:dyDescent="0.3">
      <c r="S3454" s="36"/>
    </row>
    <row r="3455" spans="19:19" x14ac:dyDescent="0.3">
      <c r="S3455" s="36"/>
    </row>
    <row r="3456" spans="19:19" x14ac:dyDescent="0.3">
      <c r="S3456" s="36"/>
    </row>
    <row r="3457" spans="19:19" x14ac:dyDescent="0.3">
      <c r="S3457" s="36"/>
    </row>
    <row r="3458" spans="19:19" x14ac:dyDescent="0.3">
      <c r="S3458" s="36"/>
    </row>
    <row r="3459" spans="19:19" x14ac:dyDescent="0.3">
      <c r="S3459" s="36"/>
    </row>
    <row r="3460" spans="19:19" x14ac:dyDescent="0.3">
      <c r="S3460" s="36"/>
    </row>
    <row r="3461" spans="19:19" x14ac:dyDescent="0.3">
      <c r="S3461" s="36"/>
    </row>
    <row r="3462" spans="19:19" x14ac:dyDescent="0.3">
      <c r="S3462" s="36"/>
    </row>
    <row r="3463" spans="19:19" x14ac:dyDescent="0.3">
      <c r="S3463" s="36"/>
    </row>
    <row r="3464" spans="19:19" x14ac:dyDescent="0.3">
      <c r="S3464" s="36"/>
    </row>
    <row r="3465" spans="19:19" x14ac:dyDescent="0.3">
      <c r="S3465" s="36"/>
    </row>
    <row r="3466" spans="19:19" x14ac:dyDescent="0.3">
      <c r="S3466" s="36"/>
    </row>
    <row r="3467" spans="19:19" x14ac:dyDescent="0.3">
      <c r="S3467" s="36"/>
    </row>
    <row r="3468" spans="19:19" x14ac:dyDescent="0.3">
      <c r="S3468" s="36"/>
    </row>
    <row r="3469" spans="19:19" x14ac:dyDescent="0.3">
      <c r="S3469" s="36"/>
    </row>
    <row r="3470" spans="19:19" x14ac:dyDescent="0.3">
      <c r="S3470" s="36"/>
    </row>
    <row r="3471" spans="19:19" x14ac:dyDescent="0.3">
      <c r="S3471" s="36"/>
    </row>
    <row r="3472" spans="19:19" x14ac:dyDescent="0.3">
      <c r="S3472" s="36"/>
    </row>
    <row r="3473" spans="19:19" x14ac:dyDescent="0.3">
      <c r="S3473" s="36"/>
    </row>
    <row r="3474" spans="19:19" x14ac:dyDescent="0.3">
      <c r="S3474" s="36"/>
    </row>
    <row r="3475" spans="19:19" x14ac:dyDescent="0.3">
      <c r="S3475" s="36"/>
    </row>
    <row r="3476" spans="19:19" x14ac:dyDescent="0.3">
      <c r="S3476" s="36"/>
    </row>
    <row r="3477" spans="19:19" x14ac:dyDescent="0.3">
      <c r="S3477" s="36"/>
    </row>
    <row r="3478" spans="19:19" x14ac:dyDescent="0.3">
      <c r="S3478" s="36"/>
    </row>
    <row r="3479" spans="19:19" x14ac:dyDescent="0.3">
      <c r="S3479" s="36"/>
    </row>
    <row r="3480" spans="19:19" x14ac:dyDescent="0.3">
      <c r="S3480" s="36"/>
    </row>
    <row r="3481" spans="19:19" x14ac:dyDescent="0.3">
      <c r="S3481" s="36"/>
    </row>
    <row r="3482" spans="19:19" x14ac:dyDescent="0.3">
      <c r="S3482" s="36"/>
    </row>
    <row r="3483" spans="19:19" x14ac:dyDescent="0.3">
      <c r="S3483" s="36"/>
    </row>
    <row r="3484" spans="19:19" x14ac:dyDescent="0.3">
      <c r="S3484" s="36"/>
    </row>
    <row r="3485" spans="19:19" x14ac:dyDescent="0.3">
      <c r="S3485" s="36"/>
    </row>
    <row r="3486" spans="19:19" x14ac:dyDescent="0.3">
      <c r="S3486" s="36"/>
    </row>
    <row r="3487" spans="19:19" x14ac:dyDescent="0.3">
      <c r="S3487" s="36"/>
    </row>
    <row r="3488" spans="19:19" x14ac:dyDescent="0.3">
      <c r="S3488" s="36"/>
    </row>
    <row r="3489" spans="19:19" x14ac:dyDescent="0.3">
      <c r="S3489" s="36"/>
    </row>
    <row r="3490" spans="19:19" x14ac:dyDescent="0.3">
      <c r="S3490" s="36"/>
    </row>
    <row r="3491" spans="19:19" x14ac:dyDescent="0.3">
      <c r="S3491" s="36"/>
    </row>
    <row r="3492" spans="19:19" x14ac:dyDescent="0.3">
      <c r="S3492" s="36"/>
    </row>
    <row r="3493" spans="19:19" x14ac:dyDescent="0.3">
      <c r="S3493" s="36"/>
    </row>
    <row r="3494" spans="19:19" x14ac:dyDescent="0.3">
      <c r="S3494" s="36"/>
    </row>
    <row r="3495" spans="19:19" x14ac:dyDescent="0.3">
      <c r="S3495" s="36"/>
    </row>
    <row r="3496" spans="19:19" x14ac:dyDescent="0.3">
      <c r="S3496" s="36"/>
    </row>
    <row r="3497" spans="19:19" x14ac:dyDescent="0.3">
      <c r="S3497" s="36"/>
    </row>
    <row r="3498" spans="19:19" x14ac:dyDescent="0.3">
      <c r="S3498" s="36"/>
    </row>
    <row r="3499" spans="19:19" x14ac:dyDescent="0.3">
      <c r="S3499" s="36"/>
    </row>
    <row r="3500" spans="19:19" x14ac:dyDescent="0.3">
      <c r="S3500" s="36"/>
    </row>
    <row r="3501" spans="19:19" x14ac:dyDescent="0.3">
      <c r="S3501" s="36"/>
    </row>
    <row r="3502" spans="19:19" x14ac:dyDescent="0.3">
      <c r="S3502" s="36"/>
    </row>
    <row r="3503" spans="19:19" x14ac:dyDescent="0.3">
      <c r="S3503" s="36"/>
    </row>
    <row r="3504" spans="19:19" x14ac:dyDescent="0.3">
      <c r="S3504" s="36"/>
    </row>
    <row r="3505" spans="19:19" x14ac:dyDescent="0.3">
      <c r="S3505" s="36"/>
    </row>
    <row r="3506" spans="19:19" x14ac:dyDescent="0.3">
      <c r="S3506" s="36"/>
    </row>
    <row r="3507" spans="19:19" x14ac:dyDescent="0.3">
      <c r="S3507" s="36"/>
    </row>
    <row r="3508" spans="19:19" x14ac:dyDescent="0.3">
      <c r="S3508" s="36"/>
    </row>
    <row r="3509" spans="19:19" x14ac:dyDescent="0.3">
      <c r="S3509" s="36"/>
    </row>
    <row r="3510" spans="19:19" x14ac:dyDescent="0.3">
      <c r="S3510" s="36"/>
    </row>
    <row r="3511" spans="19:19" x14ac:dyDescent="0.3">
      <c r="S3511" s="36"/>
    </row>
    <row r="3512" spans="19:19" x14ac:dyDescent="0.3">
      <c r="S3512" s="36"/>
    </row>
    <row r="3513" spans="19:19" x14ac:dyDescent="0.3">
      <c r="S3513" s="36"/>
    </row>
    <row r="3514" spans="19:19" x14ac:dyDescent="0.3">
      <c r="S3514" s="36"/>
    </row>
    <row r="3515" spans="19:19" x14ac:dyDescent="0.3">
      <c r="S3515" s="36"/>
    </row>
    <row r="3516" spans="19:19" x14ac:dyDescent="0.3">
      <c r="S3516" s="36"/>
    </row>
    <row r="3517" spans="19:19" x14ac:dyDescent="0.3">
      <c r="S3517" s="36"/>
    </row>
    <row r="3518" spans="19:19" x14ac:dyDescent="0.3">
      <c r="S3518" s="36"/>
    </row>
    <row r="3519" spans="19:19" x14ac:dyDescent="0.3">
      <c r="S3519" s="36"/>
    </row>
    <row r="3520" spans="19:19" x14ac:dyDescent="0.3">
      <c r="S3520" s="36"/>
    </row>
    <row r="3521" spans="19:19" x14ac:dyDescent="0.3">
      <c r="S3521" s="36"/>
    </row>
    <row r="3522" spans="19:19" x14ac:dyDescent="0.3">
      <c r="S3522" s="36"/>
    </row>
    <row r="3523" spans="19:19" x14ac:dyDescent="0.3">
      <c r="S3523" s="36"/>
    </row>
    <row r="3524" spans="19:19" x14ac:dyDescent="0.3">
      <c r="S3524" s="36"/>
    </row>
    <row r="3525" spans="19:19" x14ac:dyDescent="0.3">
      <c r="S3525" s="36"/>
    </row>
    <row r="3526" spans="19:19" x14ac:dyDescent="0.3">
      <c r="S3526" s="36"/>
    </row>
    <row r="3527" spans="19:19" x14ac:dyDescent="0.3">
      <c r="S3527" s="36"/>
    </row>
    <row r="3528" spans="19:19" x14ac:dyDescent="0.3">
      <c r="S3528" s="36"/>
    </row>
    <row r="3529" spans="19:19" x14ac:dyDescent="0.3">
      <c r="S3529" s="36"/>
    </row>
    <row r="3530" spans="19:19" x14ac:dyDescent="0.3">
      <c r="S3530" s="36"/>
    </row>
    <row r="3531" spans="19:19" x14ac:dyDescent="0.3">
      <c r="S3531" s="36"/>
    </row>
    <row r="3532" spans="19:19" x14ac:dyDescent="0.3">
      <c r="S3532" s="36"/>
    </row>
    <row r="3533" spans="19:19" x14ac:dyDescent="0.3">
      <c r="S3533" s="36"/>
    </row>
    <row r="3534" spans="19:19" x14ac:dyDescent="0.3">
      <c r="S3534" s="36"/>
    </row>
    <row r="3535" spans="19:19" x14ac:dyDescent="0.3">
      <c r="S3535" s="36"/>
    </row>
    <row r="3536" spans="19:19" x14ac:dyDescent="0.3">
      <c r="S3536" s="36"/>
    </row>
    <row r="3537" spans="19:19" x14ac:dyDescent="0.3">
      <c r="S3537" s="36"/>
    </row>
    <row r="3538" spans="19:19" x14ac:dyDescent="0.3">
      <c r="S3538" s="36"/>
    </row>
    <row r="3539" spans="19:19" x14ac:dyDescent="0.3">
      <c r="S3539" s="36"/>
    </row>
    <row r="3540" spans="19:19" x14ac:dyDescent="0.3">
      <c r="S3540" s="36"/>
    </row>
    <row r="3541" spans="19:19" x14ac:dyDescent="0.3">
      <c r="S3541" s="36"/>
    </row>
    <row r="3542" spans="19:19" x14ac:dyDescent="0.3">
      <c r="S3542" s="36"/>
    </row>
    <row r="3543" spans="19:19" x14ac:dyDescent="0.3">
      <c r="S3543" s="36"/>
    </row>
    <row r="3544" spans="19:19" x14ac:dyDescent="0.3">
      <c r="S3544" s="36"/>
    </row>
    <row r="3545" spans="19:19" x14ac:dyDescent="0.3">
      <c r="S3545" s="36"/>
    </row>
    <row r="3546" spans="19:19" x14ac:dyDescent="0.3">
      <c r="S3546" s="36"/>
    </row>
    <row r="3547" spans="19:19" x14ac:dyDescent="0.3">
      <c r="S3547" s="36"/>
    </row>
    <row r="3548" spans="19:19" x14ac:dyDescent="0.3">
      <c r="S3548" s="36"/>
    </row>
    <row r="3549" spans="19:19" x14ac:dyDescent="0.3">
      <c r="S3549" s="36"/>
    </row>
    <row r="3550" spans="19:19" x14ac:dyDescent="0.3">
      <c r="S3550" s="36"/>
    </row>
    <row r="3551" spans="19:19" x14ac:dyDescent="0.3">
      <c r="S3551" s="36"/>
    </row>
    <row r="3552" spans="19:19" x14ac:dyDescent="0.3">
      <c r="S3552" s="36"/>
    </row>
    <row r="3553" spans="19:19" x14ac:dyDescent="0.3">
      <c r="S3553" s="36"/>
    </row>
    <row r="3554" spans="19:19" x14ac:dyDescent="0.3">
      <c r="S3554" s="36"/>
    </row>
    <row r="3555" spans="19:19" x14ac:dyDescent="0.3">
      <c r="S3555" s="36"/>
    </row>
    <row r="3556" spans="19:19" x14ac:dyDescent="0.3">
      <c r="S3556" s="36"/>
    </row>
    <row r="3557" spans="19:19" x14ac:dyDescent="0.3">
      <c r="S3557" s="36"/>
    </row>
    <row r="3558" spans="19:19" x14ac:dyDescent="0.3">
      <c r="S3558" s="36"/>
    </row>
    <row r="3559" spans="19:19" x14ac:dyDescent="0.3">
      <c r="S3559" s="36"/>
    </row>
    <row r="3560" spans="19:19" x14ac:dyDescent="0.3">
      <c r="S3560" s="36"/>
    </row>
    <row r="3561" spans="19:19" x14ac:dyDescent="0.3">
      <c r="S3561" s="36"/>
    </row>
    <row r="3562" spans="19:19" x14ac:dyDescent="0.3">
      <c r="S3562" s="36"/>
    </row>
    <row r="3563" spans="19:19" x14ac:dyDescent="0.3">
      <c r="S3563" s="36"/>
    </row>
    <row r="3564" spans="19:19" x14ac:dyDescent="0.3">
      <c r="S3564" s="36"/>
    </row>
    <row r="3565" spans="19:19" x14ac:dyDescent="0.3">
      <c r="S3565" s="36"/>
    </row>
    <row r="3566" spans="19:19" x14ac:dyDescent="0.3">
      <c r="S3566" s="36"/>
    </row>
    <row r="3567" spans="19:19" x14ac:dyDescent="0.3">
      <c r="S3567" s="36"/>
    </row>
    <row r="3568" spans="19:19" x14ac:dyDescent="0.3">
      <c r="S3568" s="36"/>
    </row>
    <row r="3569" spans="19:19" x14ac:dyDescent="0.3">
      <c r="S3569" s="36"/>
    </row>
    <row r="3570" spans="19:19" x14ac:dyDescent="0.3">
      <c r="S3570" s="36"/>
    </row>
    <row r="3571" spans="19:19" x14ac:dyDescent="0.3">
      <c r="S3571" s="36"/>
    </row>
    <row r="3572" spans="19:19" x14ac:dyDescent="0.3">
      <c r="S3572" s="36"/>
    </row>
    <row r="3573" spans="19:19" x14ac:dyDescent="0.3">
      <c r="S3573" s="36"/>
    </row>
    <row r="3574" spans="19:19" x14ac:dyDescent="0.3">
      <c r="S3574" s="36"/>
    </row>
    <row r="3575" spans="19:19" x14ac:dyDescent="0.3">
      <c r="S3575" s="36"/>
    </row>
    <row r="3576" spans="19:19" x14ac:dyDescent="0.3">
      <c r="S3576" s="36"/>
    </row>
    <row r="3577" spans="19:19" x14ac:dyDescent="0.3">
      <c r="S3577" s="36"/>
    </row>
    <row r="3578" spans="19:19" x14ac:dyDescent="0.3">
      <c r="S3578" s="36"/>
    </row>
    <row r="3579" spans="19:19" x14ac:dyDescent="0.3">
      <c r="S3579" s="36"/>
    </row>
    <row r="3580" spans="19:19" x14ac:dyDescent="0.3">
      <c r="S3580" s="36"/>
    </row>
    <row r="3581" spans="19:19" x14ac:dyDescent="0.3">
      <c r="S3581" s="36"/>
    </row>
    <row r="3582" spans="19:19" x14ac:dyDescent="0.3">
      <c r="S3582" s="36"/>
    </row>
    <row r="3583" spans="19:19" x14ac:dyDescent="0.3">
      <c r="S3583" s="36"/>
    </row>
    <row r="3584" spans="19:19" x14ac:dyDescent="0.3">
      <c r="S3584" s="36"/>
    </row>
    <row r="3585" spans="19:19" x14ac:dyDescent="0.3">
      <c r="S3585" s="36"/>
    </row>
    <row r="3586" spans="19:19" x14ac:dyDescent="0.3">
      <c r="S3586" s="36"/>
    </row>
    <row r="3587" spans="19:19" x14ac:dyDescent="0.3">
      <c r="S3587" s="36"/>
    </row>
    <row r="3588" spans="19:19" x14ac:dyDescent="0.3">
      <c r="S3588" s="36"/>
    </row>
    <row r="3589" spans="19:19" x14ac:dyDescent="0.3">
      <c r="S3589" s="36"/>
    </row>
    <row r="3590" spans="19:19" x14ac:dyDescent="0.3">
      <c r="S3590" s="36"/>
    </row>
    <row r="3591" spans="19:19" x14ac:dyDescent="0.3">
      <c r="S3591" s="36"/>
    </row>
    <row r="3592" spans="19:19" x14ac:dyDescent="0.3">
      <c r="S3592" s="36"/>
    </row>
    <row r="3593" spans="19:19" x14ac:dyDescent="0.3">
      <c r="S3593" s="36"/>
    </row>
    <row r="3594" spans="19:19" x14ac:dyDescent="0.3">
      <c r="S3594" s="36"/>
    </row>
    <row r="3595" spans="19:19" x14ac:dyDescent="0.3">
      <c r="S3595" s="36"/>
    </row>
    <row r="3596" spans="19:19" x14ac:dyDescent="0.3">
      <c r="S3596" s="36"/>
    </row>
    <row r="3597" spans="19:19" x14ac:dyDescent="0.3">
      <c r="S3597" s="36"/>
    </row>
    <row r="3598" spans="19:19" x14ac:dyDescent="0.3">
      <c r="S3598" s="36"/>
    </row>
    <row r="3599" spans="19:19" x14ac:dyDescent="0.3">
      <c r="S3599" s="36"/>
    </row>
    <row r="3600" spans="19:19" x14ac:dyDescent="0.3">
      <c r="S3600" s="36"/>
    </row>
    <row r="3601" spans="19:19" x14ac:dyDescent="0.3">
      <c r="S3601" s="36"/>
    </row>
    <row r="3602" spans="19:19" x14ac:dyDescent="0.3">
      <c r="S3602" s="36"/>
    </row>
    <row r="3603" spans="19:19" x14ac:dyDescent="0.3">
      <c r="S3603" s="36"/>
    </row>
    <row r="3604" spans="19:19" x14ac:dyDescent="0.3">
      <c r="S3604" s="36"/>
    </row>
    <row r="3605" spans="19:19" x14ac:dyDescent="0.3">
      <c r="S3605" s="36"/>
    </row>
    <row r="3606" spans="19:19" x14ac:dyDescent="0.3">
      <c r="S3606" s="36"/>
    </row>
    <row r="3607" spans="19:19" x14ac:dyDescent="0.3">
      <c r="S3607" s="36"/>
    </row>
    <row r="3608" spans="19:19" x14ac:dyDescent="0.3">
      <c r="S3608" s="36"/>
    </row>
    <row r="3609" spans="19:19" x14ac:dyDescent="0.3">
      <c r="S3609" s="36"/>
    </row>
    <row r="3610" spans="19:19" x14ac:dyDescent="0.3">
      <c r="S3610" s="36"/>
    </row>
    <row r="3611" spans="19:19" x14ac:dyDescent="0.3">
      <c r="S3611" s="36"/>
    </row>
    <row r="3612" spans="19:19" x14ac:dyDescent="0.3">
      <c r="S3612" s="36"/>
    </row>
    <row r="3613" spans="19:19" x14ac:dyDescent="0.3">
      <c r="S3613" s="36"/>
    </row>
    <row r="3614" spans="19:19" x14ac:dyDescent="0.3">
      <c r="S3614" s="36"/>
    </row>
    <row r="3615" spans="19:19" x14ac:dyDescent="0.3">
      <c r="S3615" s="36"/>
    </row>
    <row r="3616" spans="19:19" x14ac:dyDescent="0.3">
      <c r="S3616" s="36"/>
    </row>
    <row r="3617" spans="19:19" x14ac:dyDescent="0.3">
      <c r="S3617" s="36"/>
    </row>
    <row r="3618" spans="19:19" x14ac:dyDescent="0.3">
      <c r="S3618" s="36"/>
    </row>
    <row r="3619" spans="19:19" x14ac:dyDescent="0.3">
      <c r="S3619" s="36"/>
    </row>
    <row r="3620" spans="19:19" x14ac:dyDescent="0.3">
      <c r="S3620" s="36"/>
    </row>
    <row r="3621" spans="19:19" x14ac:dyDescent="0.3">
      <c r="S3621" s="36"/>
    </row>
    <row r="3622" spans="19:19" x14ac:dyDescent="0.3">
      <c r="S3622" s="36"/>
    </row>
    <row r="3623" spans="19:19" x14ac:dyDescent="0.3">
      <c r="S3623" s="36"/>
    </row>
    <row r="3624" spans="19:19" x14ac:dyDescent="0.3">
      <c r="S3624" s="36"/>
    </row>
    <row r="3625" spans="19:19" x14ac:dyDescent="0.3">
      <c r="S3625" s="36"/>
    </row>
    <row r="3626" spans="19:19" x14ac:dyDescent="0.3">
      <c r="S3626" s="36"/>
    </row>
    <row r="3627" spans="19:19" x14ac:dyDescent="0.3">
      <c r="S3627" s="36"/>
    </row>
    <row r="3628" spans="19:19" x14ac:dyDescent="0.3">
      <c r="S3628" s="36"/>
    </row>
    <row r="3629" spans="19:19" x14ac:dyDescent="0.3">
      <c r="S3629" s="36"/>
    </row>
    <row r="3630" spans="19:19" x14ac:dyDescent="0.3">
      <c r="S3630" s="36"/>
    </row>
    <row r="3631" spans="19:19" x14ac:dyDescent="0.3">
      <c r="S3631" s="36"/>
    </row>
    <row r="3632" spans="19:19" x14ac:dyDescent="0.3">
      <c r="S3632" s="36"/>
    </row>
    <row r="3633" spans="19:19" x14ac:dyDescent="0.3">
      <c r="S3633" s="36"/>
    </row>
    <row r="3634" spans="19:19" x14ac:dyDescent="0.3">
      <c r="S3634" s="36"/>
    </row>
    <row r="3635" spans="19:19" x14ac:dyDescent="0.3">
      <c r="S3635" s="36"/>
    </row>
    <row r="3636" spans="19:19" x14ac:dyDescent="0.3">
      <c r="S3636" s="36"/>
    </row>
    <row r="3637" spans="19:19" x14ac:dyDescent="0.3">
      <c r="S3637" s="36"/>
    </row>
    <row r="3638" spans="19:19" x14ac:dyDescent="0.3">
      <c r="S3638" s="36"/>
    </row>
    <row r="3639" spans="19:19" x14ac:dyDescent="0.3">
      <c r="S3639" s="36"/>
    </row>
    <row r="3640" spans="19:19" x14ac:dyDescent="0.3">
      <c r="S3640" s="36"/>
    </row>
    <row r="3641" spans="19:19" x14ac:dyDescent="0.3">
      <c r="S3641" s="36"/>
    </row>
    <row r="3642" spans="19:19" x14ac:dyDescent="0.3">
      <c r="S3642" s="36"/>
    </row>
    <row r="3643" spans="19:19" x14ac:dyDescent="0.3">
      <c r="S3643" s="36"/>
    </row>
    <row r="3644" spans="19:19" x14ac:dyDescent="0.3">
      <c r="S3644" s="36"/>
    </row>
    <row r="3645" spans="19:19" x14ac:dyDescent="0.3">
      <c r="S3645" s="36"/>
    </row>
    <row r="3646" spans="19:19" x14ac:dyDescent="0.3">
      <c r="S3646" s="36"/>
    </row>
    <row r="3647" spans="19:19" x14ac:dyDescent="0.3">
      <c r="S3647" s="36"/>
    </row>
    <row r="3648" spans="19:19" x14ac:dyDescent="0.3">
      <c r="S3648" s="36"/>
    </row>
    <row r="3649" spans="19:19" x14ac:dyDescent="0.3">
      <c r="S3649" s="36"/>
    </row>
    <row r="3650" spans="19:19" x14ac:dyDescent="0.3">
      <c r="S3650" s="36"/>
    </row>
    <row r="3651" spans="19:19" x14ac:dyDescent="0.3">
      <c r="S3651" s="36"/>
    </row>
    <row r="3652" spans="19:19" x14ac:dyDescent="0.3">
      <c r="S3652" s="36"/>
    </row>
    <row r="3653" spans="19:19" x14ac:dyDescent="0.3">
      <c r="S3653" s="36"/>
    </row>
    <row r="3654" spans="19:19" x14ac:dyDescent="0.3">
      <c r="S3654" s="36"/>
    </row>
    <row r="3655" spans="19:19" x14ac:dyDescent="0.3">
      <c r="S3655" s="36"/>
    </row>
    <row r="3656" spans="19:19" x14ac:dyDescent="0.3">
      <c r="S3656" s="36"/>
    </row>
    <row r="3657" spans="19:19" x14ac:dyDescent="0.3">
      <c r="S3657" s="36"/>
    </row>
    <row r="3658" spans="19:19" x14ac:dyDescent="0.3">
      <c r="S3658" s="36"/>
    </row>
    <row r="3659" spans="19:19" x14ac:dyDescent="0.3">
      <c r="S3659" s="36"/>
    </row>
    <row r="3660" spans="19:19" x14ac:dyDescent="0.3">
      <c r="S3660" s="36"/>
    </row>
    <row r="3661" spans="19:19" x14ac:dyDescent="0.3">
      <c r="S3661" s="36"/>
    </row>
    <row r="3662" spans="19:19" x14ac:dyDescent="0.3">
      <c r="S3662" s="36"/>
    </row>
    <row r="3663" spans="19:19" x14ac:dyDescent="0.3">
      <c r="S3663" s="36"/>
    </row>
    <row r="3664" spans="19:19" x14ac:dyDescent="0.3">
      <c r="S3664" s="36"/>
    </row>
    <row r="3665" spans="19:19" x14ac:dyDescent="0.3">
      <c r="S3665" s="36"/>
    </row>
    <row r="3666" spans="19:19" x14ac:dyDescent="0.3">
      <c r="S3666" s="36"/>
    </row>
    <row r="3667" spans="19:19" x14ac:dyDescent="0.3">
      <c r="S3667" s="36"/>
    </row>
    <row r="3668" spans="19:19" x14ac:dyDescent="0.3">
      <c r="S3668" s="36"/>
    </row>
    <row r="3669" spans="19:19" x14ac:dyDescent="0.3">
      <c r="S3669" s="36"/>
    </row>
    <row r="3670" spans="19:19" x14ac:dyDescent="0.3">
      <c r="S3670" s="36"/>
    </row>
    <row r="3671" spans="19:19" x14ac:dyDescent="0.3">
      <c r="S3671" s="36"/>
    </row>
    <row r="3672" spans="19:19" x14ac:dyDescent="0.3">
      <c r="S3672" s="36"/>
    </row>
    <row r="3673" spans="19:19" x14ac:dyDescent="0.3">
      <c r="S3673" s="36"/>
    </row>
    <row r="3674" spans="19:19" x14ac:dyDescent="0.3">
      <c r="S3674" s="36"/>
    </row>
    <row r="3675" spans="19:19" x14ac:dyDescent="0.3">
      <c r="S3675" s="36"/>
    </row>
    <row r="3676" spans="19:19" x14ac:dyDescent="0.3">
      <c r="S3676" s="36"/>
    </row>
    <row r="3677" spans="19:19" x14ac:dyDescent="0.3">
      <c r="S3677" s="36"/>
    </row>
    <row r="3678" spans="19:19" x14ac:dyDescent="0.3">
      <c r="S3678" s="36"/>
    </row>
    <row r="3679" spans="19:19" x14ac:dyDescent="0.3">
      <c r="S3679" s="36"/>
    </row>
    <row r="3680" spans="19:19" x14ac:dyDescent="0.3">
      <c r="S3680" s="36"/>
    </row>
    <row r="3681" spans="19:19" x14ac:dyDescent="0.3">
      <c r="S3681" s="36"/>
    </row>
    <row r="3682" spans="19:19" x14ac:dyDescent="0.3">
      <c r="S3682" s="36"/>
    </row>
    <row r="3683" spans="19:19" x14ac:dyDescent="0.3">
      <c r="S3683" s="36"/>
    </row>
    <row r="3684" spans="19:19" x14ac:dyDescent="0.3">
      <c r="S3684" s="36"/>
    </row>
    <row r="3685" spans="19:19" x14ac:dyDescent="0.3">
      <c r="S3685" s="36"/>
    </row>
    <row r="3686" spans="19:19" x14ac:dyDescent="0.3">
      <c r="S3686" s="36"/>
    </row>
    <row r="3687" spans="19:19" x14ac:dyDescent="0.3">
      <c r="S3687" s="36"/>
    </row>
    <row r="3688" spans="19:19" x14ac:dyDescent="0.3">
      <c r="S3688" s="36"/>
    </row>
    <row r="3689" spans="19:19" x14ac:dyDescent="0.3">
      <c r="S3689" s="36"/>
    </row>
    <row r="3690" spans="19:19" x14ac:dyDescent="0.3">
      <c r="S3690" s="36"/>
    </row>
    <row r="3691" spans="19:19" x14ac:dyDescent="0.3">
      <c r="S3691" s="36"/>
    </row>
    <row r="3692" spans="19:19" x14ac:dyDescent="0.3">
      <c r="S3692" s="36"/>
    </row>
    <row r="3693" spans="19:19" x14ac:dyDescent="0.3">
      <c r="S3693" s="36"/>
    </row>
    <row r="3694" spans="19:19" x14ac:dyDescent="0.3">
      <c r="S3694" s="36"/>
    </row>
    <row r="3695" spans="19:19" x14ac:dyDescent="0.3">
      <c r="S3695" s="36"/>
    </row>
    <row r="3696" spans="19:19" x14ac:dyDescent="0.3">
      <c r="S3696" s="36"/>
    </row>
    <row r="3697" spans="19:19" x14ac:dyDescent="0.3">
      <c r="S3697" s="36"/>
    </row>
    <row r="3698" spans="19:19" x14ac:dyDescent="0.3">
      <c r="S3698" s="36"/>
    </row>
    <row r="3699" spans="19:19" x14ac:dyDescent="0.3">
      <c r="S3699" s="36"/>
    </row>
    <row r="3700" spans="19:19" x14ac:dyDescent="0.3">
      <c r="S3700" s="36"/>
    </row>
    <row r="3701" spans="19:19" x14ac:dyDescent="0.3">
      <c r="S3701" s="36"/>
    </row>
    <row r="3702" spans="19:19" x14ac:dyDescent="0.3">
      <c r="S3702" s="36"/>
    </row>
    <row r="3703" spans="19:19" x14ac:dyDescent="0.3">
      <c r="S3703" s="36"/>
    </row>
    <row r="3704" spans="19:19" x14ac:dyDescent="0.3">
      <c r="S3704" s="36"/>
    </row>
    <row r="3705" spans="19:19" x14ac:dyDescent="0.3">
      <c r="S3705" s="36"/>
    </row>
    <row r="3706" spans="19:19" x14ac:dyDescent="0.3">
      <c r="S3706" s="36"/>
    </row>
    <row r="3707" spans="19:19" x14ac:dyDescent="0.3">
      <c r="S3707" s="36"/>
    </row>
    <row r="3708" spans="19:19" x14ac:dyDescent="0.3">
      <c r="S3708" s="36"/>
    </row>
    <row r="3709" spans="19:19" x14ac:dyDescent="0.3">
      <c r="S3709" s="36"/>
    </row>
    <row r="3710" spans="19:19" x14ac:dyDescent="0.3">
      <c r="S3710" s="36"/>
    </row>
    <row r="3711" spans="19:19" x14ac:dyDescent="0.3">
      <c r="S3711" s="36"/>
    </row>
    <row r="3712" spans="19:19" x14ac:dyDescent="0.3">
      <c r="S3712" s="36"/>
    </row>
    <row r="3713" spans="19:19" x14ac:dyDescent="0.3">
      <c r="S3713" s="36"/>
    </row>
    <row r="3714" spans="19:19" x14ac:dyDescent="0.3">
      <c r="S3714" s="36"/>
    </row>
    <row r="3715" spans="19:19" x14ac:dyDescent="0.3">
      <c r="S3715" s="36"/>
    </row>
    <row r="3716" spans="19:19" x14ac:dyDescent="0.3">
      <c r="S3716" s="36"/>
    </row>
    <row r="3717" spans="19:19" x14ac:dyDescent="0.3">
      <c r="S3717" s="36"/>
    </row>
    <row r="3718" spans="19:19" x14ac:dyDescent="0.3">
      <c r="S3718" s="36"/>
    </row>
    <row r="3719" spans="19:19" x14ac:dyDescent="0.3">
      <c r="S3719" s="36"/>
    </row>
    <row r="3720" spans="19:19" x14ac:dyDescent="0.3">
      <c r="S3720" s="36"/>
    </row>
    <row r="3721" spans="19:19" x14ac:dyDescent="0.3">
      <c r="S3721" s="36"/>
    </row>
    <row r="3722" spans="19:19" x14ac:dyDescent="0.3">
      <c r="S3722" s="36"/>
    </row>
    <row r="3723" spans="19:19" x14ac:dyDescent="0.3">
      <c r="S3723" s="36"/>
    </row>
    <row r="3724" spans="19:19" x14ac:dyDescent="0.3">
      <c r="S3724" s="36"/>
    </row>
    <row r="3725" spans="19:19" x14ac:dyDescent="0.3">
      <c r="S3725" s="36"/>
    </row>
    <row r="3726" spans="19:19" x14ac:dyDescent="0.3">
      <c r="S3726" s="36"/>
    </row>
    <row r="3727" spans="19:19" x14ac:dyDescent="0.3">
      <c r="S3727" s="36"/>
    </row>
    <row r="3728" spans="19:19" x14ac:dyDescent="0.3">
      <c r="S3728" s="36"/>
    </row>
    <row r="3729" spans="19:19" x14ac:dyDescent="0.3">
      <c r="S3729" s="36"/>
    </row>
    <row r="3730" spans="19:19" x14ac:dyDescent="0.3">
      <c r="S3730" s="36"/>
    </row>
    <row r="3731" spans="19:19" x14ac:dyDescent="0.3">
      <c r="S3731" s="36"/>
    </row>
    <row r="3732" spans="19:19" x14ac:dyDescent="0.3">
      <c r="S3732" s="36"/>
    </row>
    <row r="3733" spans="19:19" x14ac:dyDescent="0.3">
      <c r="S3733" s="36"/>
    </row>
    <row r="3734" spans="19:19" x14ac:dyDescent="0.3">
      <c r="S3734" s="36"/>
    </row>
    <row r="3735" spans="19:19" x14ac:dyDescent="0.3">
      <c r="S3735" s="36"/>
    </row>
    <row r="3736" spans="19:19" x14ac:dyDescent="0.3">
      <c r="S3736" s="36"/>
    </row>
    <row r="3737" spans="19:19" x14ac:dyDescent="0.3">
      <c r="S3737" s="36"/>
    </row>
    <row r="3738" spans="19:19" x14ac:dyDescent="0.3">
      <c r="S3738" s="36"/>
    </row>
    <row r="3739" spans="19:19" x14ac:dyDescent="0.3">
      <c r="S3739" s="36"/>
    </row>
    <row r="3740" spans="19:19" x14ac:dyDescent="0.3">
      <c r="S3740" s="36"/>
    </row>
    <row r="3741" spans="19:19" x14ac:dyDescent="0.3">
      <c r="S3741" s="36"/>
    </row>
    <row r="3742" spans="19:19" x14ac:dyDescent="0.3">
      <c r="S3742" s="36"/>
    </row>
    <row r="3743" spans="19:19" x14ac:dyDescent="0.3">
      <c r="S3743" s="36"/>
    </row>
    <row r="3744" spans="19:19" x14ac:dyDescent="0.3">
      <c r="S3744" s="36"/>
    </row>
    <row r="3745" spans="19:19" x14ac:dyDescent="0.3">
      <c r="S3745" s="36"/>
    </row>
    <row r="3746" spans="19:19" x14ac:dyDescent="0.3">
      <c r="S3746" s="36"/>
    </row>
    <row r="3747" spans="19:19" x14ac:dyDescent="0.3">
      <c r="S3747" s="36"/>
    </row>
    <row r="3748" spans="19:19" x14ac:dyDescent="0.3">
      <c r="S3748" s="36"/>
    </row>
    <row r="3749" spans="19:19" x14ac:dyDescent="0.3">
      <c r="S3749" s="36"/>
    </row>
    <row r="3750" spans="19:19" x14ac:dyDescent="0.3">
      <c r="S3750" s="36"/>
    </row>
    <row r="3751" spans="19:19" x14ac:dyDescent="0.3">
      <c r="S3751" s="36"/>
    </row>
    <row r="3752" spans="19:19" x14ac:dyDescent="0.3">
      <c r="S3752" s="36"/>
    </row>
    <row r="3753" spans="19:19" x14ac:dyDescent="0.3">
      <c r="S3753" s="36"/>
    </row>
    <row r="3754" spans="19:19" x14ac:dyDescent="0.3">
      <c r="S3754" s="36"/>
    </row>
    <row r="3755" spans="19:19" x14ac:dyDescent="0.3">
      <c r="S3755" s="36"/>
    </row>
    <row r="3756" spans="19:19" x14ac:dyDescent="0.3">
      <c r="S3756" s="36"/>
    </row>
    <row r="3757" spans="19:19" x14ac:dyDescent="0.3">
      <c r="S3757" s="36"/>
    </row>
    <row r="3758" spans="19:19" x14ac:dyDescent="0.3">
      <c r="S3758" s="36"/>
    </row>
    <row r="3759" spans="19:19" x14ac:dyDescent="0.3">
      <c r="S3759" s="36"/>
    </row>
    <row r="3760" spans="19:19" x14ac:dyDescent="0.3">
      <c r="S3760" s="36"/>
    </row>
    <row r="3761" spans="19:19" x14ac:dyDescent="0.3">
      <c r="S3761" s="36"/>
    </row>
    <row r="3762" spans="19:19" x14ac:dyDescent="0.3">
      <c r="S3762" s="36"/>
    </row>
    <row r="3763" spans="19:19" x14ac:dyDescent="0.3">
      <c r="S3763" s="36"/>
    </row>
    <row r="3764" spans="19:19" x14ac:dyDescent="0.3">
      <c r="S3764" s="36"/>
    </row>
    <row r="3765" spans="19:19" x14ac:dyDescent="0.3">
      <c r="S3765" s="36"/>
    </row>
    <row r="3766" spans="19:19" x14ac:dyDescent="0.3">
      <c r="S3766" s="36"/>
    </row>
    <row r="3767" spans="19:19" x14ac:dyDescent="0.3">
      <c r="S3767" s="36"/>
    </row>
    <row r="3768" spans="19:19" x14ac:dyDescent="0.3">
      <c r="S3768" s="36"/>
    </row>
    <row r="3769" spans="19:19" x14ac:dyDescent="0.3">
      <c r="S3769" s="36"/>
    </row>
    <row r="3770" spans="19:19" x14ac:dyDescent="0.3">
      <c r="S3770" s="36"/>
    </row>
    <row r="3771" spans="19:19" x14ac:dyDescent="0.3">
      <c r="S3771" s="36"/>
    </row>
    <row r="3772" spans="19:19" x14ac:dyDescent="0.3">
      <c r="S3772" s="36"/>
    </row>
    <row r="3773" spans="19:19" x14ac:dyDescent="0.3">
      <c r="S3773" s="36"/>
    </row>
    <row r="3774" spans="19:19" x14ac:dyDescent="0.3">
      <c r="S3774" s="36"/>
    </row>
    <row r="3775" spans="19:19" x14ac:dyDescent="0.3">
      <c r="S3775" s="36"/>
    </row>
    <row r="3776" spans="19:19" x14ac:dyDescent="0.3">
      <c r="S3776" s="36"/>
    </row>
    <row r="3777" spans="19:19" x14ac:dyDescent="0.3">
      <c r="S3777" s="36"/>
    </row>
    <row r="3778" spans="19:19" x14ac:dyDescent="0.3">
      <c r="S3778" s="36"/>
    </row>
    <row r="3779" spans="19:19" x14ac:dyDescent="0.3">
      <c r="S3779" s="36"/>
    </row>
    <row r="3780" spans="19:19" x14ac:dyDescent="0.3">
      <c r="S3780" s="36"/>
    </row>
    <row r="3781" spans="19:19" x14ac:dyDescent="0.3">
      <c r="S3781" s="36"/>
    </row>
    <row r="3782" spans="19:19" x14ac:dyDescent="0.3">
      <c r="S3782" s="36"/>
    </row>
    <row r="3783" spans="19:19" x14ac:dyDescent="0.3">
      <c r="S3783" s="36"/>
    </row>
    <row r="3784" spans="19:19" x14ac:dyDescent="0.3">
      <c r="S3784" s="36"/>
    </row>
    <row r="3785" spans="19:19" x14ac:dyDescent="0.3">
      <c r="S3785" s="36"/>
    </row>
    <row r="3786" spans="19:19" x14ac:dyDescent="0.3">
      <c r="S3786" s="36"/>
    </row>
    <row r="3787" spans="19:19" x14ac:dyDescent="0.3">
      <c r="S3787" s="36"/>
    </row>
    <row r="3788" spans="19:19" x14ac:dyDescent="0.3">
      <c r="S3788" s="36"/>
    </row>
    <row r="3789" spans="19:19" x14ac:dyDescent="0.3">
      <c r="S3789" s="36"/>
    </row>
    <row r="3790" spans="19:19" x14ac:dyDescent="0.3">
      <c r="S3790" s="36"/>
    </row>
    <row r="3791" spans="19:19" x14ac:dyDescent="0.3">
      <c r="S3791" s="36"/>
    </row>
    <row r="3792" spans="19:19" x14ac:dyDescent="0.3">
      <c r="S3792" s="36"/>
    </row>
    <row r="3793" spans="19:19" x14ac:dyDescent="0.3">
      <c r="S3793" s="36"/>
    </row>
    <row r="3794" spans="19:19" x14ac:dyDescent="0.3">
      <c r="S3794" s="36"/>
    </row>
    <row r="3795" spans="19:19" x14ac:dyDescent="0.3">
      <c r="S3795" s="36"/>
    </row>
    <row r="3796" spans="19:19" x14ac:dyDescent="0.3">
      <c r="S3796" s="36"/>
    </row>
    <row r="3797" spans="19:19" x14ac:dyDescent="0.3">
      <c r="S3797" s="36"/>
    </row>
    <row r="3798" spans="19:19" x14ac:dyDescent="0.3">
      <c r="S3798" s="36"/>
    </row>
    <row r="3799" spans="19:19" x14ac:dyDescent="0.3">
      <c r="S3799" s="36"/>
    </row>
    <row r="3800" spans="19:19" x14ac:dyDescent="0.3">
      <c r="S3800" s="36"/>
    </row>
    <row r="3801" spans="19:19" x14ac:dyDescent="0.3">
      <c r="S3801" s="36"/>
    </row>
    <row r="3802" spans="19:19" x14ac:dyDescent="0.3">
      <c r="S3802" s="36"/>
    </row>
    <row r="3803" spans="19:19" x14ac:dyDescent="0.3">
      <c r="S3803" s="36"/>
    </row>
    <row r="3804" spans="19:19" x14ac:dyDescent="0.3">
      <c r="S3804" s="36"/>
    </row>
    <row r="3805" spans="19:19" x14ac:dyDescent="0.3">
      <c r="S3805" s="36"/>
    </row>
    <row r="3806" spans="19:19" x14ac:dyDescent="0.3">
      <c r="S3806" s="36"/>
    </row>
    <row r="3807" spans="19:19" x14ac:dyDescent="0.3">
      <c r="S3807" s="36"/>
    </row>
    <row r="3808" spans="19:19" x14ac:dyDescent="0.3">
      <c r="S3808" s="36"/>
    </row>
    <row r="3809" spans="19:19" x14ac:dyDescent="0.3">
      <c r="S3809" s="36"/>
    </row>
    <row r="3810" spans="19:19" x14ac:dyDescent="0.3">
      <c r="S3810" s="36"/>
    </row>
    <row r="3811" spans="19:19" x14ac:dyDescent="0.3">
      <c r="S3811" s="36"/>
    </row>
    <row r="3812" spans="19:19" x14ac:dyDescent="0.3">
      <c r="S3812" s="36"/>
    </row>
    <row r="3813" spans="19:19" x14ac:dyDescent="0.3">
      <c r="S3813" s="36"/>
    </row>
    <row r="3814" spans="19:19" x14ac:dyDescent="0.3">
      <c r="S3814" s="36"/>
    </row>
    <row r="3815" spans="19:19" x14ac:dyDescent="0.3">
      <c r="S3815" s="36"/>
    </row>
    <row r="3816" spans="19:19" x14ac:dyDescent="0.3">
      <c r="S3816" s="36"/>
    </row>
    <row r="3817" spans="19:19" x14ac:dyDescent="0.3">
      <c r="S3817" s="36"/>
    </row>
    <row r="3818" spans="19:19" x14ac:dyDescent="0.3">
      <c r="S3818" s="36"/>
    </row>
    <row r="3819" spans="19:19" x14ac:dyDescent="0.3">
      <c r="S3819" s="36"/>
    </row>
    <row r="3820" spans="19:19" x14ac:dyDescent="0.3">
      <c r="S3820" s="36"/>
    </row>
    <row r="3821" spans="19:19" x14ac:dyDescent="0.3">
      <c r="S3821" s="36"/>
    </row>
    <row r="3822" spans="19:19" x14ac:dyDescent="0.3">
      <c r="S3822" s="36"/>
    </row>
    <row r="3823" spans="19:19" x14ac:dyDescent="0.3">
      <c r="S3823" s="36"/>
    </row>
    <row r="3824" spans="19:19" x14ac:dyDescent="0.3">
      <c r="S3824" s="36"/>
    </row>
    <row r="3825" spans="19:19" x14ac:dyDescent="0.3">
      <c r="S3825" s="36"/>
    </row>
    <row r="3826" spans="19:19" x14ac:dyDescent="0.3">
      <c r="S3826" s="36"/>
    </row>
    <row r="3827" spans="19:19" x14ac:dyDescent="0.3">
      <c r="S3827" s="36"/>
    </row>
    <row r="3828" spans="19:19" x14ac:dyDescent="0.3">
      <c r="S3828" s="36"/>
    </row>
    <row r="3829" spans="19:19" x14ac:dyDescent="0.3">
      <c r="S3829" s="36"/>
    </row>
    <row r="3830" spans="19:19" x14ac:dyDescent="0.3">
      <c r="S3830" s="36"/>
    </row>
    <row r="3831" spans="19:19" x14ac:dyDescent="0.3">
      <c r="S3831" s="36"/>
    </row>
    <row r="3832" spans="19:19" x14ac:dyDescent="0.3">
      <c r="S3832" s="36"/>
    </row>
    <row r="3833" spans="19:19" x14ac:dyDescent="0.3">
      <c r="S3833" s="36"/>
    </row>
    <row r="3834" spans="19:19" x14ac:dyDescent="0.3">
      <c r="S3834" s="36"/>
    </row>
    <row r="3835" spans="19:19" x14ac:dyDescent="0.3">
      <c r="S3835" s="36"/>
    </row>
    <row r="3836" spans="19:19" x14ac:dyDescent="0.3">
      <c r="S3836" s="36"/>
    </row>
    <row r="3837" spans="19:19" x14ac:dyDescent="0.3">
      <c r="S3837" s="36"/>
    </row>
    <row r="3838" spans="19:19" x14ac:dyDescent="0.3">
      <c r="S3838" s="36"/>
    </row>
    <row r="3839" spans="19:19" x14ac:dyDescent="0.3">
      <c r="S3839" s="36"/>
    </row>
    <row r="3840" spans="19:19" x14ac:dyDescent="0.3">
      <c r="S3840" s="36"/>
    </row>
    <row r="3841" spans="19:19" x14ac:dyDescent="0.3">
      <c r="S3841" s="36"/>
    </row>
    <row r="3842" spans="19:19" x14ac:dyDescent="0.3">
      <c r="S3842" s="36"/>
    </row>
    <row r="3843" spans="19:19" x14ac:dyDescent="0.3">
      <c r="S3843" s="36"/>
    </row>
    <row r="3844" spans="19:19" x14ac:dyDescent="0.3">
      <c r="S3844" s="36"/>
    </row>
    <row r="3845" spans="19:19" x14ac:dyDescent="0.3">
      <c r="S3845" s="36"/>
    </row>
    <row r="3846" spans="19:19" x14ac:dyDescent="0.3">
      <c r="S3846" s="36"/>
    </row>
    <row r="3847" spans="19:19" x14ac:dyDescent="0.3">
      <c r="S3847" s="36"/>
    </row>
    <row r="3848" spans="19:19" x14ac:dyDescent="0.3">
      <c r="S3848" s="36"/>
    </row>
    <row r="3849" spans="19:19" x14ac:dyDescent="0.3">
      <c r="S3849" s="36"/>
    </row>
    <row r="3850" spans="19:19" x14ac:dyDescent="0.3">
      <c r="S3850" s="36"/>
    </row>
    <row r="3851" spans="19:19" x14ac:dyDescent="0.3">
      <c r="S3851" s="36"/>
    </row>
    <row r="3852" spans="19:19" x14ac:dyDescent="0.3">
      <c r="S3852" s="36"/>
    </row>
    <row r="3853" spans="19:19" x14ac:dyDescent="0.3">
      <c r="S3853" s="36"/>
    </row>
    <row r="3854" spans="19:19" x14ac:dyDescent="0.3">
      <c r="S3854" s="36"/>
    </row>
    <row r="3855" spans="19:19" x14ac:dyDescent="0.3">
      <c r="S3855" s="36"/>
    </row>
    <row r="3856" spans="19:19" x14ac:dyDescent="0.3">
      <c r="S3856" s="36"/>
    </row>
    <row r="3857" spans="19:19" x14ac:dyDescent="0.3">
      <c r="S3857" s="36"/>
    </row>
    <row r="3858" spans="19:19" x14ac:dyDescent="0.3">
      <c r="S3858" s="36"/>
    </row>
    <row r="3859" spans="19:19" x14ac:dyDescent="0.3">
      <c r="S3859" s="36"/>
    </row>
    <row r="3860" spans="19:19" x14ac:dyDescent="0.3">
      <c r="S3860" s="36"/>
    </row>
    <row r="3861" spans="19:19" x14ac:dyDescent="0.3">
      <c r="S3861" s="36"/>
    </row>
    <row r="3862" spans="19:19" x14ac:dyDescent="0.3">
      <c r="S3862" s="36"/>
    </row>
    <row r="3863" spans="19:19" x14ac:dyDescent="0.3">
      <c r="S3863" s="36"/>
    </row>
    <row r="3864" spans="19:19" x14ac:dyDescent="0.3">
      <c r="S3864" s="36"/>
    </row>
    <row r="3865" spans="19:19" x14ac:dyDescent="0.3">
      <c r="S3865" s="36"/>
    </row>
    <row r="3866" spans="19:19" x14ac:dyDescent="0.3">
      <c r="S3866" s="36"/>
    </row>
    <row r="3867" spans="19:19" x14ac:dyDescent="0.3">
      <c r="S3867" s="36"/>
    </row>
    <row r="3868" spans="19:19" x14ac:dyDescent="0.3">
      <c r="S3868" s="36"/>
    </row>
    <row r="3869" spans="19:19" x14ac:dyDescent="0.3">
      <c r="S3869" s="36"/>
    </row>
    <row r="3870" spans="19:19" x14ac:dyDescent="0.3">
      <c r="S3870" s="36"/>
    </row>
    <row r="3871" spans="19:19" x14ac:dyDescent="0.3">
      <c r="S3871" s="36"/>
    </row>
    <row r="3872" spans="19:19" x14ac:dyDescent="0.3">
      <c r="S3872" s="36"/>
    </row>
    <row r="3873" spans="19:19" x14ac:dyDescent="0.3">
      <c r="S3873" s="36"/>
    </row>
    <row r="3874" spans="19:19" x14ac:dyDescent="0.3">
      <c r="S3874" s="36"/>
    </row>
    <row r="3875" spans="19:19" x14ac:dyDescent="0.3">
      <c r="S3875" s="36"/>
    </row>
    <row r="3876" spans="19:19" x14ac:dyDescent="0.3">
      <c r="S3876" s="36"/>
    </row>
    <row r="3877" spans="19:19" x14ac:dyDescent="0.3">
      <c r="S3877" s="36"/>
    </row>
    <row r="3878" spans="19:19" x14ac:dyDescent="0.3">
      <c r="S3878" s="36"/>
    </row>
    <row r="3879" spans="19:19" x14ac:dyDescent="0.3">
      <c r="S3879" s="36"/>
    </row>
    <row r="3880" spans="19:19" x14ac:dyDescent="0.3">
      <c r="S3880" s="36"/>
    </row>
    <row r="3881" spans="19:19" x14ac:dyDescent="0.3">
      <c r="S3881" s="36"/>
    </row>
    <row r="3882" spans="19:19" x14ac:dyDescent="0.3">
      <c r="S3882" s="36"/>
    </row>
    <row r="3883" spans="19:19" x14ac:dyDescent="0.3">
      <c r="S3883" s="36"/>
    </row>
    <row r="3884" spans="19:19" x14ac:dyDescent="0.3">
      <c r="S3884" s="36"/>
    </row>
    <row r="3885" spans="19:19" x14ac:dyDescent="0.3">
      <c r="S3885" s="36"/>
    </row>
    <row r="3886" spans="19:19" x14ac:dyDescent="0.3">
      <c r="S3886" s="36"/>
    </row>
    <row r="3887" spans="19:19" x14ac:dyDescent="0.3">
      <c r="S3887" s="36"/>
    </row>
    <row r="3888" spans="19:19" x14ac:dyDescent="0.3">
      <c r="S3888" s="36"/>
    </row>
    <row r="3889" spans="19:19" x14ac:dyDescent="0.3">
      <c r="S3889" s="36"/>
    </row>
    <row r="3890" spans="19:19" x14ac:dyDescent="0.3">
      <c r="S3890" s="36"/>
    </row>
    <row r="3891" spans="19:19" x14ac:dyDescent="0.3">
      <c r="S3891" s="36"/>
    </row>
    <row r="3892" spans="19:19" x14ac:dyDescent="0.3">
      <c r="S3892" s="36"/>
    </row>
    <row r="3893" spans="19:19" x14ac:dyDescent="0.3">
      <c r="S3893" s="36"/>
    </row>
    <row r="3894" spans="19:19" x14ac:dyDescent="0.3">
      <c r="S3894" s="36"/>
    </row>
    <row r="3895" spans="19:19" x14ac:dyDescent="0.3">
      <c r="S3895" s="36"/>
    </row>
    <row r="3896" spans="19:19" x14ac:dyDescent="0.3">
      <c r="S3896" s="36"/>
    </row>
    <row r="3897" spans="19:19" x14ac:dyDescent="0.3">
      <c r="S3897" s="36"/>
    </row>
    <row r="3898" spans="19:19" x14ac:dyDescent="0.3">
      <c r="S3898" s="36"/>
    </row>
    <row r="3899" spans="19:19" x14ac:dyDescent="0.3">
      <c r="S3899" s="36"/>
    </row>
    <row r="3900" spans="19:19" x14ac:dyDescent="0.3">
      <c r="S3900" s="36"/>
    </row>
    <row r="3901" spans="19:19" x14ac:dyDescent="0.3">
      <c r="S3901" s="36"/>
    </row>
    <row r="3902" spans="19:19" x14ac:dyDescent="0.3">
      <c r="S3902" s="36"/>
    </row>
    <row r="3903" spans="19:19" x14ac:dyDescent="0.3">
      <c r="S3903" s="36"/>
    </row>
    <row r="3904" spans="19:19" x14ac:dyDescent="0.3">
      <c r="S3904" s="36"/>
    </row>
    <row r="3905" spans="19:19" x14ac:dyDescent="0.3">
      <c r="S3905" s="36"/>
    </row>
    <row r="3906" spans="19:19" x14ac:dyDescent="0.3">
      <c r="S3906" s="36"/>
    </row>
    <row r="3907" spans="19:19" x14ac:dyDescent="0.3">
      <c r="S3907" s="36"/>
    </row>
    <row r="3908" spans="19:19" x14ac:dyDescent="0.3">
      <c r="S3908" s="36"/>
    </row>
    <row r="3909" spans="19:19" x14ac:dyDescent="0.3">
      <c r="S3909" s="36"/>
    </row>
    <row r="3910" spans="19:19" x14ac:dyDescent="0.3">
      <c r="S3910" s="36"/>
    </row>
    <row r="3911" spans="19:19" x14ac:dyDescent="0.3">
      <c r="S3911" s="36"/>
    </row>
    <row r="3912" spans="19:19" x14ac:dyDescent="0.3">
      <c r="S3912" s="36"/>
    </row>
    <row r="3913" spans="19:19" x14ac:dyDescent="0.3">
      <c r="S3913" s="36"/>
    </row>
    <row r="3914" spans="19:19" x14ac:dyDescent="0.3">
      <c r="S3914" s="36"/>
    </row>
    <row r="3915" spans="19:19" x14ac:dyDescent="0.3">
      <c r="S3915" s="36"/>
    </row>
    <row r="3916" spans="19:19" x14ac:dyDescent="0.3">
      <c r="S3916" s="36"/>
    </row>
    <row r="3917" spans="19:19" x14ac:dyDescent="0.3">
      <c r="S3917" s="36"/>
    </row>
    <row r="3918" spans="19:19" x14ac:dyDescent="0.3">
      <c r="S3918" s="36"/>
    </row>
    <row r="3919" spans="19:19" x14ac:dyDescent="0.3">
      <c r="S3919" s="36"/>
    </row>
    <row r="3920" spans="19:19" x14ac:dyDescent="0.3">
      <c r="S3920" s="36"/>
    </row>
    <row r="3921" spans="19:19" x14ac:dyDescent="0.3">
      <c r="S3921" s="36"/>
    </row>
    <row r="3922" spans="19:19" x14ac:dyDescent="0.3">
      <c r="S3922" s="36"/>
    </row>
    <row r="3923" spans="19:19" x14ac:dyDescent="0.3">
      <c r="S3923" s="36"/>
    </row>
    <row r="3924" spans="19:19" x14ac:dyDescent="0.3">
      <c r="S3924" s="36"/>
    </row>
    <row r="3925" spans="19:19" x14ac:dyDescent="0.3">
      <c r="S3925" s="36"/>
    </row>
    <row r="3926" spans="19:19" x14ac:dyDescent="0.3">
      <c r="S3926" s="36"/>
    </row>
    <row r="3927" spans="19:19" x14ac:dyDescent="0.3">
      <c r="S3927" s="36"/>
    </row>
    <row r="3928" spans="19:19" x14ac:dyDescent="0.3">
      <c r="S3928" s="36"/>
    </row>
    <row r="3929" spans="19:19" x14ac:dyDescent="0.3">
      <c r="S3929" s="36"/>
    </row>
    <row r="3930" spans="19:19" x14ac:dyDescent="0.3">
      <c r="S3930" s="36"/>
    </row>
    <row r="3931" spans="19:19" x14ac:dyDescent="0.3">
      <c r="S3931" s="36"/>
    </row>
    <row r="3932" spans="19:19" x14ac:dyDescent="0.3">
      <c r="S3932" s="36"/>
    </row>
    <row r="3933" spans="19:19" x14ac:dyDescent="0.3">
      <c r="S3933" s="36"/>
    </row>
    <row r="3934" spans="19:19" x14ac:dyDescent="0.3">
      <c r="S3934" s="36"/>
    </row>
    <row r="3935" spans="19:19" x14ac:dyDescent="0.3">
      <c r="S3935" s="36"/>
    </row>
    <row r="3936" spans="19:19" x14ac:dyDescent="0.3">
      <c r="S3936" s="36"/>
    </row>
    <row r="3937" spans="19:19" x14ac:dyDescent="0.3">
      <c r="S3937" s="36"/>
    </row>
    <row r="3938" spans="19:19" x14ac:dyDescent="0.3">
      <c r="S3938" s="36"/>
    </row>
    <row r="3939" spans="19:19" x14ac:dyDescent="0.3">
      <c r="S3939" s="36"/>
    </row>
    <row r="3940" spans="19:19" x14ac:dyDescent="0.3">
      <c r="S3940" s="36"/>
    </row>
    <row r="3941" spans="19:19" x14ac:dyDescent="0.3">
      <c r="S3941" s="36"/>
    </row>
    <row r="3942" spans="19:19" x14ac:dyDescent="0.3">
      <c r="S3942" s="36"/>
    </row>
    <row r="3943" spans="19:19" x14ac:dyDescent="0.3">
      <c r="S3943" s="36"/>
    </row>
    <row r="3944" spans="19:19" x14ac:dyDescent="0.3">
      <c r="S3944" s="36"/>
    </row>
    <row r="3945" spans="19:19" x14ac:dyDescent="0.3">
      <c r="S3945" s="36"/>
    </row>
    <row r="3946" spans="19:19" x14ac:dyDescent="0.3">
      <c r="S3946" s="36"/>
    </row>
    <row r="3947" spans="19:19" x14ac:dyDescent="0.3">
      <c r="S3947" s="36"/>
    </row>
    <row r="3948" spans="19:19" x14ac:dyDescent="0.3">
      <c r="S3948" s="36"/>
    </row>
    <row r="3949" spans="19:19" x14ac:dyDescent="0.3">
      <c r="S3949" s="36"/>
    </row>
    <row r="3950" spans="19:19" x14ac:dyDescent="0.3">
      <c r="S3950" s="36"/>
    </row>
    <row r="3951" spans="19:19" x14ac:dyDescent="0.3">
      <c r="S3951" s="36"/>
    </row>
    <row r="3952" spans="19:19" x14ac:dyDescent="0.3">
      <c r="S3952" s="36"/>
    </row>
    <row r="3953" spans="19:19" x14ac:dyDescent="0.3">
      <c r="S3953" s="36"/>
    </row>
    <row r="3954" spans="19:19" x14ac:dyDescent="0.3">
      <c r="S3954" s="36"/>
    </row>
    <row r="3955" spans="19:19" x14ac:dyDescent="0.3">
      <c r="S3955" s="36"/>
    </row>
    <row r="3956" spans="19:19" x14ac:dyDescent="0.3">
      <c r="S3956" s="36"/>
    </row>
    <row r="3957" spans="19:19" x14ac:dyDescent="0.3">
      <c r="S3957" s="36"/>
    </row>
    <row r="3958" spans="19:19" x14ac:dyDescent="0.3">
      <c r="S3958" s="36"/>
    </row>
    <row r="3959" spans="19:19" x14ac:dyDescent="0.3">
      <c r="S3959" s="36"/>
    </row>
    <row r="3960" spans="19:19" x14ac:dyDescent="0.3">
      <c r="S3960" s="36"/>
    </row>
    <row r="3961" spans="19:19" x14ac:dyDescent="0.3">
      <c r="S3961" s="36"/>
    </row>
    <row r="3962" spans="19:19" x14ac:dyDescent="0.3">
      <c r="S3962" s="36"/>
    </row>
    <row r="3963" spans="19:19" x14ac:dyDescent="0.3">
      <c r="S3963" s="36"/>
    </row>
    <row r="3964" spans="19:19" x14ac:dyDescent="0.3">
      <c r="S3964" s="36"/>
    </row>
    <row r="3965" spans="19:19" x14ac:dyDescent="0.3">
      <c r="S3965" s="36"/>
    </row>
    <row r="3966" spans="19:19" x14ac:dyDescent="0.3">
      <c r="S3966" s="36"/>
    </row>
    <row r="3967" spans="19:19" x14ac:dyDescent="0.3">
      <c r="S3967" s="36"/>
    </row>
    <row r="3968" spans="19:19" x14ac:dyDescent="0.3">
      <c r="S3968" s="36"/>
    </row>
    <row r="3969" spans="19:19" x14ac:dyDescent="0.3">
      <c r="S3969" s="36"/>
    </row>
    <row r="3970" spans="19:19" x14ac:dyDescent="0.3">
      <c r="S3970" s="36"/>
    </row>
    <row r="3971" spans="19:19" x14ac:dyDescent="0.3">
      <c r="S3971" s="36"/>
    </row>
    <row r="3972" spans="19:19" x14ac:dyDescent="0.3">
      <c r="S3972" s="36"/>
    </row>
    <row r="3973" spans="19:19" x14ac:dyDescent="0.3">
      <c r="S3973" s="36"/>
    </row>
    <row r="3974" spans="19:19" x14ac:dyDescent="0.3">
      <c r="S3974" s="36"/>
    </row>
    <row r="3975" spans="19:19" x14ac:dyDescent="0.3">
      <c r="S3975" s="36"/>
    </row>
    <row r="3976" spans="19:19" x14ac:dyDescent="0.3">
      <c r="S3976" s="36"/>
    </row>
    <row r="3977" spans="19:19" x14ac:dyDescent="0.3">
      <c r="S3977" s="36"/>
    </row>
    <row r="3978" spans="19:19" x14ac:dyDescent="0.3">
      <c r="S3978" s="36"/>
    </row>
    <row r="3979" spans="19:19" x14ac:dyDescent="0.3">
      <c r="S3979" s="36"/>
    </row>
    <row r="3980" spans="19:19" x14ac:dyDescent="0.3">
      <c r="S3980" s="36"/>
    </row>
    <row r="3981" spans="19:19" x14ac:dyDescent="0.3">
      <c r="S3981" s="36"/>
    </row>
    <row r="3982" spans="19:19" x14ac:dyDescent="0.3">
      <c r="S3982" s="36"/>
    </row>
    <row r="3983" spans="19:19" x14ac:dyDescent="0.3">
      <c r="S3983" s="36"/>
    </row>
    <row r="3984" spans="19:19" x14ac:dyDescent="0.3">
      <c r="S3984" s="36"/>
    </row>
    <row r="3985" spans="19:19" x14ac:dyDescent="0.3">
      <c r="S3985" s="36"/>
    </row>
    <row r="3986" spans="19:19" x14ac:dyDescent="0.3">
      <c r="S3986" s="36"/>
    </row>
    <row r="3987" spans="19:19" x14ac:dyDescent="0.3">
      <c r="S3987" s="36"/>
    </row>
    <row r="3988" spans="19:19" x14ac:dyDescent="0.3">
      <c r="S3988" s="36"/>
    </row>
    <row r="3989" spans="19:19" x14ac:dyDescent="0.3">
      <c r="S3989" s="36"/>
    </row>
    <row r="3990" spans="19:19" x14ac:dyDescent="0.3">
      <c r="S3990" s="36"/>
    </row>
    <row r="3991" spans="19:19" x14ac:dyDescent="0.3">
      <c r="S3991" s="36"/>
    </row>
    <row r="3992" spans="19:19" x14ac:dyDescent="0.3">
      <c r="S3992" s="36"/>
    </row>
    <row r="3993" spans="19:19" x14ac:dyDescent="0.3">
      <c r="S3993" s="36"/>
    </row>
    <row r="3994" spans="19:19" x14ac:dyDescent="0.3">
      <c r="S3994" s="36"/>
    </row>
    <row r="3995" spans="19:19" x14ac:dyDescent="0.3">
      <c r="S3995" s="36"/>
    </row>
    <row r="3996" spans="19:19" x14ac:dyDescent="0.3">
      <c r="S3996" s="36"/>
    </row>
    <row r="3997" spans="19:19" x14ac:dyDescent="0.3">
      <c r="S3997" s="36"/>
    </row>
    <row r="3998" spans="19:19" x14ac:dyDescent="0.3">
      <c r="S3998" s="36"/>
    </row>
    <row r="3999" spans="19:19" x14ac:dyDescent="0.3">
      <c r="S3999" s="36"/>
    </row>
    <row r="4000" spans="19:19" x14ac:dyDescent="0.3">
      <c r="S4000" s="36"/>
    </row>
    <row r="4001" spans="19:19" x14ac:dyDescent="0.3">
      <c r="S4001" s="36"/>
    </row>
    <row r="4002" spans="19:19" x14ac:dyDescent="0.3">
      <c r="S4002" s="36"/>
    </row>
    <row r="4003" spans="19:19" x14ac:dyDescent="0.3">
      <c r="S4003" s="36"/>
    </row>
    <row r="4004" spans="19:19" x14ac:dyDescent="0.3">
      <c r="S4004" s="36"/>
    </row>
    <row r="4005" spans="19:19" x14ac:dyDescent="0.3">
      <c r="S4005" s="36"/>
    </row>
    <row r="4006" spans="19:19" x14ac:dyDescent="0.3">
      <c r="S4006" s="36"/>
    </row>
    <row r="4007" spans="19:19" x14ac:dyDescent="0.3">
      <c r="S4007" s="36"/>
    </row>
    <row r="4008" spans="19:19" x14ac:dyDescent="0.3">
      <c r="S4008" s="36"/>
    </row>
    <row r="4009" spans="19:19" x14ac:dyDescent="0.3">
      <c r="S4009" s="36"/>
    </row>
    <row r="4010" spans="19:19" x14ac:dyDescent="0.3">
      <c r="S4010" s="36"/>
    </row>
    <row r="4011" spans="19:19" x14ac:dyDescent="0.3">
      <c r="S4011" s="36"/>
    </row>
    <row r="4012" spans="19:19" x14ac:dyDescent="0.3">
      <c r="S4012" s="36"/>
    </row>
    <row r="4013" spans="19:19" x14ac:dyDescent="0.3">
      <c r="S4013" s="36"/>
    </row>
    <row r="4014" spans="19:19" x14ac:dyDescent="0.3">
      <c r="S4014" s="36"/>
    </row>
    <row r="4015" spans="19:19" x14ac:dyDescent="0.3">
      <c r="S4015" s="36"/>
    </row>
    <row r="4016" spans="19:19" x14ac:dyDescent="0.3">
      <c r="S4016" s="36"/>
    </row>
    <row r="4017" spans="19:19" x14ac:dyDescent="0.3">
      <c r="S4017" s="36"/>
    </row>
    <row r="4018" spans="19:19" x14ac:dyDescent="0.3">
      <c r="S4018" s="36"/>
    </row>
    <row r="4019" spans="19:19" x14ac:dyDescent="0.3">
      <c r="S4019" s="36"/>
    </row>
    <row r="4020" spans="19:19" x14ac:dyDescent="0.3">
      <c r="S4020" s="36"/>
    </row>
    <row r="4021" spans="19:19" x14ac:dyDescent="0.3">
      <c r="S4021" s="36"/>
    </row>
    <row r="4022" spans="19:19" x14ac:dyDescent="0.3">
      <c r="S4022" s="36"/>
    </row>
    <row r="4023" spans="19:19" x14ac:dyDescent="0.3">
      <c r="S4023" s="36"/>
    </row>
    <row r="4024" spans="19:19" x14ac:dyDescent="0.3">
      <c r="S4024" s="36"/>
    </row>
    <row r="4025" spans="19:19" x14ac:dyDescent="0.3">
      <c r="S4025" s="36"/>
    </row>
    <row r="4026" spans="19:19" x14ac:dyDescent="0.3">
      <c r="S4026" s="36"/>
    </row>
    <row r="4027" spans="19:19" x14ac:dyDescent="0.3">
      <c r="S4027" s="36"/>
    </row>
    <row r="4028" spans="19:19" x14ac:dyDescent="0.3">
      <c r="S4028" s="36"/>
    </row>
    <row r="4029" spans="19:19" x14ac:dyDescent="0.3">
      <c r="S4029" s="36"/>
    </row>
    <row r="4030" spans="19:19" x14ac:dyDescent="0.3">
      <c r="S4030" s="36"/>
    </row>
    <row r="4031" spans="19:19" x14ac:dyDescent="0.3">
      <c r="S4031" s="36"/>
    </row>
    <row r="4032" spans="19:19" x14ac:dyDescent="0.3">
      <c r="S4032" s="36"/>
    </row>
    <row r="4033" spans="19:19" x14ac:dyDescent="0.3">
      <c r="S4033" s="36"/>
    </row>
    <row r="4034" spans="19:19" x14ac:dyDescent="0.3">
      <c r="S4034" s="36"/>
    </row>
    <row r="4035" spans="19:19" x14ac:dyDescent="0.3">
      <c r="S4035" s="36"/>
    </row>
    <row r="4036" spans="19:19" x14ac:dyDescent="0.3">
      <c r="S4036" s="36"/>
    </row>
    <row r="4037" spans="19:19" x14ac:dyDescent="0.3">
      <c r="S4037" s="36"/>
    </row>
    <row r="4038" spans="19:19" x14ac:dyDescent="0.3">
      <c r="S4038" s="36"/>
    </row>
    <row r="4039" spans="19:19" x14ac:dyDescent="0.3">
      <c r="S4039" s="36"/>
    </row>
    <row r="4040" spans="19:19" x14ac:dyDescent="0.3">
      <c r="S4040" s="36"/>
    </row>
    <row r="4041" spans="19:19" x14ac:dyDescent="0.3">
      <c r="S4041" s="36"/>
    </row>
    <row r="4042" spans="19:19" x14ac:dyDescent="0.3">
      <c r="S4042" s="36"/>
    </row>
    <row r="4043" spans="19:19" x14ac:dyDescent="0.3">
      <c r="S4043" s="36"/>
    </row>
    <row r="4044" spans="19:19" x14ac:dyDescent="0.3">
      <c r="S4044" s="36"/>
    </row>
    <row r="4045" spans="19:19" x14ac:dyDescent="0.3">
      <c r="S4045" s="36"/>
    </row>
    <row r="4046" spans="19:19" x14ac:dyDescent="0.3">
      <c r="S4046" s="36"/>
    </row>
    <row r="4047" spans="19:19" x14ac:dyDescent="0.3">
      <c r="S4047" s="36"/>
    </row>
    <row r="4048" spans="19:19" x14ac:dyDescent="0.3">
      <c r="S4048" s="36"/>
    </row>
    <row r="4049" spans="19:19" x14ac:dyDescent="0.3">
      <c r="S4049" s="36"/>
    </row>
  </sheetData>
  <mergeCells count="17">
    <mergeCell ref="A1:A2"/>
    <mergeCell ref="H1:N1"/>
    <mergeCell ref="O1:O2"/>
    <mergeCell ref="P1:R1"/>
    <mergeCell ref="C1:C2"/>
    <mergeCell ref="D1:D2"/>
    <mergeCell ref="E1:E2"/>
    <mergeCell ref="F1:F2"/>
    <mergeCell ref="G1:G2"/>
    <mergeCell ref="B1:B2"/>
    <mergeCell ref="AN1:AN2"/>
    <mergeCell ref="AH1:AH2"/>
    <mergeCell ref="AI1:AI2"/>
    <mergeCell ref="AJ1:AJ2"/>
    <mergeCell ref="AK1:AK2"/>
    <mergeCell ref="AL1:AL2"/>
    <mergeCell ref="AM1:AM2"/>
  </mergeCells>
  <dataValidations count="10">
    <dataValidation type="list" showInputMessage="1" showErrorMessage="1" error="Choose one of the available options" sqref="C23:C253" xr:uid="{D5336274-B90C-46B8-86D3-328273B429CE}">
      <formula1>#REF!</formula1>
    </dataValidation>
    <dataValidation type="list" allowBlank="1" showInputMessage="1" showErrorMessage="1" sqref="Q2938:Q1048576" xr:uid="{B50505F7-49DB-4358-B098-4AF123EAF406}">
      <formula1>"YES,NO"</formula1>
    </dataValidation>
    <dataValidation type="whole" allowBlank="1" showInputMessage="1" showErrorMessage="1" sqref="J2188:M1048576 N1735:O1048576" xr:uid="{90DA3E34-8BD2-4B5F-A97D-3D52AD427CA7}">
      <formula1>0</formula1>
      <formula2>10000000</formula2>
    </dataValidation>
    <dataValidation type="list" allowBlank="1" showInputMessage="1" showErrorMessage="1" sqref="I1239:I1048576 O22:O1734 AL242:AL1048576 K3:K18 N8:N1734" xr:uid="{D271F874-584A-4C9D-8A52-52AB8C2B3665}">
      <formula1>"YES, NO"</formula1>
    </dataValidation>
    <dataValidation type="whole" allowBlank="1" showInputMessage="1" showErrorMessage="1" error="Only numbers_x000a_" sqref="H91:H1048576" xr:uid="{BA0A5035-FE3C-4C27-A0D1-60A7417E1645}">
      <formula1>0</formula1>
      <formula2>1000</formula2>
    </dataValidation>
    <dataValidation type="list" allowBlank="1" showInputMessage="1" showErrorMessage="1" sqref="AI6:AI190" xr:uid="{E25F3940-2475-4F8D-ADC6-C3286AF9338A}">
      <formula1>"Low,Medium,High"</formula1>
    </dataValidation>
    <dataValidation type="list" allowBlank="1" showInputMessage="1" showErrorMessage="1" sqref="O3:O21" xr:uid="{278688DB-140A-41B6-B3A0-0E57D9465457}">
      <formula1>"Done, In progress, Holding"</formula1>
    </dataValidation>
    <dataValidation showInputMessage="1" showErrorMessage="1" error="Only numbers_x000a_" sqref="H3:H90" xr:uid="{BD069505-F45E-4FC8-A48A-051789B5AF86}"/>
    <dataValidation allowBlank="1" showInputMessage="1" showErrorMessage="1" error="Choose one of the available options" sqref="E3:E779 G3:G778" xr:uid="{4D7D2D45-604C-4BC6-BB27-B988F2ACF006}"/>
    <dataValidation type="list" allowBlank="1" showInputMessage="1" showErrorMessage="1" sqref="O3:O128" xr:uid="{B57AFF37-6B45-4B17-82E3-4A4C5FF54540}">
      <formula1>"In progress, Done, Holding"</formula1>
    </dataValidation>
  </dataValidation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2A04B-20C3-477B-A5EE-5B92C4CD8AD6}">
  <sheetPr codeName="FonteDados"/>
  <dimension ref="A1:L8"/>
  <sheetViews>
    <sheetView workbookViewId="0">
      <selection activeCell="G4" sqref="G4"/>
    </sheetView>
  </sheetViews>
  <sheetFormatPr defaultRowHeight="14.4" x14ac:dyDescent="0.3"/>
  <cols>
    <col min="1" max="1" width="12.44140625" bestFit="1" customWidth="1"/>
    <col min="2" max="2" width="14.109375" bestFit="1" customWidth="1"/>
    <col min="4" max="4" width="18.44140625" bestFit="1" customWidth="1"/>
    <col min="5" max="5" width="11.44140625" customWidth="1"/>
    <col min="6" max="6" width="30.21875" bestFit="1" customWidth="1"/>
    <col min="7" max="7" width="17.109375" customWidth="1"/>
    <col min="8" max="8" width="12.44140625" customWidth="1"/>
    <col min="9" max="9" width="70.33203125" bestFit="1" customWidth="1"/>
    <col min="10" max="10" width="11.88671875" bestFit="1" customWidth="1"/>
    <col min="11" max="11" width="13.44140625" bestFit="1" customWidth="1"/>
    <col min="12" max="12" width="12.88671875" bestFit="1" customWidth="1"/>
  </cols>
  <sheetData>
    <row r="1" spans="1:12" x14ac:dyDescent="0.3">
      <c r="A1" s="1" t="s">
        <v>0</v>
      </c>
      <c r="B1" s="1" t="s">
        <v>3</v>
      </c>
      <c r="C1" s="1" t="s">
        <v>0</v>
      </c>
      <c r="D1" s="1" t="s">
        <v>7</v>
      </c>
      <c r="E1" s="1" t="s">
        <v>8</v>
      </c>
      <c r="F1" s="1" t="s">
        <v>13</v>
      </c>
      <c r="G1" s="1" t="s">
        <v>54</v>
      </c>
      <c r="H1" s="1" t="s">
        <v>37</v>
      </c>
      <c r="I1" s="1" t="s">
        <v>14</v>
      </c>
      <c r="J1" t="s">
        <v>17</v>
      </c>
      <c r="K1" s="1" t="s">
        <v>1143</v>
      </c>
    </row>
    <row r="2" spans="1:12" x14ac:dyDescent="0.3">
      <c r="A2" t="s">
        <v>1</v>
      </c>
      <c r="B2" t="s">
        <v>4</v>
      </c>
      <c r="C2" s="18">
        <v>1</v>
      </c>
      <c r="D2" s="18">
        <v>1</v>
      </c>
      <c r="E2" s="18" t="s">
        <v>9</v>
      </c>
      <c r="F2" s="18">
        <v>1</v>
      </c>
      <c r="G2" s="18" t="s">
        <v>55</v>
      </c>
      <c r="H2" s="18" t="s">
        <v>53</v>
      </c>
      <c r="I2" t="s">
        <v>15</v>
      </c>
      <c r="J2" s="2">
        <v>492.66</v>
      </c>
      <c r="K2" s="18" t="s">
        <v>1142</v>
      </c>
      <c r="L2" s="80"/>
    </row>
    <row r="3" spans="1:12" x14ac:dyDescent="0.3">
      <c r="A3" t="s">
        <v>2</v>
      </c>
      <c r="B3" t="s">
        <v>5</v>
      </c>
      <c r="C3" s="18">
        <v>2</v>
      </c>
      <c r="D3" s="18">
        <v>2</v>
      </c>
      <c r="E3" s="18" t="s">
        <v>10</v>
      </c>
      <c r="F3" s="18">
        <v>2</v>
      </c>
      <c r="G3" s="18" t="s">
        <v>56</v>
      </c>
      <c r="H3" s="18" t="s">
        <v>51</v>
      </c>
      <c r="I3" t="s">
        <v>16</v>
      </c>
      <c r="J3" s="2">
        <v>793.9</v>
      </c>
      <c r="K3" s="18" t="s">
        <v>2</v>
      </c>
    </row>
    <row r="4" spans="1:12" x14ac:dyDescent="0.3">
      <c r="A4" s="18" t="s">
        <v>67</v>
      </c>
      <c r="B4" t="s">
        <v>6</v>
      </c>
      <c r="C4" s="18">
        <v>3</v>
      </c>
      <c r="D4" s="18">
        <v>3</v>
      </c>
      <c r="E4" s="18" t="s">
        <v>11</v>
      </c>
      <c r="F4" s="18">
        <v>3</v>
      </c>
      <c r="G4" s="18"/>
      <c r="H4" s="18" t="s">
        <v>52</v>
      </c>
      <c r="I4" t="s">
        <v>59</v>
      </c>
      <c r="J4" s="2">
        <v>793.9</v>
      </c>
      <c r="K4" s="18" t="s">
        <v>67</v>
      </c>
    </row>
    <row r="5" spans="1:12" x14ac:dyDescent="0.3">
      <c r="A5" t="s">
        <v>1135</v>
      </c>
      <c r="B5" t="s">
        <v>896</v>
      </c>
      <c r="D5" s="18">
        <v>0</v>
      </c>
      <c r="E5" s="18" t="s">
        <v>12</v>
      </c>
      <c r="F5" s="18">
        <v>0</v>
      </c>
      <c r="G5" s="18"/>
      <c r="H5" s="18"/>
      <c r="I5" t="s">
        <v>58</v>
      </c>
      <c r="J5" s="2">
        <v>3504.37</v>
      </c>
      <c r="K5" s="18" t="s">
        <v>1135</v>
      </c>
    </row>
    <row r="6" spans="1:12" x14ac:dyDescent="0.3">
      <c r="E6" s="18" t="s">
        <v>969</v>
      </c>
      <c r="K6" s="18"/>
    </row>
    <row r="7" spans="1:12" x14ac:dyDescent="0.3">
      <c r="E7" s="18" t="s">
        <v>12</v>
      </c>
      <c r="K7" s="18"/>
    </row>
    <row r="8" spans="1:12" x14ac:dyDescent="0.3">
      <c r="E8" s="18" t="s">
        <v>1014</v>
      </c>
      <c r="K8" s="18"/>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Home</vt:lpstr>
      <vt:lpstr>Planilha1</vt:lpstr>
      <vt:lpstr>ContractsAndDocuments</vt:lpstr>
      <vt:lpstr>Contract</vt:lpstr>
      <vt:lpstr>Advisory</vt:lpstr>
      <vt:lpstr>Administrative</vt:lpstr>
      <vt:lpstr>LegalActivity</vt:lpstr>
      <vt:lpstr>ComplianceProgram</vt:lpstr>
      <vt:lpstr>FonteDados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Antônio Leite do Carmo</dc:creator>
  <cp:lastModifiedBy>Marco Antônio Leite do Carmo</cp:lastModifiedBy>
  <dcterms:created xsi:type="dcterms:W3CDTF">2024-02-26T23:39:16Z</dcterms:created>
  <dcterms:modified xsi:type="dcterms:W3CDTF">2024-04-30T22:14:00Z</dcterms:modified>
</cp:coreProperties>
</file>